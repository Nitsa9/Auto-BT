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rober\Documents\"/>
    </mc:Choice>
  </mc:AlternateContent>
  <xr:revisionPtr revIDLastSave="0" documentId="8_{EAD4495E-3D60-417E-B2F8-21E9E9ABA5FB}" xr6:coauthVersionLast="47" xr6:coauthVersionMax="47" xr10:uidLastSave="{00000000-0000-0000-0000-000000000000}"/>
  <bookViews>
    <workbookView xWindow="-108" yWindow="-108" windowWidth="23256" windowHeight="12456" activeTab="1" xr2:uid="{00000000-000D-0000-FFFF-FFFF00000000}"/>
  </bookViews>
  <sheets>
    <sheet name="FORMATO 1" sheetId="1" r:id="rId1"/>
    <sheet name="FORMATO 2" sheetId="2" r:id="rId2"/>
    <sheet name="FORMATO 3" sheetId="3" r:id="rId3"/>
    <sheet name="FORMATO 4" sheetId="4" r:id="rId4"/>
    <sheet name="Listas2" sheetId="5" state="hidden" r:id="rId5"/>
    <sheet name="Listas" sheetId="6" state="hidden" r:id="rId6"/>
    <sheet name="Bienes" sheetId="7" state="hidden" r:id="rId7"/>
    <sheet name="Servicios" sheetId="8" state="hidden" r:id="rId8"/>
  </sheets>
  <definedNames>
    <definedName name="Bienes_Biomasa_Biogás">Bienes!$A$4:$A$43</definedName>
    <definedName name="Bienes_Biomasa_Cultivos_energéticos">Bienes!$D$4:$D$30</definedName>
    <definedName name="Bienes_Biomasa_Gasificación">Bienes!$B$4:$B$32</definedName>
    <definedName name="Bienes_Biomasa_Generación_cogeneración">Bienes!$E$4:$E$50</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NOMBRE">'FORMATO 1'!$A$34</definedName>
    <definedName name="re">'FORMATO 2'!$F$21</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8" l="1"/>
  <c r="A1" i="7"/>
  <c r="F44" i="5" a="1"/>
  <c r="F44" i="5"/>
  <c r="V39" i="5"/>
  <c r="U39" i="5"/>
  <c r="T39" i="5"/>
  <c r="S39" i="5"/>
  <c r="R39" i="5"/>
  <c r="Q39" i="5"/>
  <c r="P39" i="5"/>
  <c r="O39" i="5"/>
  <c r="N39" i="5"/>
  <c r="M39" i="5"/>
  <c r="L39" i="5"/>
  <c r="K39" i="5"/>
  <c r="J39" i="5"/>
  <c r="I39" i="5"/>
  <c r="H39" i="5"/>
  <c r="G39" i="5"/>
  <c r="F39" i="5" a="1"/>
  <c r="F39" i="5"/>
  <c r="B27" i="5"/>
  <c r="B26" i="5"/>
  <c r="F17" i="2"/>
  <c r="K47" i="1"/>
</calcChain>
</file>

<file path=xl/sharedStrings.xml><?xml version="1.0" encoding="utf-8"?>
<sst xmlns="http://schemas.openxmlformats.org/spreadsheetml/2006/main" count="1756" uniqueCount="1100">
  <si>
    <t xml:space="preserve">
SOLICITUD DE INCENTIVOS TRIBUTARIOS
PARA PROYECTOS DE FNCE
EXCLUSIÓN DE IVA, DEDUCCIÓN EN RENTA
EXENCIÓN DE ARANCEL Y DEPRECIACIÓN ACELERADA</t>
  </si>
  <si>
    <t>Código: F-CT-01</t>
  </si>
  <si>
    <t>Versión No. 02</t>
  </si>
  <si>
    <t>FORMATO 1
FORMATO ÚNICO DE SOLICITUD PARA INCENTIVOS A LA INVERSIÓN EN PROYECTOS DE FNCE 
(CAPÍTULO III DE LA LEY 1715 DE 2014)</t>
  </si>
  <si>
    <t>1. SOLICITANTES</t>
  </si>
  <si>
    <t>1.1 Solicitante Principal</t>
  </si>
  <si>
    <t>1.2 Solicitante Secundario</t>
  </si>
  <si>
    <t>Nombre o razón social</t>
  </si>
  <si>
    <t>The Sun Factory</t>
  </si>
  <si>
    <t>Solenium S.A.S</t>
  </si>
  <si>
    <t>Sector productivo</t>
  </si>
  <si>
    <t>3511 - Generación de energía eléctrica</t>
  </si>
  <si>
    <t>Instalaciones Eléctricas</t>
  </si>
  <si>
    <t>Código CIIU</t>
  </si>
  <si>
    <t>4321 - Instalaciones eléctricas</t>
  </si>
  <si>
    <t>Rol</t>
  </si>
  <si>
    <t>Dueño del proyecto</t>
  </si>
  <si>
    <t>Instalador</t>
  </si>
  <si>
    <t>C.C ó NIT</t>
  </si>
  <si>
    <t>901097244-5</t>
  </si>
  <si>
    <t>Departamento</t>
  </si>
  <si>
    <t>BOGOTÁ. D.C.</t>
  </si>
  <si>
    <t>ANTIOQUIA</t>
  </si>
  <si>
    <t>Municipio</t>
  </si>
  <si>
    <t xml:space="preserve"> 
BOGOTÁ. D.C.</t>
  </si>
  <si>
    <t>MEDELLÍN</t>
  </si>
  <si>
    <t>Dirección</t>
  </si>
  <si>
    <t xml:space="preserve"> CR 9 NO. 71 38</t>
  </si>
  <si>
    <t>CALLE 46 #70A-79</t>
  </si>
  <si>
    <t>Teléfono</t>
  </si>
  <si>
    <t>(+57) 316 1935991</t>
  </si>
  <si>
    <t>Nombre del Representante Legal (R.L.)</t>
  </si>
  <si>
    <t>Ana María Arbeláez Marulanda</t>
  </si>
  <si>
    <t>Jaibet Paola Santiago Ribón</t>
  </si>
  <si>
    <t>C.C o C.E Representante Legal</t>
  </si>
  <si>
    <t>correo electrónico de notificación</t>
  </si>
  <si>
    <t>ana@sunfactory.io</t>
  </si>
  <si>
    <t>info@solenium.co</t>
  </si>
  <si>
    <t>CONTACTO</t>
  </si>
  <si>
    <t>Nombre de la persona de contacto</t>
  </si>
  <si>
    <t>Sergio Danny Camacho Guzman</t>
  </si>
  <si>
    <t>Teléfono de la persona de contacto</t>
  </si>
  <si>
    <t>(+57) 301 2950511</t>
  </si>
  <si>
    <t>Correo Electrónico persona de contacto</t>
  </si>
  <si>
    <t>tramites@solenium.co</t>
  </si>
  <si>
    <t>2. NOMBRE DEL PROYECTO DE FNCE</t>
  </si>
  <si>
    <t>MGS 0042</t>
  </si>
  <si>
    <t>3. ETAPA DEL PROYECTO EN FNCE</t>
  </si>
  <si>
    <t>Inversión</t>
  </si>
  <si>
    <t>4. INFORMACIÓN DE REGISTRO DEL PROYECTO</t>
  </si>
  <si>
    <t>Número de radicado del registro del proyecto expedido por la UPME (Si aplica)</t>
  </si>
  <si>
    <t>Fecha del radicado</t>
  </si>
  <si>
    <t>5. INCENTIVOS A LOS CUALES APLICA (Marque con una X)</t>
  </si>
  <si>
    <t>Exclusión de IVA</t>
  </si>
  <si>
    <t>X</t>
  </si>
  <si>
    <t>Exención de Arancel</t>
  </si>
  <si>
    <t>Deducción de Renta</t>
  </si>
  <si>
    <t>Depreciación acelerada</t>
  </si>
  <si>
    <t>6. LUGAR DE UBICACIÓN DE LA INVERSION</t>
  </si>
  <si>
    <t xml:space="preserve">    Departamento</t>
  </si>
  <si>
    <t>Cesar</t>
  </si>
  <si>
    <t xml:space="preserve">    Municipio</t>
  </si>
  <si>
    <t>San Martín</t>
  </si>
  <si>
    <r>
      <rPr>
        <b/>
        <sz val="12"/>
        <color theme="1"/>
        <rFont val="Calibri"/>
        <family val="2"/>
      </rPr>
      <t xml:space="preserve">7. VALOR DE LA INVERSION OBJETO DEL BENEFICIO </t>
    </r>
    <r>
      <rPr>
        <b/>
        <u/>
        <sz val="12"/>
        <color theme="1"/>
        <rFont val="Calibri"/>
        <family val="2"/>
      </rPr>
      <t xml:space="preserve">ANTES </t>
    </r>
    <r>
      <rPr>
        <b/>
        <sz val="12"/>
        <color theme="1"/>
        <rFont val="Calibri"/>
        <family val="2"/>
      </rPr>
      <t>DE IMPUESTOS</t>
    </r>
  </si>
  <si>
    <t>Valor total en COP</t>
  </si>
  <si>
    <t>8. NÚMERO DE ACREDITACIÓN O REFERENCIA DE PAGO DE LA TARIFA</t>
  </si>
  <si>
    <t>Número de referencia de pago (CUS)</t>
  </si>
  <si>
    <t>9. DECLARACIÓN</t>
  </si>
  <si>
    <t>Con la presente solicitud declaro que toda la información suministrada con miras a obtener la certificación que permita acceder a los incentivos establecidos en los artículos 11, 12, 13 y 14 de la Ley 1715 de 2014, modificados por la Ley 2099 de 2021, es veraz y me hago responsable por ella. Así mismo, autorizo a la UPME para que de conformidad con el artículo 67 del Código de Procedimiento Administrativo y de lo Contencioso Administrativo, notifique todas las actuaciones surtidas en desarrollo del trámite al correo electrónico de notificaciones informado en el presente documento.</t>
  </si>
  <si>
    <t>Firma del R.L. del solicitante principal</t>
  </si>
  <si>
    <t>Firma del R.L. del solicitante secundario</t>
  </si>
  <si>
    <t>C.C / C.E</t>
  </si>
  <si>
    <t xml:space="preserve">
SOLICITUD DE INCENTIVOS TRIBUTARIOS
PARA PROYECTOS DE FNCE
EXCLUSIÓN DE IVA, DEDUCCIÓN EN RENTA
EXENCIÓN DE ARANCEL Y DEPRECIACIÓN ACELERADA
</t>
  </si>
  <si>
    <r>
      <rPr>
        <b/>
        <u/>
        <sz val="12"/>
        <color theme="1"/>
        <rFont val="Calibri"/>
        <family val="2"/>
      </rPr>
      <t>FORMATO 2</t>
    </r>
    <r>
      <rPr>
        <b/>
        <sz val="12"/>
        <color theme="1"/>
        <rFont val="Calibri"/>
        <family val="2"/>
      </rPr>
      <t xml:space="preserve">
GENERALIDADES DEL PROYECTO DE FNCE
(CAPÍTULO III DE LA LEY 1715 DE 2014)</t>
    </r>
  </si>
  <si>
    <t>1. INFORMACIÓN GENERAL DEL PROYECTO DE FNCE</t>
  </si>
  <si>
    <t>Nombre del proyecto</t>
  </si>
  <si>
    <t>Sector donde se realizará el proyecto</t>
  </si>
  <si>
    <t>Generación eléctrica</t>
  </si>
  <si>
    <t>Tipo de generador</t>
  </si>
  <si>
    <t>Generador</t>
  </si>
  <si>
    <t>Tipo de FNCE (Ley 1715 de 2014)</t>
  </si>
  <si>
    <t>Solar</t>
  </si>
  <si>
    <t>Recurso Energético</t>
  </si>
  <si>
    <t>Sol</t>
  </si>
  <si>
    <t>Relacionar Cual</t>
  </si>
  <si>
    <t>Tecnología</t>
  </si>
  <si>
    <t>Fotovoltaica</t>
  </si>
  <si>
    <t>Otra</t>
  </si>
  <si>
    <t>Ubicación</t>
  </si>
  <si>
    <t>Zona</t>
  </si>
  <si>
    <t>SIN</t>
  </si>
  <si>
    <t xml:space="preserve">2. INFORMACIÓN TÉCNICA </t>
  </si>
  <si>
    <t>Datos técnicos</t>
  </si>
  <si>
    <t>Área del Proyecto (m2)</t>
  </si>
  <si>
    <t>Capacidad Instalada (kW)</t>
  </si>
  <si>
    <t>Energía Generada (kWh/año)</t>
  </si>
  <si>
    <t>Vida útil del proyecto (años)</t>
  </si>
  <si>
    <t>Eficiencia de la planta (%)</t>
  </si>
  <si>
    <t>Factor de Planta (%)</t>
  </si>
  <si>
    <t>Datos de Conexión</t>
  </si>
  <si>
    <t>¿Se conectará a la red?</t>
  </si>
  <si>
    <t>Si</t>
  </si>
  <si>
    <r>
      <rPr>
        <sz val="12"/>
        <color theme="1"/>
        <rFont val="Calibri"/>
        <family val="2"/>
      </rPr>
      <t xml:space="preserve">Nivel de tensión (kV) </t>
    </r>
    <r>
      <rPr>
        <i/>
        <sz val="12"/>
        <color rgb="FFA5A5A5"/>
        <rFont val="Calibri"/>
        <family val="2"/>
      </rPr>
      <t>(Cuando aplique)</t>
    </r>
  </si>
  <si>
    <t>Nivel 2: mayor o igual a 1 kV y menor a 30 kV.</t>
  </si>
  <si>
    <r>
      <rPr>
        <sz val="12"/>
        <color theme="1"/>
        <rFont val="Calibri"/>
        <family val="2"/>
      </rPr>
      <t xml:space="preserve">Nombre del Operador de Red </t>
    </r>
    <r>
      <rPr>
        <i/>
        <sz val="12"/>
        <color rgb="FFA5A5A5"/>
        <rFont val="Calibri"/>
        <family val="2"/>
      </rPr>
      <t>(Cuando aplique)</t>
    </r>
  </si>
  <si>
    <t>ESSA</t>
  </si>
  <si>
    <t>3. PERIODO DE EJECUCIÓN</t>
  </si>
  <si>
    <t>Periodo de Ejecución</t>
  </si>
  <si>
    <t>Fecha estimada de inicio de construcción</t>
  </si>
  <si>
    <t xml:space="preserve"> 4/08/2025</t>
  </si>
  <si>
    <t>Fecha estimada de entrada en operación comercial</t>
  </si>
  <si>
    <t>4. INFORMACIÓN ECONÓMICA</t>
  </si>
  <si>
    <t>Datos Económicos</t>
  </si>
  <si>
    <t>Costo total del proyecto antes de IVA (COP)</t>
  </si>
  <si>
    <t>IVA del proyecto (COP)</t>
  </si>
  <si>
    <r>
      <rPr>
        <sz val="12"/>
        <color theme="1"/>
        <rFont val="Calibri"/>
        <family val="2"/>
      </rPr>
      <t xml:space="preserve">Costo de generación sin el proyecto (COP/kWh) </t>
    </r>
    <r>
      <rPr>
        <i/>
        <sz val="12"/>
        <color rgb="FFA5A5A5"/>
        <rFont val="Calibri"/>
        <family val="2"/>
      </rPr>
      <t>(Cuando aplique)</t>
    </r>
  </si>
  <si>
    <t>No aplica</t>
  </si>
  <si>
    <t>5. DESCRIPCIÓN DEL PROYECTO</t>
  </si>
  <si>
    <t>ITEM</t>
  </si>
  <si>
    <t>Observaciones</t>
  </si>
  <si>
    <t>Subpartida arancelaria</t>
  </si>
  <si>
    <t>Cantidad</t>
  </si>
  <si>
    <t>Unidad de Medida</t>
  </si>
  <si>
    <t>Marca</t>
  </si>
  <si>
    <t>Modelo / Referencia</t>
  </si>
  <si>
    <t>Normas técnicas</t>
  </si>
  <si>
    <t>Fabricante</t>
  </si>
  <si>
    <t>Proveedor</t>
  </si>
  <si>
    <t>Valor total en COP
(Sin incluir IVA)</t>
  </si>
  <si>
    <t>Valor IVA en COP</t>
  </si>
  <si>
    <t xml:space="preserve">Función </t>
  </si>
  <si>
    <t>Subestación o Power Station</t>
  </si>
  <si>
    <t>unidades</t>
  </si>
  <si>
    <t>Sistema de monitoreo, control y automatización</t>
  </si>
  <si>
    <t>9032.89.90.00</t>
  </si>
  <si>
    <t>H.C.C. International Limited</t>
  </si>
  <si>
    <t>Controladores Zentrack, estos equipos se encargan de realizar el control de los motores utilizados para posicionar en posición perpendicular al sol el seguidor solar que soporta los paneles solares. El controlador calcula la trayectoria del sol y con un sensor de inclinación integrado posiciona la estructura para seguir el sol. Hace parte esencial del sistema de seguimiento solar</t>
  </si>
  <si>
    <t>Seguidores solares</t>
  </si>
  <si>
    <t>Zentrack</t>
  </si>
  <si>
    <t>Nexus Trade Consulting Limited</t>
  </si>
  <si>
    <t>FORMATO 4
FORMATO DE ESPECIFICACIONES DE SERVICIOS
(CAPÍTULO III DE LA LEY 1715 DE 2014)</t>
  </si>
  <si>
    <t>Ítem</t>
  </si>
  <si>
    <t>Servicio</t>
  </si>
  <si>
    <t>Alcance</t>
  </si>
  <si>
    <t>Rol Solicitante principal</t>
  </si>
  <si>
    <t>Rol Solicitante secundario</t>
  </si>
  <si>
    <t xml:space="preserve">Recurso Energético - Tipo de FNCE Biomasa </t>
  </si>
  <si>
    <t xml:space="preserve">Tecnología - Tipo de FNCE Biomasa </t>
  </si>
  <si>
    <t>Departamentos</t>
  </si>
  <si>
    <t>Entidad Bancaria</t>
  </si>
  <si>
    <t>Bagazo</t>
  </si>
  <si>
    <t>Biogás</t>
  </si>
  <si>
    <t>Gasificación</t>
  </si>
  <si>
    <t>AMAZONAS</t>
  </si>
  <si>
    <t>Importador</t>
  </si>
  <si>
    <t>Calor Residual</t>
  </si>
  <si>
    <t>Pirolización</t>
  </si>
  <si>
    <t>Otro</t>
  </si>
  <si>
    <t>Repoblaciones Residuales Energéticas</t>
  </si>
  <si>
    <t>Cultivos_energéticos</t>
  </si>
  <si>
    <t>ARAUCA</t>
  </si>
  <si>
    <t>Residuos Agrícolas (desechos de los cultivos)</t>
  </si>
  <si>
    <t>Generación_cogeneración</t>
  </si>
  <si>
    <t>ARCHIPIELAGO DE SAN ANDRES PROVIDENCIA Y SANTA CATALINA</t>
  </si>
  <si>
    <t>Tipo de Generador</t>
  </si>
  <si>
    <t>Residuos Pecuarios (excremento de los animales)</t>
  </si>
  <si>
    <t>ATLANTICO</t>
  </si>
  <si>
    <t>Autogenerador</t>
  </si>
  <si>
    <t>Niveles de tensión</t>
  </si>
  <si>
    <t>Residuos Sólidos Urbanos (orgánicos)</t>
  </si>
  <si>
    <t>BOGOTA D.C.</t>
  </si>
  <si>
    <t>Cogenerador</t>
  </si>
  <si>
    <t>Mayor o igual a 220 kV.</t>
  </si>
  <si>
    <t>Sistemas de Acopio de Biomasa</t>
  </si>
  <si>
    <t>BOLÍVAR</t>
  </si>
  <si>
    <t>Nivel 4: mayor o igual a 57.5 kV y menor a 220 kV.</t>
  </si>
  <si>
    <t>BOYACÁ</t>
  </si>
  <si>
    <t>Nivel 3: mayor o igual a 30 kV y menor a 57.5 kV.</t>
  </si>
  <si>
    <t>CALDAS</t>
  </si>
  <si>
    <t>CAQUETÁ</t>
  </si>
  <si>
    <t>Nivel 1: menor a 1 kV.</t>
  </si>
  <si>
    <t>Tecnología - Tipo de FNCE Eólica</t>
  </si>
  <si>
    <t>CASANARE</t>
  </si>
  <si>
    <t>Eólica</t>
  </si>
  <si>
    <t>CAUCA</t>
  </si>
  <si>
    <t>CESAR</t>
  </si>
  <si>
    <t>Biomasa</t>
  </si>
  <si>
    <t>Tipo de FNCE</t>
  </si>
  <si>
    <t>Recurso Energético - Tipo de FNCE Eólica</t>
  </si>
  <si>
    <t>CHOCÓ</t>
  </si>
  <si>
    <t>Viento</t>
  </si>
  <si>
    <t>CÓRDOBA</t>
  </si>
  <si>
    <t>Geotérmica</t>
  </si>
  <si>
    <t>Tecnología - Tipo de FNCE Geotérmica</t>
  </si>
  <si>
    <t>CUNDINAMARCA</t>
  </si>
  <si>
    <t>PCH</t>
  </si>
  <si>
    <t>Central_de_vapor_seco</t>
  </si>
  <si>
    <t>GUAINÍA</t>
  </si>
  <si>
    <t>Recurso Energético - Tipo de FNCE Geotérmica</t>
  </si>
  <si>
    <t>Central_flash</t>
  </si>
  <si>
    <t>GUAVIARE</t>
  </si>
  <si>
    <t>Vapor</t>
  </si>
  <si>
    <t>Central_de_ciclo_binario</t>
  </si>
  <si>
    <t>HUILA</t>
  </si>
  <si>
    <t>LA GUAJIRA</t>
  </si>
  <si>
    <t>MAGDALENA</t>
  </si>
  <si>
    <t>Recurso Energético - Tipo de FNCE PCH</t>
  </si>
  <si>
    <t>META</t>
  </si>
  <si>
    <t>Sector</t>
  </si>
  <si>
    <t xml:space="preserve">Agua </t>
  </si>
  <si>
    <t>Tecnología - Tipo de FNCE PCH</t>
  </si>
  <si>
    <t>NARIÑO</t>
  </si>
  <si>
    <t>Residencial</t>
  </si>
  <si>
    <t>Hidráulica</t>
  </si>
  <si>
    <t>NORTE DE SANTANDER</t>
  </si>
  <si>
    <t>Industrial</t>
  </si>
  <si>
    <t>Hidrocinética</t>
  </si>
  <si>
    <t>PUTUMAYO</t>
  </si>
  <si>
    <t>Transporte</t>
  </si>
  <si>
    <t>Recurso Energético - Tipo de FNCE Solar</t>
  </si>
  <si>
    <t>QUINDIO</t>
  </si>
  <si>
    <t>Terciario (comercial, público y de servicios)</t>
  </si>
  <si>
    <t>RISARALDA</t>
  </si>
  <si>
    <t>SANTANDER</t>
  </si>
  <si>
    <t>Tecnología - Tipo de FNCE Solar</t>
  </si>
  <si>
    <t>SUCRE</t>
  </si>
  <si>
    <t>Selección</t>
  </si>
  <si>
    <t>TOLIMA</t>
  </si>
  <si>
    <t>VALLE DEL CAUCA</t>
  </si>
  <si>
    <t>VAUPÉS</t>
  </si>
  <si>
    <t>metros</t>
  </si>
  <si>
    <t>VICHADA</t>
  </si>
  <si>
    <t>unidad</t>
  </si>
  <si>
    <t>Kilogramos</t>
  </si>
  <si>
    <t>Codigos CIIU</t>
  </si>
  <si>
    <t>Cumple</t>
  </si>
  <si>
    <t>Preinversión</t>
  </si>
  <si>
    <t>0141 - Cria de ganado bovino y bufalino</t>
  </si>
  <si>
    <t xml:space="preserve">0142- Cría de caballos y otros equinos </t>
  </si>
  <si>
    <t>No cumple</t>
  </si>
  <si>
    <t>Operación</t>
  </si>
  <si>
    <t xml:space="preserve">0143- Cría de ovejas y cabras </t>
  </si>
  <si>
    <t>0144 -Cría de ganado porcino</t>
  </si>
  <si>
    <t>0145 -Cría de aves de corra</t>
  </si>
  <si>
    <t>Resultado</t>
  </si>
  <si>
    <t>0149 -Cría de otros animales n.c.p.</t>
  </si>
  <si>
    <t>0150 -Explotación mixta (agrícola y pecuaria)</t>
  </si>
  <si>
    <t>Favorable</t>
  </si>
  <si>
    <t>ZNI</t>
  </si>
  <si>
    <t>0161 -Actividades de apoyo a la agricultura</t>
  </si>
  <si>
    <t>Desfavorable</t>
  </si>
  <si>
    <t>0162 -Actividades de apoyo a la ganadería</t>
  </si>
  <si>
    <t>Requiere de información aclaratoria</t>
  </si>
  <si>
    <t>0163 -Actividades posteriores a la cosecha</t>
  </si>
  <si>
    <t>No</t>
  </si>
  <si>
    <t>0164 -Tratamiento de semillas para propagación</t>
  </si>
  <si>
    <t>0170 -Caza ordinaria y mediante trampas y actividades de servicios conexas</t>
  </si>
  <si>
    <t>0210 -Silvicultura y otras actividades forestales</t>
  </si>
  <si>
    <t>0220- Extracción de madera</t>
  </si>
  <si>
    <t>0230- Recolección de productos forestales diferentes a la madera</t>
  </si>
  <si>
    <t>0240- Servicios de apoyo a la silvicultura</t>
  </si>
  <si>
    <t>0311- Pesca marítima</t>
  </si>
  <si>
    <t>0312- Pesca de agua dulce</t>
  </si>
  <si>
    <t>0321- Acuicultura marítima</t>
  </si>
  <si>
    <t>0322- Acuicultura de agua dulce</t>
  </si>
  <si>
    <t>0510- Extracción de hulla (carbón de piedra)</t>
  </si>
  <si>
    <t>0520- Extracción de carbón lignito</t>
  </si>
  <si>
    <t>0610- Extracción de petróleo crudo</t>
  </si>
  <si>
    <t>0620- Extracción de gas natural</t>
  </si>
  <si>
    <t>0710- Extracción de minerales de hierro</t>
  </si>
  <si>
    <t>0721- Extracción de minerales de uranio y de torio</t>
  </si>
  <si>
    <t>0722- Extracción de oro y otros metales preciosos</t>
  </si>
  <si>
    <t>0723- Extracción de minerales de níque</t>
  </si>
  <si>
    <t>0729- Extracción de otros minerales metalíferos no ferrosos n.c.p.</t>
  </si>
  <si>
    <t>0811- Extracción de piedra, arena, arcillas comunes, yeso y anhidrita</t>
  </si>
  <si>
    <t>0812- Extracción de arcillas de uso industrial, caliza, caolín y bentonitas</t>
  </si>
  <si>
    <t>0820- Extracción de esmeraldas, piedras preciosas y semipreciosas</t>
  </si>
  <si>
    <t>0891- Extracción de minerales para la fabricación de abonos y productos químicos</t>
  </si>
  <si>
    <t>0892- Extracción de halita (sal)</t>
  </si>
  <si>
    <t>0899- Extracción de otros minerales no metálicos n.c.p.</t>
  </si>
  <si>
    <t>0910- Actividades de apoyo para la extracción de petróleo y de gas natura</t>
  </si>
  <si>
    <t>0990- Actividades de apoyo para otras actividades de explotación de minas y canteras</t>
  </si>
  <si>
    <t>1011 - Procesamiento y conservación de carne y productos cárnicos</t>
  </si>
  <si>
    <t>1012 - Procesamiento y conservación de pescados, crustáceos y moluscos</t>
  </si>
  <si>
    <t>1020 - Procesamiento y conservación de frutas, legumbres, hortalizas y tubérculos</t>
  </si>
  <si>
    <t>1030 - Elaboración de aceites y grasas de origen vegetal y animal</t>
  </si>
  <si>
    <t>1040 - Elaboración de productos lácteos</t>
  </si>
  <si>
    <t>1051 - Elaboración de productos de molinería</t>
  </si>
  <si>
    <t>1052 - Elaboración de almidones y productos derivados del almidón</t>
  </si>
  <si>
    <t>1061 - Trilla de café</t>
  </si>
  <si>
    <t>1062 - Descafeinado, tostión y molienda del café</t>
  </si>
  <si>
    <t>1063 - Otros derivados del café</t>
  </si>
  <si>
    <t>1071 - Elaboración y refinación de azúcar</t>
  </si>
  <si>
    <t>1072 - Elaboración de panela</t>
  </si>
  <si>
    <t>1081 - Elaboración de productos de panadería</t>
  </si>
  <si>
    <t>1082 - Elaboración de cacao, chocolate y productos de confitería</t>
  </si>
  <si>
    <t>1083 - Elaboración de macarrones, fideos, alcuzcuz y productos farináceos similares</t>
  </si>
  <si>
    <t>1084 - Elaboración de comidas y platos preparados</t>
  </si>
  <si>
    <t>1089 - Elaboración de otros productos alimenticios n.c.p.</t>
  </si>
  <si>
    <t>1090 - Elaboración de alimentos preparados para animales</t>
  </si>
  <si>
    <t>1101 - Destilación, rectificación y mezcla de bebidas alcohólicas</t>
  </si>
  <si>
    <t>1102 - Elaboración de bebidas fermentadas no destiladas</t>
  </si>
  <si>
    <t>1103 - Producción de malta, elaboración de cervezas y otras bebidas malteadas</t>
  </si>
  <si>
    <t>1104 - Elaboración de bebidas no alcohólicas, producción de aguas minerales y de otras aguas embotelladas</t>
  </si>
  <si>
    <t>1200 - Elaboración de productos de tabaco</t>
  </si>
  <si>
    <t>1311 - Preparación e hilatura de fibras textiles</t>
  </si>
  <si>
    <t>1312 - Tejeduría de productos textiles</t>
  </si>
  <si>
    <t>1313 - Acabado de productos textiles</t>
  </si>
  <si>
    <t>1391 - Fabricación de tejidos de punto y ganchillo</t>
  </si>
  <si>
    <t>1392 - Confección de artículos con materiales textiles, excepto prendas de vestir</t>
  </si>
  <si>
    <t>1393 - Fabricación de tapetes y alfombras para pisos</t>
  </si>
  <si>
    <t>1394 - Fabricación de cuerdas, cordeles, cables, bramantes y redes</t>
  </si>
  <si>
    <t>1399 - Fabricación de otros artículos textiles n.c.p.</t>
  </si>
  <si>
    <t>1410 - Confección de prendas de vestir, excepto prendas de piel</t>
  </si>
  <si>
    <t>1420 - Fabricación de artículos de piel</t>
  </si>
  <si>
    <t>1430 - Fabricación de artículos de punto y ganchillo</t>
  </si>
  <si>
    <t>1511 - Curtido y recurtido de cueros; recurtido y teñido de pieles</t>
  </si>
  <si>
    <t>1512 - Fabricación de artículos de viaje, bolsos de mano y artículos similares elaborados en cuero, y fabricación de artículos de talabartería y guarnicionería</t>
  </si>
  <si>
    <t>1513 - Fabricación de artículos de viaje, bolsos de mano y artículos similares; artículos de talabartería y guarnicionería elaborados en otros materiales</t>
  </si>
  <si>
    <t>1521 - Fabricación de calzado de cuero y piel, con cualquier tipo de suela</t>
  </si>
  <si>
    <t>1522 - Fabricación de otros tipos de calzado, excepto calzado de cuero y piel</t>
  </si>
  <si>
    <t>1523 - Fabricación de partes del calzado</t>
  </si>
  <si>
    <t>1610 - Aserrado, acepillado e impregnación de la madera</t>
  </si>
  <si>
    <t>1620 - Fabricación de hojas de madera para enchapado; fabricación de tableros contrachapados, tableros laminados, tableros de partículas y otros tableros y paneles</t>
  </si>
  <si>
    <t>1630 - Fabricación de partes y piezas de madera, de carpintería y ebanistería para la construcción</t>
  </si>
  <si>
    <t>1640 - Fabricación de recipientes de madera</t>
  </si>
  <si>
    <t>1690 - Fabricación de otros productos de madera; fabricación de artículos de corcho, cestería y espartería</t>
  </si>
  <si>
    <t>1701 - Fabricación de pulpas (pastas) celulósicas; papel y cartón</t>
  </si>
  <si>
    <t>1702 - Fabricación de papel y cartón ondulado (corrugado); fabricación de envases, empaques y de embalajes de papel y cartón.</t>
  </si>
  <si>
    <t>1709 - Fabricación de otros artículos de papel y cartón</t>
  </si>
  <si>
    <t>1811 - Actividades de impresión</t>
  </si>
  <si>
    <t>1812 - Actividades de servicios relacionados con la impresión</t>
  </si>
  <si>
    <t xml:space="preserve">1820 - Producción de copias a partir de grabaciones originales </t>
  </si>
  <si>
    <t>1910 - Fabricación de productos de hornos de coque</t>
  </si>
  <si>
    <t>1921 - Fabricación de productos de la refinación del petróleo</t>
  </si>
  <si>
    <t>1922 - Actividad de mezcla de combustibles</t>
  </si>
  <si>
    <t>2011 - Fabricación de sustancias y productos químicos básicos</t>
  </si>
  <si>
    <t>2012 - Fabricación de abonos y compuestos inorgánicos nitrogenados</t>
  </si>
  <si>
    <t>2013 - Fabricación de plásticos en formas primarias</t>
  </si>
  <si>
    <t>2014 - Fabricación de caucho sintético en formas primarias</t>
  </si>
  <si>
    <t>2021 - Fabricación de plaguicidas y otros productos químicos de uso agropecuario</t>
  </si>
  <si>
    <t>2022 - Fabricación de pinturas, barnices y revestimientos similares, tintas para impresión y masillas</t>
  </si>
  <si>
    <t>2023 - Fabricación de jabones y detergentes, preparados para limpiar y pulir; perfumes y preparados de tocador</t>
  </si>
  <si>
    <t>2029 - Fabricación de otros productos químicos n.c.p.</t>
  </si>
  <si>
    <t>2030 - Fabricación de fibras sintéticas y artificiales</t>
  </si>
  <si>
    <t>2211 - Fabricación de llantas y neumáticos de caucho</t>
  </si>
  <si>
    <t>2212 - Reencauche de llantas usadas</t>
  </si>
  <si>
    <t>2219 - Fabricación de formas básicas de caucho y otros productos de caucho n.c.p.</t>
  </si>
  <si>
    <t>2221 - Fabricación de formas básicas de plástico</t>
  </si>
  <si>
    <t>2229 - Fabricación de artículos de plástico n.c.p.</t>
  </si>
  <si>
    <t>2310 - Fabricación de vidrio y productos de vidrio</t>
  </si>
  <si>
    <t>2391 - Fabricación de productos refractarios</t>
  </si>
  <si>
    <t>2392 - Fabricación de materiales de arcilla para la construcción</t>
  </si>
  <si>
    <t>2393 - Fabricación de otros productos de cerámica y porcelana</t>
  </si>
  <si>
    <t>2394 - Fabricación de cemento, cal y yeso</t>
  </si>
  <si>
    <t>2395 - Fabricación de artículos de hormigón, cemento y yeso</t>
  </si>
  <si>
    <t>2396 - Corte, tallado y acabado de la piedra</t>
  </si>
  <si>
    <t>2399 - Fabricación de otros productos minerales no metálicos n.c.p.</t>
  </si>
  <si>
    <t>2410 - Industrias básicas de hierro y de acero</t>
  </si>
  <si>
    <t>2421 - Industrias básicas de metales preciosos</t>
  </si>
  <si>
    <t>2429 - Industrias básicas de otros metales no ferrosos</t>
  </si>
  <si>
    <t>2431 - Fundición de hierro y de acero</t>
  </si>
  <si>
    <t xml:space="preserve">2432 - Fundición de metales no ferrosos </t>
  </si>
  <si>
    <t>2511 - Fabricación de productos metálicos para uso estructural</t>
  </si>
  <si>
    <t>2512 - Fabricación de tanques, depósitos y recipientes de metal, excepto los utilizados para el envase o transporte de mercancías</t>
  </si>
  <si>
    <t>2513 - Fabricación de generadores de vapor, excepto calderas de agua caliente para calefacción central</t>
  </si>
  <si>
    <t>2520 - Fabricación de armas y municiones</t>
  </si>
  <si>
    <t>2591 - Forja, prensado, estampado y laminado de metal; pulvimetalurgia</t>
  </si>
  <si>
    <t>2592 - Tratamiento y revestimiento de metales; mecanizado</t>
  </si>
  <si>
    <t>2593 - Fabricación de artículos de cuchillería, herramientas de mano y artículos de ferretería</t>
  </si>
  <si>
    <t>2599 - Fabricación de otros productos elaborados de metal n.c.p.</t>
  </si>
  <si>
    <t>2610 - Fabricación de componentes y tableros electrónicos</t>
  </si>
  <si>
    <t>2620 - Fabricación de computadoras y de equipo periférico</t>
  </si>
  <si>
    <t>2630 - Fabricación de equipos de comunicación</t>
  </si>
  <si>
    <t>2640 - Fabricación de aparatos electrónicos de consumo</t>
  </si>
  <si>
    <t>2651 - Fabricación de equipo de medición, prueba, navegación y control</t>
  </si>
  <si>
    <t>2652 - Fabricación de relojes</t>
  </si>
  <si>
    <t>2660 - Fabricación de equipo de irradiación y equipo electrónico de uso médico y terapéutico</t>
  </si>
  <si>
    <t>2670 - Fabricación de instrumentos ópticos y equipo fotográfico</t>
  </si>
  <si>
    <t>2680 - Fabricación de medios magnéticos y ópticos para almacenamiento de datos</t>
  </si>
  <si>
    <t>2711 - Fabricación de motores, generadores y transformadores eléctricos</t>
  </si>
  <si>
    <t>2712 - Fabricación de aparatos de distribución y control de la energía eléctrica</t>
  </si>
  <si>
    <t>2720 - Fabricación de pilas, baterías y acumuladores eléctricos</t>
  </si>
  <si>
    <t>2731 - Fabricación de hilos y cables eléctricos y de fibra óptica</t>
  </si>
  <si>
    <t>2732 - Fabricación de dispositivos de cableado</t>
  </si>
  <si>
    <t>2740 - Fabricación de equipos eléctricos de iluminación</t>
  </si>
  <si>
    <t>2750 - Fabricación de aparatos de uso doméstico</t>
  </si>
  <si>
    <t>2790 - Fabricación de otros tipos de equipo eléctrico n.c.p.</t>
  </si>
  <si>
    <t>2812 - Fabricación de equipos de potencia hidráulica y neumática</t>
  </si>
  <si>
    <t>2813 - Fabricación de otras bombas, compresores, grifos y válvulas</t>
  </si>
  <si>
    <t>2814 - Fabricación de cojinetes, engranajes, trenes de engranajes y piezas de transmisión</t>
  </si>
  <si>
    <t>2815 - Fabricación de hornos, hogares y quemadores industriales</t>
  </si>
  <si>
    <t>2816 - Fabricación de equipo de elevación y manipulación</t>
  </si>
  <si>
    <t>2817 - Fabricación de maquinaria y equipo de oficina (excepto computadoras y equipo periférico)</t>
  </si>
  <si>
    <t>2818 - Fabricación de herramientas manuales con motor</t>
  </si>
  <si>
    <t>2819 - Fabricación de otros tipos de maquinaria y equipo de uso general n.c.p.</t>
  </si>
  <si>
    <t>2821 - Fabricación de maquinaria agropecuaria y forestal</t>
  </si>
  <si>
    <t>2822 - Fabricación de máquinas formadoras de metal y de máquinas herramienta</t>
  </si>
  <si>
    <t>2823 - Fabricación de maquinaria para la metalurgia</t>
  </si>
  <si>
    <t>2824 - Fabricación de maquinaria para explotación de minas y canteras y para obras de construcción</t>
  </si>
  <si>
    <t>2825 - Fabricación de maquinaria para la elaboración de alimentos, bebidas y tabaco</t>
  </si>
  <si>
    <t>2826 - Fabricación de maquinaria para la elaboración de productos textiles, prendas de vestir y cueros</t>
  </si>
  <si>
    <t>2829 - Fabricación de otros tipos de maquinaria y equipo de uso especial n.c.p.</t>
  </si>
  <si>
    <t>2910 - Fabricación de vehículos automotores y sus motores</t>
  </si>
  <si>
    <t xml:space="preserve">2920 - Fabricación de carrocerías para vehículos automotores; fabricación de remolques y semirremolques </t>
  </si>
  <si>
    <t>2930 - Fabricación de partes, piezas (autopartes) y accesorios (lujos) para vehículos automotores</t>
  </si>
  <si>
    <t>3011 - Construcción de barcos y de estructuras flotantes</t>
  </si>
  <si>
    <t>3012 - Construcción de embarcaciones de recreo y deporte</t>
  </si>
  <si>
    <t>3020 - Fabricación de locomotoras y de material rodante para ferrocarriles</t>
  </si>
  <si>
    <t>3030 - Fabricación de aeronaves, naves espaciales y de maquinaria conexa</t>
  </si>
  <si>
    <t>3040 - Fabricación de vehículos militares de combate</t>
  </si>
  <si>
    <t>3091 - Fabricación de motocicletas</t>
  </si>
  <si>
    <t>3092 - Fabricación de bicicletas y de sillas de ruedas para personas con discapacidad</t>
  </si>
  <si>
    <t>3099 - Fabricación de otros tipos de equipo de transporte n.c.p.</t>
  </si>
  <si>
    <t xml:space="preserve">3110 - Fabricación de muebles </t>
  </si>
  <si>
    <t>3120 - Fabricación de colchones y somieres</t>
  </si>
  <si>
    <t>3210 - Fabricación de joyas, bisutería y artículos conexos</t>
  </si>
  <si>
    <t>3220 - Fabricación de instrumentos musicales</t>
  </si>
  <si>
    <t>3230 - Fabricación de artículos y equipo para la práctica del deporte</t>
  </si>
  <si>
    <t>3240 - Fabricación de juegos, juguetes y rompecabezas</t>
  </si>
  <si>
    <t>3250 - Fabricación de instrumentos, aparatos y materiales médicos y odontológicos (incluido mobiliario)</t>
  </si>
  <si>
    <t>3290 - Otras industrias manufactureras n.c.p.</t>
  </si>
  <si>
    <t>3311 - Mantenimiento y reparación especializado de productos elaborados en metal</t>
  </si>
  <si>
    <t>3312 - Mantenimiento y reparación especializado de maquinaria y equipo</t>
  </si>
  <si>
    <t>3313 - Mantenimiento y reparación especializado de equipo electrónico y óptico</t>
  </si>
  <si>
    <t>3314 - Mantenimiento y reparación especializado de equipo eléctrico</t>
  </si>
  <si>
    <t>3315 - Mantenimiento y reparación especializado de equipo de transporte, excepto los vehículos automotores, motocicletas y bicicletas</t>
  </si>
  <si>
    <t>3319 - Mantenimiento y reparación de otros tipos de equipos y sus componentes n.c.p.</t>
  </si>
  <si>
    <t xml:space="preserve">3320 - Instalación especializada de maquinaria y equipo industrial </t>
  </si>
  <si>
    <t>3512 - Transmisión de energía eléctrica</t>
  </si>
  <si>
    <t>3513 - Distribución de energía eléctrica</t>
  </si>
  <si>
    <t>3514 - Comercialización de energía eléctrica</t>
  </si>
  <si>
    <t>3520 - Producción de gas; distribución de combustibles gaseosos por tuberías</t>
  </si>
  <si>
    <t>3530 - Suministro de vapor y aire acondicionado</t>
  </si>
  <si>
    <t>3600 - Captación, tratamiento y distribución de agua</t>
  </si>
  <si>
    <t>3700 - Evacuación y tratamiento de aguas residuales</t>
  </si>
  <si>
    <t>3811 - Recolección de desechos no peligrosos</t>
  </si>
  <si>
    <t>3812 - Recolección de desechos peligrosos</t>
  </si>
  <si>
    <t>3821 - Tratamiento y disposición de desechos no peligrosos</t>
  </si>
  <si>
    <t>3822 - Tratamiento y disposición de desechos peligrosos</t>
  </si>
  <si>
    <t>3830 - Recuperación de materiales</t>
  </si>
  <si>
    <t>3900 - Actividades de saneamiento ambiental y otros servicios de gestión de desechos</t>
  </si>
  <si>
    <t>4111 - Construcción de edificios residenciales</t>
  </si>
  <si>
    <t>4112 - Construcción de edificios no residenciales</t>
  </si>
  <si>
    <t>4210 - Construcción de carreteras y vías de ferrocarril</t>
  </si>
  <si>
    <t>4220 - Construcción de proyectos de servicio público</t>
  </si>
  <si>
    <t>4290 - Construcción de otras obras de ingeniería civil</t>
  </si>
  <si>
    <t>4311 - Demolición</t>
  </si>
  <si>
    <t>4312 - Preparación del terreno</t>
  </si>
  <si>
    <t>4322 - Instalaciones de fontanería, calefacción y aire acondicionado</t>
  </si>
  <si>
    <t>4329 - Otras instalaciones especializadas</t>
  </si>
  <si>
    <t>4330 - Terminación y acabado de edificios y obras de ingeniería civil</t>
  </si>
  <si>
    <t>4390 - Otras actividades especializadas para la construcción de edificios y obras de ingeniería civil</t>
  </si>
  <si>
    <t>4511 - Comercio de vehículos automotores nuevos</t>
  </si>
  <si>
    <t>4512 - Comercio de vehículos automotores usados</t>
  </si>
  <si>
    <t>4520 - Mantenimiento y reparación de vehículos automotores</t>
  </si>
  <si>
    <t>4530 - Comercio de partes, piezas (autopartes) y accesorios (lujos) para vehículos automotores</t>
  </si>
  <si>
    <t>4541 - Comercio de motocicletas y de sus partes, piezas y accesorios</t>
  </si>
  <si>
    <t>4610 - Comercio al por mayor a cambio de una retribución o por contrata</t>
  </si>
  <si>
    <t>4620 - Comercio al por mayor de materias primas agropecuarias; animales vivos</t>
  </si>
  <si>
    <t>4631 - Comercio al por mayor de productos alimenticios</t>
  </si>
  <si>
    <t>4632 - Comercio al por mayor de bebidas y tabaco</t>
  </si>
  <si>
    <t>4641 - Comercio al por mayor de productos textiles, productos confeccionados para uso doméstico</t>
  </si>
  <si>
    <t>4642 - Comercio al por mayor de prendas de vestir</t>
  </si>
  <si>
    <t>4643 - Comercio al por mayor de calzado</t>
  </si>
  <si>
    <t>4644 - Comercio al por mayor de aparatos y equipo de uso doméstico</t>
  </si>
  <si>
    <t>4645 - Comercio al por mayor de productos farmacéuticos, medicinales, cosméticos y de tocador</t>
  </si>
  <si>
    <t>4649 - Comercio al por mayor de otros utensilios domésticos n.c.p.</t>
  </si>
  <si>
    <t>4651 - Comercio al por mayor de computadores, equipo periférico y programas de informática</t>
  </si>
  <si>
    <t>4652 - Comercio al por mayor de equipo, partes y piezas electrónicos y de telecomunicaciones</t>
  </si>
  <si>
    <t>4653 - Comercio al por mayor de maquinaria y equipo agropecuarios</t>
  </si>
  <si>
    <t>4659 - Comercio al por mayor de otros tipos de maquinaria y equipo n.c.p.</t>
  </si>
  <si>
    <t>4661 - Comercio al por mayor de combustibles sólidos, líquidos, gaseosos y productos conexos</t>
  </si>
  <si>
    <t>4662 - Comercio al por mayor de metales y productos metalíferos</t>
  </si>
  <si>
    <t>4663 - Comercio al por mayor de materiales de construcción, artículos de ferretería, pinturas, productos de vidrio, equipo y materiales de fontanería y calefacción</t>
  </si>
  <si>
    <t>4664 - Comercio al por mayor de productos químicos básicos, cauchos y plásticos en formas primarias y productos químicos de uso agropecuario</t>
  </si>
  <si>
    <t>4665 - Comercio al por mayor de desperdicios, desechos y chatarra</t>
  </si>
  <si>
    <t>4669 - Comercio al por mayor de otros productos n.c.p.</t>
  </si>
  <si>
    <t>4690 - Comercio al por mayor no especializado</t>
  </si>
  <si>
    <t>4711 - Comercio al por menor en establecimientos no especializados con surtido compuesto principalmente por alimentos, bebidas o tabaco</t>
  </si>
  <si>
    <t>4719 - Comercio al por menor en establecimientos no especializados, con surtido compuesto principalmente por productos diferentes de alimentos (víveres en general), bebidas y tabaco</t>
  </si>
  <si>
    <t>4721 - Comercio al por menor de productos agrícolas para el consumo en establecimientos especializados</t>
  </si>
  <si>
    <t>4722 - Comercio al por menor de leche, productos lácteos y huevos, en establecimientos especializados</t>
  </si>
  <si>
    <t>4723 - Comercio al por menor de carnes (incluye aves de corral), productos cárnicos, pescados y productos de mar, en establecimientos especializados</t>
  </si>
  <si>
    <t>4724 - Comercio al por menor de bebidas y productos del tabaco, en establecimientos especializados</t>
  </si>
  <si>
    <t>4729 - Comercio al por menor de otros productos alimenticios n.c.p., en establecimientos especializados</t>
  </si>
  <si>
    <t>4731 - Comercio al por menor de combustible para automotores</t>
  </si>
  <si>
    <t>4732 - Comercio al por menor de lubricantes (aceites, grasas), aditivos y productos de limpieza para vehículos automotores</t>
  </si>
  <si>
    <t>4741 - Comercio al por menor de computadores, equipos periféricos, programas de informática y equipos de telecomunicaciones en establecimientos especializados</t>
  </si>
  <si>
    <t>4742 - Comercio al por menor de equipos y aparatos de sonido y de video, en establecimientos especializados</t>
  </si>
  <si>
    <t>4751 - Comercio al por menor de productos textiles en establecimientos especializados</t>
  </si>
  <si>
    <t>4752 - Comercio al por menor de artículos de ferretería, pinturas y productos de vidrio en establecimientos especializados</t>
  </si>
  <si>
    <t>4753 - Comercio al por menor de tapices, alfombras y cubrimientos para paredes y pisos en establecimientos especializados</t>
  </si>
  <si>
    <t>4754 - Comercio al por menor de electrodomésticos y gasodomésticos de uso doméstico, muebles y equipos de iluminación</t>
  </si>
  <si>
    <t>4755 - Comercio al por menor de artículos y utensilios de uso doméstico</t>
  </si>
  <si>
    <t>4759 - Comercio al por menor de otros artículos domésticos en establecimientos especializados</t>
  </si>
  <si>
    <t>4761 - Comercio al por menor de libros, periódicos, materiales y artículos de papelería y escritorio, en establecimientos especializados</t>
  </si>
  <si>
    <t xml:space="preserve">4762 - Comercio al por menor de artículos deportivos, en establecimientos especializados </t>
  </si>
  <si>
    <t>4769 - Comercio al por menor de otros artículos culturales y de entretenimiento n.c.p. en establecimientos especializados</t>
  </si>
  <si>
    <t>4771 - Comercio al por menor de prendas de vestir y sus accesorios (incluye artículos de piel) en establecimientos especializados</t>
  </si>
  <si>
    <t>4772 - Comercio al por menor de todo tipo de calzado y artículos de cuero y sucedáneos del cuero en establecimientos especializados.</t>
  </si>
  <si>
    <t>4773 - Comercio al por menor de productos farmacéuticos y medicinales, cosméticos y artículos de tocador en establecimientos especializados</t>
  </si>
  <si>
    <t>4774 - Comercio al por menor de otros productos nuevos en establecimientos especializados</t>
  </si>
  <si>
    <t>4775 - Comercio al por menor de artículos de segunda mano</t>
  </si>
  <si>
    <t>4781 - Comercio al por menor de alimentos, bebidas y tabaco, en puestos de venta móviles</t>
  </si>
  <si>
    <t>4782 - Comercio al por menor de productos textiles, prendas de vestir y calzado, en puestos de venta móviles</t>
  </si>
  <si>
    <t>4789 - Comercio al por menor de otros productos en puestos de venta móviles</t>
  </si>
  <si>
    <t>4791 - Comercio al por menor realizado a través de Internet</t>
  </si>
  <si>
    <t>4792 - Comercio al por menor realizado a través de casas de venta o por correo</t>
  </si>
  <si>
    <t>4799 - Otros tipos de comercio al por menor no realizado en establecimientos, puestos de venta o mercados.</t>
  </si>
  <si>
    <t>4911 - Transporte férreo de pasajeros</t>
  </si>
  <si>
    <t xml:space="preserve">4912 - Transporte férreo de carga </t>
  </si>
  <si>
    <t>4921 - Transporte de pasajeros</t>
  </si>
  <si>
    <t>4922 - Transporte mixto</t>
  </si>
  <si>
    <t>4923 - Transporte de carga por carretera</t>
  </si>
  <si>
    <t>4930 - Transporte por tuberías</t>
  </si>
  <si>
    <t xml:space="preserve">5011 - Transporte de pasajeros marítimo y de cabotaje </t>
  </si>
  <si>
    <t xml:space="preserve">5012 - Transporte de carga marítimo y de cabotaje </t>
  </si>
  <si>
    <t>5021 - Transporte fluvial de pasajeros</t>
  </si>
  <si>
    <t>5022 - Transporte fluvial de carga</t>
  </si>
  <si>
    <t xml:space="preserve">5111 - Transporte aéreo nacional de pasajeros </t>
  </si>
  <si>
    <t xml:space="preserve">5112 - Transporte aéreo internacional de pasajeros </t>
  </si>
  <si>
    <t xml:space="preserve">5121 - Transporte aéreo nacional de carga </t>
  </si>
  <si>
    <t xml:space="preserve">5122 - Transporte aéreo internacional de carga </t>
  </si>
  <si>
    <t>5210 - Almacenamiento y depósito</t>
  </si>
  <si>
    <t>5221 - Actividades de estaciones, vías y servicios complementarios para el transporte terrestre</t>
  </si>
  <si>
    <t>5222 - Actividades de puertos y servicios complementarios para el transporte acuático</t>
  </si>
  <si>
    <t>5223 - Actividades de aeropuertos, servicios de navegación aérea y demás actividades conexas al transporte aéreo</t>
  </si>
  <si>
    <t>5224 - Manipulación de carga</t>
  </si>
  <si>
    <t>5229 - Otras actividades complementarias al transporte</t>
  </si>
  <si>
    <t>5310 - Actividades postales nacionales</t>
  </si>
  <si>
    <t>5320 - Actividades de mensajería</t>
  </si>
  <si>
    <t xml:space="preserve">5511 - Alojamiento en hoteles </t>
  </si>
  <si>
    <t>5512 - Alojamiento en apartahoteles</t>
  </si>
  <si>
    <t xml:space="preserve">5513 - Alojamiento en centros vacacionales </t>
  </si>
  <si>
    <t>5514 - Alojamiento rural</t>
  </si>
  <si>
    <t>5519 - Otros tipos de alojamientos para visitantes</t>
  </si>
  <si>
    <t>5520 - Actividades de zonas de camping y parques para vehículos recreacionales</t>
  </si>
  <si>
    <t xml:space="preserve">5530 - Servicio por horas </t>
  </si>
  <si>
    <t>5590 - Otros tipos de alojamiento n.c.p.</t>
  </si>
  <si>
    <t>5611 - Expendio a la mesa de comidas preparadas</t>
  </si>
  <si>
    <t>5612 - Expendio por autoservicio de comidas preparadas</t>
  </si>
  <si>
    <t>5613 - Expendio de comidas preparadas en cafeterías</t>
  </si>
  <si>
    <t>5619 - Otros tipos de expendio de comidas preparadas n.c.p.</t>
  </si>
  <si>
    <t>5621 - Catering para eventos</t>
  </si>
  <si>
    <t>5629 - Actividades de otros servicios de comidas</t>
  </si>
  <si>
    <t>5630 - Expendio de bebidas alcohólicas para el consumo dentro del establecimiento</t>
  </si>
  <si>
    <t>5811 - Edición de libros</t>
  </si>
  <si>
    <t>5812 - Edición de directorios y listas de correo</t>
  </si>
  <si>
    <t>5813 - Edición de periódicos, revistas y otras publicaciones periódicas</t>
  </si>
  <si>
    <t>5819 - Otros trabajos de edición</t>
  </si>
  <si>
    <t>5820 - Edición de programas de informática (software)</t>
  </si>
  <si>
    <t>5911 - Actividades de producción de películas cinematográficas, videos, programas, anuncios y comerciales de televisión</t>
  </si>
  <si>
    <t>5912 - Actividades de posproducción de películas cinematográficas, videos, programas, anuncios y comerciales de televisión</t>
  </si>
  <si>
    <t>5913 - Actividades de distribución de películas cinematográficas, videos, programas, anuncios y comerciales de televisión</t>
  </si>
  <si>
    <t>5914 - Actividades de exhibición de películas cinematográficas y videos</t>
  </si>
  <si>
    <t>5920 - Actividades de grabación de sonido y edición de musica</t>
  </si>
  <si>
    <t>6010 - Actividades de programación y transmisión en el servicio de radiodifusión sonora</t>
  </si>
  <si>
    <t>6020 - Actividades de programación y transmisión de televisión</t>
  </si>
  <si>
    <t>6110 - Actividades de telecomunicaciones alámbricas</t>
  </si>
  <si>
    <t>6120 - Actividades de telecomunicaciones inalámbricas</t>
  </si>
  <si>
    <t>6130 - Actividades de telecomunicación satelital</t>
  </si>
  <si>
    <t>6190 - Otras actividades de telecomunicaciones</t>
  </si>
  <si>
    <t>6201 - Actividades de desarrollo de sistemas informáticos (planificación, análisis, diseño, programación, pruebas)</t>
  </si>
  <si>
    <t>6202 - Actividades de consultoría informática y actividades de administración de instalaciones informáticas</t>
  </si>
  <si>
    <t>6209 - Otras actividades de tecnologías de información y actividades de servicios informáticos</t>
  </si>
  <si>
    <t>6311 - Procesamiento de datos, alojamiento (hosting) y actividades relacionadas</t>
  </si>
  <si>
    <t>6312 - Portales web</t>
  </si>
  <si>
    <t>6391 - Actividades de agencias de noticias</t>
  </si>
  <si>
    <t>6399 - Otras actividades de servicio de información n.c.p.</t>
  </si>
  <si>
    <t>6411 - Banco Central</t>
  </si>
  <si>
    <t>6412 - Bancos comerciales</t>
  </si>
  <si>
    <t>6421 - Actividades de las corporaciones financieras</t>
  </si>
  <si>
    <t>6422 - Actividades de las compañías de financiamiento</t>
  </si>
  <si>
    <t>6423 - Banca de segundo piso</t>
  </si>
  <si>
    <t>6424 - Actividades de las cooperativas financieras</t>
  </si>
  <si>
    <t>6431 - Fideicomisos, fondos y entidades financieras similares</t>
  </si>
  <si>
    <t>6432 - Fondos de cesantías</t>
  </si>
  <si>
    <t>6491 - Leasing financiero (arrendamiento financiero)</t>
  </si>
  <si>
    <t>6492 - Actividades financieras de fondos de empleados y otras formas asociativas del sector solidario</t>
  </si>
  <si>
    <t>6493 - Actividades de compra de cartera o factoring</t>
  </si>
  <si>
    <t>6494 - Otras actividades de distribución de fondos</t>
  </si>
  <si>
    <t>6495 - Instituciones especiales oficiales</t>
  </si>
  <si>
    <t>6499 - Otras actividades de servicio financiero, excepto las de seguros y pensiones n.c.p.</t>
  </si>
  <si>
    <t xml:space="preserve">6511 - Seguros generales </t>
  </si>
  <si>
    <t>6512 - Seguros de vida</t>
  </si>
  <si>
    <t>6513 - Reaseguros</t>
  </si>
  <si>
    <t>6514 - Capitalización</t>
  </si>
  <si>
    <t>6521 - Servicios de seguros sociales de salud</t>
  </si>
  <si>
    <t>6522 - Servicios de seguros sociales de riesgos profesionales</t>
  </si>
  <si>
    <t>6531 - Régimen de prima media con prestación definida (RPM)</t>
  </si>
  <si>
    <t>6532 - Régimen de ahorro individual (RAI)</t>
  </si>
  <si>
    <t>6611 - Administración de mercados financieros</t>
  </si>
  <si>
    <t>6612 - Corretaje de valores y de contratos de productos básicos</t>
  </si>
  <si>
    <t>6613 - Otras actividades relacionadas con el mercado de valores</t>
  </si>
  <si>
    <t>6614 - Actividades de las casas de cambio</t>
  </si>
  <si>
    <t>6615 - Actividades de los profesionales de compra y venta de divisas</t>
  </si>
  <si>
    <t>6619 - Otras actividades auxiliares de las actividades de servicios financieros n.c.p.</t>
  </si>
  <si>
    <t>6621 - Actividades de agentes y corredores de seguros</t>
  </si>
  <si>
    <t>6629 - Evaluación de riesgos y daños, y otras actividades de servicios auxiliares</t>
  </si>
  <si>
    <t>6630 - Actividades de administración de fondos</t>
  </si>
  <si>
    <t>6810 - Actividades inmobiliarias realizadas con bienes propios o arrendados</t>
  </si>
  <si>
    <t xml:space="preserve">6820 - Actividades inmobiliarias realizadas a cambio de una retribución o por contrata </t>
  </si>
  <si>
    <t>6910 - Actividades jurídicas</t>
  </si>
  <si>
    <t>6920 - Actividades de contabilidad, teneduría de libros, auditoría financiera y asesoría tributaria</t>
  </si>
  <si>
    <t>7010 - Actividades de administración empresarial</t>
  </si>
  <si>
    <t>7020 - Actividades de consultaría de gestión</t>
  </si>
  <si>
    <t>7111 - Actividades de arquitectura</t>
  </si>
  <si>
    <t>7112-  Actividad de ingeniería y otras actividades conexas de consultoría técnica</t>
  </si>
  <si>
    <t>7120 - Ensayos y análisis técnicos</t>
  </si>
  <si>
    <t xml:space="preserve">7210 - Investigaciones y desarrollo experimental en el campo de las ciencias naturales y la ingeniería </t>
  </si>
  <si>
    <t>7220 - Investigaciones y desarrollo experimental en el campo de las ciencias sociales y las humanidades</t>
  </si>
  <si>
    <t>7310 - Publicidad</t>
  </si>
  <si>
    <t>7320 - Estudios de mercado y realización de encuestas de opinión pública</t>
  </si>
  <si>
    <t xml:space="preserve">7410 - Actividades especializadas de diseño </t>
  </si>
  <si>
    <t>7420 - Actividades de fotografía</t>
  </si>
  <si>
    <t>7490 - Otras actividades profesionales, científicas y técnicas n.c.p.</t>
  </si>
  <si>
    <t>7500 - Actividades veterinarias</t>
  </si>
  <si>
    <t>7710 - Alquiler y arrendamiento de vehículos automotores</t>
  </si>
  <si>
    <t>7721 - Alquiler y arrendamiento de equipo recreativo y deportivo</t>
  </si>
  <si>
    <t xml:space="preserve">7722 - Alquiler de videos y discos </t>
  </si>
  <si>
    <t>7729 - Alquiler y arrendamiento de otros efectos personales y enseres domésticos n.c.p.</t>
  </si>
  <si>
    <t>7730 - Alquiler y arrendamiento de otros tipos de maquinaria, equipo y bienes tangibles n.c.p.</t>
  </si>
  <si>
    <t>7740 - Arrendamiento de propiedad intelectual y productos similares, excepto obras protegidas por derechos de autor</t>
  </si>
  <si>
    <t>7810 - Actividades de agencias de empleo</t>
  </si>
  <si>
    <t>7820 - Actividades de agencias de empleo temporal</t>
  </si>
  <si>
    <t>7830 - Otras actividades de suministro de recurso humano</t>
  </si>
  <si>
    <t>7911 - Actividades de las agencias de viaje</t>
  </si>
  <si>
    <t>7912 - Actividades de operadores turísticos</t>
  </si>
  <si>
    <t>7990 - Otros servicios de reserva y actividades relacionadas</t>
  </si>
  <si>
    <t>8010 - Actividades de seguridad privada</t>
  </si>
  <si>
    <t>8020 - Actividades de servicios de sistemas de seguridad</t>
  </si>
  <si>
    <t>8030 - Actividades de detectives e investigadores privados</t>
  </si>
  <si>
    <t>8110 - Actividades combinadas de apoyo a instalaciones</t>
  </si>
  <si>
    <t>8121 - Limpieza general interior de edificios</t>
  </si>
  <si>
    <t>8129 - Otras actividades de limpieza de edificios e instalaciones industriales</t>
  </si>
  <si>
    <t>8130 - Actividades de paisajismo y servicios de mantenimiento conexos</t>
  </si>
  <si>
    <t>8211 - Actividades combinadas de servicios administrativos de oficina</t>
  </si>
  <si>
    <t>8219 - Fotocopiado, preparación de documentos y otras actividades especializadas de apoyo a oficina</t>
  </si>
  <si>
    <t>8220 - Actividades de centros de llamadas (Call center)</t>
  </si>
  <si>
    <t>8230 - Organización de convenciones y eventos comerciales</t>
  </si>
  <si>
    <t>8291 - Actividades de agencias de cobranza y oficinas de calificación crediticia</t>
  </si>
  <si>
    <t>8292 - Actividades de envase y empaque</t>
  </si>
  <si>
    <t>8299 - Otras actividades de servicio de apoyo a las empresas n.c.p.</t>
  </si>
  <si>
    <t>8411 - Actividades legislativas de la administración pública</t>
  </si>
  <si>
    <t>8412 - Actividades ejecutivas de la administración pública</t>
  </si>
  <si>
    <t xml:space="preserve">8413 - Regulación de las actividades de organismos que prestan servicios de salud, educativos, culturales y otros servicios sociales, excepto servicios de seguridad social </t>
  </si>
  <si>
    <t>8414 - Actividades reguladoras y facilitadoras de la actividad económica</t>
  </si>
  <si>
    <t>8415 - Actividades de los otros órganos de control</t>
  </si>
  <si>
    <t xml:space="preserve">8421 - Relaciones exteriores </t>
  </si>
  <si>
    <t>8422 - Actividades de defensa</t>
  </si>
  <si>
    <t>8423 - Orden público y actividades de seguridad</t>
  </si>
  <si>
    <t>8424 - Administración de justicia</t>
  </si>
  <si>
    <t>8430 - Actividades de planes de seguridad social de afiliación obligatoria</t>
  </si>
  <si>
    <t>8511 - Educación de la primera infancia</t>
  </si>
  <si>
    <t>8512 - Educación preescolar</t>
  </si>
  <si>
    <t>8513 - Educación básica primaria</t>
  </si>
  <si>
    <t xml:space="preserve">8521 - Educación básica secundaria </t>
  </si>
  <si>
    <t>8522 - Educación media académica</t>
  </si>
  <si>
    <t>8523 - Educación media técnica y de formación laboral</t>
  </si>
  <si>
    <t xml:space="preserve">8530 - Establecimientos que combinan diferentes niveles de educación </t>
  </si>
  <si>
    <t>8541 - Educación técnica profesional</t>
  </si>
  <si>
    <t>8542 - Educación tecnológica</t>
  </si>
  <si>
    <t>8543 - Educación de instituciones universitarias o de escuelas tecnológicas</t>
  </si>
  <si>
    <t>8544 - Educación de universidades</t>
  </si>
  <si>
    <t xml:space="preserve">8551 - Formación académica no formal </t>
  </si>
  <si>
    <t>8552 - Enseñanza deportiva y recreativa</t>
  </si>
  <si>
    <t>8553 - Enseñanza cultural</t>
  </si>
  <si>
    <t>8559 - Otros tipos de educación n.c.p.</t>
  </si>
  <si>
    <t>8560 - Actividades de apoyo a la educación</t>
  </si>
  <si>
    <t>8610 - Actividades de hospitales y clínicas, con internación</t>
  </si>
  <si>
    <t>8621 - Actividades de la práctica médica, sin internación</t>
  </si>
  <si>
    <t>8622 - Actividades de la práctica odontológica</t>
  </si>
  <si>
    <t>8691 - Actividades de apoyo diagnóstico</t>
  </si>
  <si>
    <t>8692 - Actividades de apoyo terapéutico</t>
  </si>
  <si>
    <t>8699 - Otras actividades de atención de la salud humana</t>
  </si>
  <si>
    <t>8710 - Actividades de atención residencial medicalizada de tipo general</t>
  </si>
  <si>
    <t>8720 - Actividades de atención residencial, para el cuidado de pacientes con retardo mental, enfermedad mental y consumo de sustancias psicoactivas</t>
  </si>
  <si>
    <t>8730 - Actividades de atención en instituciones para el cuidado de personas mayores y/o discapacitadas</t>
  </si>
  <si>
    <t>8790 - Otras actividades de atención en instituciones con alojamiento</t>
  </si>
  <si>
    <t>8810 - Actividades de asistencia social sin alojamiento para personas mayores y discapacitadas</t>
  </si>
  <si>
    <t>8890 - Otras actividades de asistencia social sin alojamiento</t>
  </si>
  <si>
    <t>9001 - Creación literaria</t>
  </si>
  <si>
    <t>9002 - Creación musical</t>
  </si>
  <si>
    <t>9003 - Creación teatral</t>
  </si>
  <si>
    <t>9004 - Creación audiovisual</t>
  </si>
  <si>
    <t>9005 - Artes plásticas y visuales</t>
  </si>
  <si>
    <t>9006 - Actividades teatrales</t>
  </si>
  <si>
    <t>9007 - Actividades de espectáculos musicales en vivo</t>
  </si>
  <si>
    <t>9008 - Otras actividades de espectáculos en vivo</t>
  </si>
  <si>
    <t>9101 - Actividades de bibliotecas y archivos</t>
  </si>
  <si>
    <t>9102 - Actividades y funcionamiento de museos, conservación de edificios y sitios históricos</t>
  </si>
  <si>
    <t>9103 - Actividades de jardines botánicos, zoológicos y reservas naturales</t>
  </si>
  <si>
    <t>9200 - Actividades de juegos de azar y apuestas</t>
  </si>
  <si>
    <t>9311 - Gestión de instalaciones deportivas</t>
  </si>
  <si>
    <t>9312 - Actividades de clubes deportivos</t>
  </si>
  <si>
    <t>9319 - Otras actividades deportivas</t>
  </si>
  <si>
    <t>9321 - Actividades de parques de atracciones y parques temáticos</t>
  </si>
  <si>
    <t>9329 - Otras actividades recreativas y de esparcimiento n.c.p.</t>
  </si>
  <si>
    <t>9411 - Actividades de asociaciones empresariales y de empleadores</t>
  </si>
  <si>
    <t>9412 - Actividades de asociaciones profesionales</t>
  </si>
  <si>
    <t>9420 - Actividades de sindicatos de empleados</t>
  </si>
  <si>
    <t>9491 - Actividades de asociaciones religiosas</t>
  </si>
  <si>
    <t>9492 - Actividades de asociaciones políticas</t>
  </si>
  <si>
    <t>9499 - Actividades de otras asociaciones n.c.p.</t>
  </si>
  <si>
    <t>9511 - Mantenimiento y reparación de computadores y de equipo periférico</t>
  </si>
  <si>
    <t>9512 - Mantenimiento y reparación de equipos de comunicación</t>
  </si>
  <si>
    <t>9521 - Mantenimiento y reparación de aparatos electrónicos de consumo</t>
  </si>
  <si>
    <t xml:space="preserve">9522 - Mantenimiento y reparación de aparatos y equipos domésticos y de jardinería </t>
  </si>
  <si>
    <t>9523 - Reparación de calzado y artículos de cuero</t>
  </si>
  <si>
    <t>9524 - Reparación de muebles y accesorios para el hogar</t>
  </si>
  <si>
    <t>9529 - Mantenimiento y reparación de otros efectos personales y enseres domésticos</t>
  </si>
  <si>
    <t>9601 - Lavado y limpieza, incluso la limpieza en seco, de productos textiles y de piel</t>
  </si>
  <si>
    <t>9602 - Peluquería y otros tratamientos de belleza</t>
  </si>
  <si>
    <t>9603 - Pompas fúnebres y actividades relacionadas</t>
  </si>
  <si>
    <t>9609 - Otras actividades de servicios personales n.c.p.</t>
  </si>
  <si>
    <t>Bienes_Biomasa_Biogás</t>
  </si>
  <si>
    <t>Bienes_Biomasa_Gasificación</t>
  </si>
  <si>
    <t>Bienes_Biomasa_Pirolización</t>
  </si>
  <si>
    <t>Bienes_Biomasa_Cultivos_energéticos</t>
  </si>
  <si>
    <t>Bienes_Biomasa_Generación_cogeneración</t>
  </si>
  <si>
    <t>Bienes_Eólica_Eólica</t>
  </si>
  <si>
    <t>Bienes_Geotérmica_Central_de_vapor_seco</t>
  </si>
  <si>
    <t>Bienes_Geotérmica_Central_flash</t>
  </si>
  <si>
    <t>Bienes_Geotérmica_Central_de_ciclo_binario</t>
  </si>
  <si>
    <t>Bienes_PCH_Hidráulica</t>
  </si>
  <si>
    <t>Bienes_PCH_Hidrocinética</t>
  </si>
  <si>
    <t>Bienes_Solar_Fotovoltaica</t>
  </si>
  <si>
    <t>Biodigestores</t>
  </si>
  <si>
    <t>Gasificadores</t>
  </si>
  <si>
    <t>Bunkers (almacenamiento de residuos)</t>
  </si>
  <si>
    <t>Equipos y componentes para la producción de cultivos energéticos (torre de madereo, skidder, harvester, brazo cargador, carreto cosechador, winche o cabrestante, astillador de madera, tractores, grúas y grapas).</t>
  </si>
  <si>
    <t>Motores de CI diseñados para operar con biogás o biocombustibles</t>
  </si>
  <si>
    <t>Equipos LIDAR</t>
  </si>
  <si>
    <t>Bombas centrífugas, electrosumergibles, de calor geotérmicas</t>
  </si>
  <si>
    <t>Tuberías</t>
  </si>
  <si>
    <t>Equipos de medición del recurso solar</t>
  </si>
  <si>
    <t xml:space="preserve">Digestores y post-digestores </t>
  </si>
  <si>
    <t>Sistemas de purificación del gas</t>
  </si>
  <si>
    <t>Trituradoras</t>
  </si>
  <si>
    <t>Equipos para el sistema de riego y drenaje empleados en el establecimiento de cultivos con propósitos energéticos (tuberías de PVC, CPVC, válvulas, tanques, bombas)</t>
  </si>
  <si>
    <t>Calderas para operar con biomasa, biogás o sus derivados, asi como equipos para adaptación de calderas para uso con biomasa, biogás o sus derivados</t>
  </si>
  <si>
    <t>Equipos SODAR</t>
  </si>
  <si>
    <t>Válvulas</t>
  </si>
  <si>
    <t>Chimeneas de equilibrio, aliviaderos</t>
  </si>
  <si>
    <t>Tanques de almacenamiento.</t>
  </si>
  <si>
    <t>Turbinas de gas y de vapor</t>
  </si>
  <si>
    <t>Hornos rotatorios para pirólisis</t>
  </si>
  <si>
    <t>Equipos para mecanización del terreno y extracción de madera (Subsoladores, rastra, caballoneador, taipa, cortamalezas, sembradora)</t>
  </si>
  <si>
    <t>Turbinas de condensación para operar con biogás</t>
  </si>
  <si>
    <t>Torres de medición</t>
  </si>
  <si>
    <t>Silenciadores</t>
  </si>
  <si>
    <t>Válvulas y compuertas</t>
  </si>
  <si>
    <t>Datalogger</t>
  </si>
  <si>
    <t>Equipos de medición de producción de biogás y concentración de metano</t>
  </si>
  <si>
    <t>Generadores de vapor</t>
  </si>
  <si>
    <t>Cámaras de combustión</t>
  </si>
  <si>
    <t>Máquinas peletizadoras</t>
  </si>
  <si>
    <t>Turbinas de contra-presión para operar con biogás</t>
  </si>
  <si>
    <t>Anemómetros</t>
  </si>
  <si>
    <t>Desarenadoras</t>
  </si>
  <si>
    <t>Turbinas</t>
  </si>
  <si>
    <t>Estaciones meteorológicas</t>
  </si>
  <si>
    <t>Equipos para desulfuración de biogás (y remoción de impurezas)</t>
  </si>
  <si>
    <t>Unidad funcional</t>
  </si>
  <si>
    <t>Separador magnético</t>
  </si>
  <si>
    <t>Equipos para la preparación y transformación de biomasa (equipos de torrefacción, secadores de biomasa, maquinas briqueteadoras)</t>
  </si>
  <si>
    <t>Incineradores de residuos y sus componentes para la recuperación de calor para la tecnología “waste to energy”</t>
  </si>
  <si>
    <t>Veletas</t>
  </si>
  <si>
    <t>Tuberías de vapor, salmuera</t>
  </si>
  <si>
    <t>Turbogeneradores</t>
  </si>
  <si>
    <t>Equipos para remoción de CO2 de biogás (equipos para producción de biometano)</t>
  </si>
  <si>
    <t>Equipos para el transporte de biomasa (transportadores de tornillo sinfín, elevadores de cangilones, transportadores de cadena Redler, sinfines, transportadores de banda)</t>
  </si>
  <si>
    <t>Bio-refinerías para transformación de residuos sólidos urbanos en biocombustibles líquidos</t>
  </si>
  <si>
    <t>Data Logger</t>
  </si>
  <si>
    <t>Separadores de vapor o de humedad</t>
  </si>
  <si>
    <t>Dispositivos de regulación y tubos difusores</t>
  </si>
  <si>
    <t>Paneles/modulos o celdas fotovoltaicas</t>
  </si>
  <si>
    <t>Ventiladores / sopladores para flujo de biogás</t>
  </si>
  <si>
    <t>Calderas</t>
  </si>
  <si>
    <t>Medidores bidireccionales</t>
  </si>
  <si>
    <t>Generadores</t>
  </si>
  <si>
    <t>Tanques de almacenamiento</t>
  </si>
  <si>
    <t>Bombas y motores</t>
  </si>
  <si>
    <t>Inversores o microinversores (Off Gid, Grid Tie o Híbrido)</t>
  </si>
  <si>
    <t>Filtros de manga</t>
  </si>
  <si>
    <t>Medidores Inteligentes</t>
  </si>
  <si>
    <t>Recuperadores de calor</t>
  </si>
  <si>
    <t>Equipos de alimentación DC/AC</t>
  </si>
  <si>
    <t>Intercambiadores de calor, evaporadores o condensadores</t>
  </si>
  <si>
    <t>Elementos hidromecámicos</t>
  </si>
  <si>
    <t>Reguladores o controladores de carga</t>
  </si>
  <si>
    <t>Trampas: de ácido sulfhídrico, de llama, de agua</t>
  </si>
  <si>
    <t>Catalizadores</t>
  </si>
  <si>
    <t>Transformadores (de potencia, medida e instrumentación)</t>
  </si>
  <si>
    <t>Sistemas de pretratamiento de agua</t>
  </si>
  <si>
    <t>Baterías solares (de ciclo de descarga profunda): Puede ser de plomo-acido, ions de litio, niquel cadmio, u otro.</t>
  </si>
  <si>
    <t>Ventiladores</t>
  </si>
  <si>
    <t>Bóvedas, puertas cortafuego, compuertas de ventilación y sellos cortafuego</t>
  </si>
  <si>
    <t>Sistemas de tratamiento de gases de chimenea de las calderas</t>
  </si>
  <si>
    <t>Aerogeneradores (como un todo)</t>
  </si>
  <si>
    <t>Transformadores de excitación y retificadores</t>
  </si>
  <si>
    <t>Optimizadores</t>
  </si>
  <si>
    <t>Hornos</t>
  </si>
  <si>
    <t>Celdas AC/DC</t>
  </si>
  <si>
    <t>Sistemas recuperadores de condensados</t>
  </si>
  <si>
    <t>Torres de aerogeneradores</t>
  </si>
  <si>
    <t>Instrumentos de medida de presión (manómetro), temperatura y flujo másico de fluidos y vapor</t>
  </si>
  <si>
    <t>Equipos de regulación de tensión, equipo de regulación de velocidad, control, protección y medida</t>
  </si>
  <si>
    <t>Bases / marcos / estructuras diseñadas para montar, anclar e instalar paneles</t>
  </si>
  <si>
    <t>Teas de emergencia</t>
  </si>
  <si>
    <t>Contadores</t>
  </si>
  <si>
    <t>Sistemas cerrados de refrigeración de auxiliares y turbina</t>
  </si>
  <si>
    <t>Luces de obstrucción y desviadores</t>
  </si>
  <si>
    <t>Eyectores de vapor (NCG &amp; H2S)</t>
  </si>
  <si>
    <t>Equipos de medición</t>
  </si>
  <si>
    <t>Cajas combinadoras</t>
  </si>
  <si>
    <t>Bombas para flujo de sustratos en plantas de biogás</t>
  </si>
  <si>
    <t>Tableros de baja tensión AC/DC (Incluye los elementos internos)</t>
  </si>
  <si>
    <t>Torres de enfriamiento con agua o aerocondensadores</t>
  </si>
  <si>
    <t>Compresores</t>
  </si>
  <si>
    <t>Sistemas de tracking</t>
  </si>
  <si>
    <t>Tuberías en plantas de biogás, incluyendo tuberías de polietileno de alta densidad</t>
  </si>
  <si>
    <t>Alambres y cables en AC</t>
  </si>
  <si>
    <t>Sistemas de calentamiento de agua / recuperación de calor residual</t>
  </si>
  <si>
    <t>Sistemas de condensado: condensadores, torres de enfriamiento (tipo humedo, tipo seco)</t>
  </si>
  <si>
    <t>Conectores MC4</t>
  </si>
  <si>
    <t>Dispositivos de control y automatización de procesos anaerobios</t>
  </si>
  <si>
    <t>Canalizaciones: canaletas, tubos, prefabricadas con barras o con cables, ductos subterráneos</t>
  </si>
  <si>
    <t>Válvulas, reguladores y sistemas de control</t>
  </si>
  <si>
    <t>Depuradores</t>
  </si>
  <si>
    <t>Cables solares DC</t>
  </si>
  <si>
    <t>Bandejas portacables</t>
  </si>
  <si>
    <t xml:space="preserve">Sistema de retorno de condensado, precalentamiento y desgasificador  </t>
  </si>
  <si>
    <t>Elementos estructurales de pozos (de producción y de re-inyección)</t>
  </si>
  <si>
    <t>Equipos de compensación de potencia reactiva</t>
  </si>
  <si>
    <t>Barrajes</t>
  </si>
  <si>
    <t xml:space="preserve">Plantas de tratamiento de agua </t>
  </si>
  <si>
    <t>Removedores y filtros</t>
  </si>
  <si>
    <t>Equipos para la reducción de armónicos</t>
  </si>
  <si>
    <t>Cajas y conduletas</t>
  </si>
  <si>
    <t>Sistemas anti explosión duante perforación</t>
  </si>
  <si>
    <t>Fusibles y portafusibles</t>
  </si>
  <si>
    <t>Equipos para laboratorio</t>
  </si>
  <si>
    <t>Cámara de flash</t>
  </si>
  <si>
    <t>Interruptores, reconectadores, seccionadores y transferencias automáticas</t>
  </si>
  <si>
    <t>Racks de refrigeración y tuberías</t>
  </si>
  <si>
    <t>Sistemas de recolección y transporte de vapor a la planta</t>
  </si>
  <si>
    <t>Interruptores de baja tensión</t>
  </si>
  <si>
    <t>Sistemas de drenajes y canalizaciones subterráneas</t>
  </si>
  <si>
    <t>Sistemas de recolección y transporte de fluidos (salmuera y condensado) a los pozos de reinyección</t>
  </si>
  <si>
    <t>Dispositivos de protección contra sobretensiones transitorias (DPS), descargadores de rayos, apantallamiento</t>
  </si>
  <si>
    <t>Estructuras</t>
  </si>
  <si>
    <t>Unidades de potencia ininterrumpida (UPS)</t>
  </si>
  <si>
    <t>Equipos para prospección geofísica y geoquímica</t>
  </si>
  <si>
    <t>Elementos o equipos para el sistema de puesta a tierra (varillas, mallas, grapas, conectores)</t>
  </si>
  <si>
    <t>Equipos de perforación</t>
  </si>
  <si>
    <t>Equipos de monitoreo, control y automatización (no incluye equipos para conexión a internet)</t>
  </si>
  <si>
    <t>Equipos para monitoreo de temperatura</t>
  </si>
  <si>
    <t>Subestación o Power Station (transformadores, interruptores, seccionadores, trampas de onda, reconectadores, cuchillas, descargadores de sobretensión)</t>
  </si>
  <si>
    <t>Fusibles y porta fusibles</t>
  </si>
  <si>
    <t>Equipos de laboratorio para análisis geoquímicos y geológicos</t>
  </si>
  <si>
    <t>BESS (Sistema de almacenamiento con base en baterías)</t>
  </si>
  <si>
    <t>Instalaciones superficiales para prueba de pozos</t>
  </si>
  <si>
    <t>Dispositivos de protección contra sobretensiones transitorias (DPS), descargadores de rayos, apantallemiento</t>
  </si>
  <si>
    <t>Sistemas de acopio de biomasa</t>
  </si>
  <si>
    <t>Servicios_Biomasa</t>
  </si>
  <si>
    <t>Servicios_Eólica</t>
  </si>
  <si>
    <t>Servicios_Geotérmica</t>
  </si>
  <si>
    <t>Servicios_PCH</t>
  </si>
  <si>
    <t>Servicios_Solar</t>
  </si>
  <si>
    <t>Estudios de valoración de potencial para uso energético de la biomasa</t>
  </si>
  <si>
    <t>Estudios de valoración de potencial del recurso eólico.</t>
  </si>
  <si>
    <t>Alquiler equipos y plataformas de perforación para exploración geotérmica y pruebas de producción de pozos geotérmicos</t>
  </si>
  <si>
    <t>Estudios de valoración de potencial hidráulico</t>
  </si>
  <si>
    <t>Estudios de valoración de potencial del recurso solar</t>
  </si>
  <si>
    <t>Estudios ambientales</t>
  </si>
  <si>
    <t>Toma de fotografías aéreas; imágenes de satélite; etc para elaboración de cartografía</t>
  </si>
  <si>
    <t>Estudios de conexión.</t>
  </si>
  <si>
    <t>Estudios de conexión</t>
  </si>
  <si>
    <t>Estudios de valoración de potencial del recurso geotérmico</t>
  </si>
  <si>
    <t>Asesoría y consultoría técnica</t>
  </si>
  <si>
    <t>Estudios estructurales</t>
  </si>
  <si>
    <t>Diseño e Ingeniería del sistema</t>
  </si>
  <si>
    <t>Estudios de gradiente térmico</t>
  </si>
  <si>
    <t>Transporte asociado al traslado de componentes al sitio de instalación</t>
  </si>
  <si>
    <t>Diseño e ingeniería del sistema</t>
  </si>
  <si>
    <t xml:space="preserve">Instalación, montaje y puesta en operación del sistema. </t>
  </si>
  <si>
    <t>Geología / exploración. Recolección de muestras de roca y ensayos de laboratorio</t>
  </si>
  <si>
    <t>Construcción de obras civiles y estructurales para el montaje del sistema.</t>
  </si>
  <si>
    <t>Geoquímica / exploración. Recolección de muestras de líquidos y gases y ensayos de laboratorio para análisis de composición química; análisis de isótopos.</t>
  </si>
  <si>
    <t xml:space="preserve">Preparación / adaptación del terreno para instalación del sistema </t>
  </si>
  <si>
    <t>Obras civiles y estructurales para efectos de medición del recurso eólico</t>
  </si>
  <si>
    <t>Geofísica / exploración. Muestreo; procesamiento y análisis de gravimetría; magnetometría; magnetotelúrica y microsismos)</t>
  </si>
  <si>
    <t>Construcción de digestores; post-digestores y tanques de almacenamiento para proyectos de uso energético de la biomasa</t>
  </si>
  <si>
    <t>Construcción de lagunas para proyectos de uso energético de la biomasa</t>
  </si>
  <si>
    <t>Diseño e Ingeniería del sistema (Incluyendo software especializado)</t>
  </si>
  <si>
    <t>Certificación RETIE</t>
  </si>
  <si>
    <t>Construcción de instalaciones de recibo y acopio de biomasa para ser usada con fines energéticos</t>
  </si>
  <si>
    <t>7308.90.90.00</t>
  </si>
  <si>
    <t>Tracker 1P Singsun</t>
  </si>
  <si>
    <t>ISO 9001, ISO 14001 y ISO1461</t>
  </si>
  <si>
    <t>Jiangsu Guoqiang Singsun Energy Co.,Ltd</t>
  </si>
  <si>
    <t>Estructura móvil instalada para soportar los módulos fotovoltaicos y para seguir la trayectoria del sol</t>
  </si>
  <si>
    <t>Huawei</t>
  </si>
  <si>
    <t>SmartLogger3000A01EU</t>
  </si>
  <si>
    <t>Final draft EN 301 489-1 V2.2.2 (2019-09) Draft EN 301489-17 V3.2.0 (2017-03) Draft EN 301 489-52 V1.1.0 (2016-11) EN 55032:2015 EN 55011:2016 + A1:2017 (Group 1) EN 61000-3-2:2014, EN 61000-3-3:2013 EN 55035:2017 EN 55024:2010+A1:2015</t>
  </si>
  <si>
    <t>Huawei Technologies Co., Ltd</t>
  </si>
  <si>
    <t>Grupo Solaire S.A.S.</t>
  </si>
  <si>
    <t>Equipo de monitoreo y control encargado de recopilar, procesar y comunicar la información operativa del sistema fotovoltaico. Permite supervisar variables críticas como potencia generada, estado de los inversores, alarmas y parámetros eléctricos. Además, posibilita la gestión remota y la integración del sistema fotovoltaico a plataformas SCADA o portales web de seguimiento</t>
  </si>
  <si>
    <t>CENTELSA BY NEXANS</t>
  </si>
  <si>
    <t>Cable XLPE Al 1/0 AWG 15 kV 100% nivel de aislamiento – CENTELSA BY NEXANS</t>
  </si>
  <si>
    <t>ESPECIFICACIÓN GSC001 REV. 5/2018, IEC 60502-2/2014, IEC 60840/2011 y la RESOLUCIÓN 90708 DE 2013 DEL MINISTERIO DE MINAS Y ENERGÍA – RETIE (NUMERAL 20.2)</t>
  </si>
  <si>
    <t>CABLES DE ENERGÍA Y DE TELECOMUNICACIONES S.A.S.</t>
  </si>
  <si>
    <t>SONEPAR</t>
  </si>
  <si>
    <t>SONEPAR Conductor eléctrico de media tensión con aislamiento XLPE, utilizado para la conexión entre el transformador elevador del sistema fotovoltaico y el punto de interconexión con la red eléctrica. Su función principal es permitir la evacuación de la energía generada por la planta solar hacia la red, operando a 15 kV con nivel de aislamiento del 100 %. El cable es específico para redes de distribución en media tensión y cumple con los requisitos técnicos exigidos por el RETIE, siendo un componente indispensable e inherente a la infraestructura de generación de energía.en media tensión entre la celda de protección y el punto de interconexión a la red del Operador de Red</t>
  </si>
  <si>
    <t>PRYSMIAN GROUP</t>
  </si>
  <si>
    <t>CABLE FOTOVOLTAICO 6 mm² Cu(FLEX) XLPE 600 V AC / 1.8 kV DC</t>
  </si>
  <si>
    <t>NTC 6404/2020 y la RESOLUCIÓN 90708 de 2013 del MINISTERIO DE MINAS Y ENERGÍA – RETIE (Numeral 20.2)</t>
  </si>
  <si>
    <t>PROCABLES - PRYSMIAN GROUPDE CABLES PROCABLES S.A.S.</t>
  </si>
  <si>
    <t>PRODUCTORA DE CABLES PROCABLES S.A.S.</t>
  </si>
  <si>
    <t>Cable especialmente diseñado para la interconexión de módulos fotovoltaicos en corriente continua, con aislamiento XLPE y chaqueta de PVC resistente a rayos UV, humedad, aceites, abrasión y agentes químicos. Permite la conducción segura y eficiente de la energía generada por los paneles solares hacia los inversores, operando a una tensión de 1.8 kV DC. Se comunica eléctricamente entre los módulos fotovoltaicos y los inversores solares del proyecto, garantizando el transporte confiable de energía generada a partir de fuentes no convencionales (FNCE). Su instalación está prevista para canaletas, bandejas portacables o enterrado directo, conforme al RETIE y la NTC 2050</t>
  </si>
  <si>
    <t>Weidmüller</t>
  </si>
  <si>
    <t>BUGH WM4 C BT</t>
  </si>
  <si>
    <t>DIN EN 50521, IEC 62852</t>
  </si>
  <si>
    <t>Weidmüller Interface GmbH &amp; Co. KG</t>
  </si>
  <si>
    <t>Conectores que facilitan la conexión de los paneles fotovoltaicos</t>
  </si>
  <si>
    <t>BUKO WM4 C BT</t>
  </si>
  <si>
    <t>DIN EN 50521</t>
  </si>
  <si>
    <t>Unidades</t>
  </si>
  <si>
    <t>SFGH WM4 C BT</t>
  </si>
  <si>
    <t>PRYSMIAN</t>
  </si>
  <si>
    <t>Cable de Baja Tensión XZ1 (S) – VOLTENAX/PE 240 mm² COMPACT AL 0,6/1 (1,2) kV AC</t>
  </si>
  <si>
    <t>NTC 1332/2011, UL 83/2017, ENERSIS/ENDESA E-BT-001/Rev. 6 2011, CODENSA ET-116/2019 y la RESOLUCIÓN 90708 del MINISTERIO DE MINAS Y ENERGÍA – RETIE (Numeral 20.2)</t>
  </si>
  <si>
    <t>PRYSMIAN CABOS E SISTEMAS DO BRASIL S/A</t>
  </si>
  <si>
    <t>PRODUCTORA PRODUCTORA DE CABLES PROCABLES S.A.S.</t>
  </si>
  <si>
    <t>Conexión de tierra desde los inversores de 300 kW hasta el tablero fotovoltaico</t>
  </si>
  <si>
    <t>Cable tipo THHN/THWN-2 1/0 AWG 600 V Cu SR</t>
  </si>
  <si>
    <t>CABLES DE ENERGÍA Y DE TELECOMUNICACIONES S.A.S.DE CABLES PROCABLES S.A.S.</t>
  </si>
  <si>
    <t>Transporta la energía AC proveniente del inversor de 50 kW hasta el tablero fotovoltaico</t>
  </si>
  <si>
    <t>Cable termoplástico AA Serie 8000 6 AWG 600V concéntrico THHW PVC 90°C Seco Use CT</t>
  </si>
  <si>
    <t>Conexión de tierra desde los inversores de 50 kW y 40 kW hasta el tablero fotovoltaico</t>
  </si>
  <si>
    <t>PROCABLES</t>
  </si>
  <si>
    <t>Cobre desnudo suave 1/0 AWG cableado concéntrico clase B</t>
  </si>
  <si>
    <t>NTC 307/2012, ASTM B3/2013, ASTM B8/2011, ET 121/2013 y la RESOLUCIÓN 90708 de 2013 del MINISTERIO DE MINAS Y ENERGÍA - RETIE (Numeral 20.2)</t>
  </si>
  <si>
    <t>Componente principal del sistema de puesta a tierra, permite la interconexión de las varillas de puesta a tierra, formando un enmallado</t>
  </si>
  <si>
    <t>Cobre desnudo suave 2 AWG cableado concéntrico clase B</t>
  </si>
  <si>
    <t>INTERFLEX</t>
  </si>
  <si>
    <t>AGT-12N</t>
  </si>
  <si>
    <t>Reglamento Técnico de instalaciones eléctricas RETIE . Resolución 90708 de 30 de agosto de 2013, Resolución 90795 de 25 de julio de 2014 del Ministerio de Minas y Energía Numerales 20.6.1</t>
  </si>
  <si>
    <t>INTERFLEX S.L</t>
  </si>
  <si>
    <t>EDEMCO</t>
  </si>
  <si>
    <t>La tubería se encarga de proteger el cable de conexión de comunicaciones entre el inversor y el Smartlogger</t>
  </si>
  <si>
    <t>AGT-48N</t>
  </si>
  <si>
    <t>La tubería se encarga de proteger el cable de conexión entre la salida en AC de los inversores y el tablero FV</t>
  </si>
  <si>
    <t>metro</t>
  </si>
  <si>
    <t>AGT-95N</t>
  </si>
  <si>
    <t>EDEMCO S.A.S.</t>
  </si>
  <si>
    <t>Durman</t>
  </si>
  <si>
    <t>DUCTOS ELÉCTRICOS Y TELEFÓNICOS DB 3M 2 pulg Referencia 2016200"</t>
  </si>
  <si>
    <t>"NTC 1630 Tubos de PVC para alojar y proteger conductores subterráneos eléctricos y telefónicos Resolución 9 0708 RETIE Accesorios de PVC para Tubería Conduit Cajas de PVC para Instalaciones Eléctricas"</t>
  </si>
  <si>
    <t>Durman by aliaxis</t>
  </si>
  <si>
    <t>La tubería se encarga de proteger el cable de conexión entre los inversores y el tablero fotovoltaico</t>
  </si>
  <si>
    <t>DUCTOS ELÉCTRICOS Y TELEFÓNICOS DB 6M 4 pulg Referencia 2016203</t>
  </si>
  <si>
    <t>NTC 1630 Tubos de PVC para alojar y proteger conductores subterráneos eléctricos y telefónicos Resolución 9 0708 RETIE Accesorios de PVC para Tubería Conduit Cajas de PVC para Instalaciones Eléctricas</t>
  </si>
  <si>
    <t>La tubería se encarga de proteger el cable de conexión entre el transformador y el punto de interconexión del sistema con la red de media tensión a 13,8kV del Operador de Red Afinia</t>
  </si>
  <si>
    <t>"ADAPTADOR TERMINAL DE CAMPANA PARA DUCTO DB 2 pulg Referencia 9018867"</t>
  </si>
  <si>
    <t>Adaptador terminal para ingreso de tubería a caja de paso</t>
  </si>
  <si>
    <t>ADAPTADOR TERMINAL DE CAMPANA PARA DUCTO DB 4 pulg Referencia 9018869</t>
  </si>
  <si>
    <t>GALCO</t>
  </si>
  <si>
    <t>BELG205</t>
  </si>
  <si>
    <t>Certificado Retie y Nema en sistemas de conducción eléctrica Certificado de calidad en galvanizado en caliente norma Astm A -123/Astm A 153 DIN 4102-12 ISO 9001: 2015</t>
  </si>
  <si>
    <t>GALCO S.A.S</t>
  </si>
  <si>
    <t>Estructuras metálicas que sirven para transportar conductores eléctricos desde paneles solares a inversores de manera segura</t>
  </si>
  <si>
    <t>TSEG20</t>
  </si>
  <si>
    <t>Tapas galvanizadas para bandejas portacables. Su función es proveer seguridad a las personas y preservar la vida útil del cableado.</t>
  </si>
  <si>
    <t>CTEC028</t>
  </si>
  <si>
    <t>Chapa de puesta a tierra especial para bandeja enmallada</t>
  </si>
  <si>
    <t>Soporte Peldaño Perfil Dentado</t>
  </si>
  <si>
    <t>ASTM A123, ASTM A153, ICONTEC 2076</t>
  </si>
  <si>
    <t>Perfil ranurado utilizado para sujetar la bandeja enmallada a la estructura de los inversores</t>
  </si>
  <si>
    <t>FACELEC</t>
  </si>
  <si>
    <t>Conductor</t>
  </si>
  <si>
    <t>NTC 308 (ASTM B 231)</t>
  </si>
  <si>
    <t>FACELEC S.A.S</t>
  </si>
  <si>
    <t>FRANCISCO MURILLO</t>
  </si>
  <si>
    <t>Cable para anillo de apantallamiento de la subestación</t>
  </si>
  <si>
    <t>FUJI</t>
  </si>
  <si>
    <t>IMC Diámetro 3/4"</t>
  </si>
  <si>
    <t>RESOLUCIÓN 90708 de 2013 del MINISTERIO DE MINAS Y ENERGÍA - RETIE (Numeral 20.6)</t>
  </si>
  <si>
    <t>CUBIERTAS DEL ECUADOR KUBIEC S.A.S</t>
  </si>
  <si>
    <t>La tubería se encarga de proteger el cable de tierra que es instalado desde el DPS polimérico instalado en poste hasta la varilla de puesta a tierra</t>
  </si>
  <si>
    <t>IMC Diámetro 2"</t>
  </si>
  <si>
    <t>La tubería se encarga de soportar luminaria solar</t>
  </si>
  <si>
    <t>IMC Diámetro 4"</t>
  </si>
  <si>
    <t>La tubería se encarga de proteger el cableado AC en media tensión que es instalado desde la celda de protección hasta el punto de interconexión a la red del Operador de Red Air-e</t>
  </si>
  <si>
    <t>PROELECTRA DE COLOMBIA S.A.S</t>
  </si>
  <si>
    <t>Varilla Cobrizada para Puesta a Tierra, con Longitud de 2400 mm, diámetro de 14.28 mm y recubrimiento de 250 micras</t>
  </si>
  <si>
    <t>Reglamento Técnico de Instalaciones Eléctricas RETIE Resolución 90708 de 2013 articulo 20 numerales 15.3.1 (Electrodos de Puesta a Tierra), 20.21 (Electrodos de Puesta a Tierra), 20.21.1 (Requisitos de producto) y NTC 2206:2001, numerales 10, 10.1, 10.2, 10.2.4 y 10.2.5</t>
  </si>
  <si>
    <t>Componente esencial del sistema de puesta a tierra, permite la desviación de fallas de corriente o descargas atmosféricas a tierra</t>
  </si>
  <si>
    <t>TECNOWELD</t>
  </si>
  <si>
    <t>SG1TN 6519</t>
  </si>
  <si>
    <t>UL E359848</t>
  </si>
  <si>
    <t>Elemento necesario para unir las derivaciones del sistema de puesta a tierra y para crear el enmallado</t>
  </si>
  <si>
    <t>SG1TN 430</t>
  </si>
  <si>
    <t>LUHFSER</t>
  </si>
  <si>
    <t>Tipo K de 5 Amperios para 15 kV - Frecuencia 50-60 Hz</t>
  </si>
  <si>
    <t>Numeral 20.19 del Reglamento Técnico de Instalaciones Eléctricas - RETIE. Resolución 90708 de 30 de agosto de 2013 del Ministerio de Minas y Energías. IEEE Std C37.41-2016/Cor 1-2017, IEEE Std C37,42-2016, NTC 2132-2006, NTC 2133 2002.</t>
  </si>
  <si>
    <t>ELÉCTRICOS INTERNACIONAL SAS.</t>
  </si>
  <si>
    <t>Corta el paso de corriente cuando se detecta una sobrecarga en el circuito para proteger el transformador y los circuitos ramales</t>
  </si>
  <si>
    <t>CELSA</t>
  </si>
  <si>
    <t>DPS C-15 MODELO 58470</t>
  </si>
  <si>
    <t>IEC 60099-4</t>
  </si>
  <si>
    <t>CELSA S.A.S.</t>
  </si>
  <si>
    <t>Protección contra sobretensiones en el punto de interconexión a la línea de media tensión</t>
  </si>
  <si>
    <t>Centelsa</t>
  </si>
  <si>
    <t>Cable Cobre 12 AWG THHN/THWN-2 monoconductor nylon 90 °C, 600 V</t>
  </si>
  <si>
    <t>NTC 1332/2019, UL 83/2017 Rev. 2020, NTE INEN 2345/2015 y la RESOLUCIÓN 90708 de 2013 del MINISTERIO DE MINAS Y ENERGÍA – RETIE (Numeral 20.2)</t>
  </si>
  <si>
    <t>CABLES DE ENERGÍA Y DE TELECOMUNICACIONES S.A.S</t>
  </si>
  <si>
    <t>Cable de conexión a tierra de los paneles.</t>
  </si>
  <si>
    <t>Cable Cobre 10 AWG THHN/THWN-2 monoconductor nylon 90 °C, 600 V</t>
  </si>
  <si>
    <t>Cable de conexión a tierra de los paneles</t>
  </si>
  <si>
    <t>CONTROLADOR</t>
  </si>
  <si>
    <t>ISO 9001 UL (E332411)</t>
  </si>
  <si>
    <t>Zentrack SAS</t>
  </si>
  <si>
    <t>8541.43.00.00</t>
  </si>
  <si>
    <t>LONGi</t>
  </si>
  <si>
    <t>LR7-72HYD-650M</t>
  </si>
  <si>
    <t>IEC61215, IEC61730, UL61730, IEC62941</t>
  </si>
  <si>
    <t>Principal componente del sistema de energía solar y su función es transformar la radiación solar directamente en electricidad</t>
  </si>
  <si>
    <t>8504.40.90.90</t>
  </si>
  <si>
    <t>SUN2000-330KTL-H1</t>
  </si>
  <si>
    <t>IEC 61727:2004 Photovoltaic (PV) systems – Characteristics of the utility interface IEC 62116:2014 Test procedure of islanding prevention measures for utilityinterconnected photovoltaic inverters</t>
  </si>
  <si>
    <t>Transformación de energía DC/AC</t>
  </si>
  <si>
    <t>SUN2000-40KTL-M3</t>
  </si>
  <si>
    <t>EN 62109-1/-2, IEC 62109-1/-2, EN 50530, IEC 62116, IEC 60068, IEC 61683</t>
  </si>
  <si>
    <t>SUN2000-50KTL-M3</t>
  </si>
  <si>
    <t>EN 62109-1/-2, IEC 62109-1/-2, EN 50530, IEC 62116, IEC 60068, IEC 61683, IEC 61727, ABNT NBR 16149, ABNT NBR 16150, ABNT NBR IEC 62116</t>
  </si>
  <si>
    <t>8504.34.10.00</t>
  </si>
  <si>
    <t>CN - 1250/012</t>
  </si>
  <si>
    <t>EN61000-6:2019; EN61000-6-4:2019; IEC 61558-1:2019; IEC 62271-202:2022; IEC 61330:1995</t>
  </si>
  <si>
    <t>EAGLERISE ELECTRIC &amp; ELECTRONIC(CHINA) CO. LTD</t>
  </si>
  <si>
    <t>NEXUS TRADE CONSULTING LIMITED</t>
  </si>
  <si>
    <t>Subestación compacta para intemperie. Dicha subestación cuenta en su interior con centros de transformación, celda de medida, celda de protección y protecciones de sobrecorriente y sobrevoltaje</t>
  </si>
  <si>
    <t>Rymel</t>
  </si>
  <si>
    <t>TCEM 50/5 Clase Medición 0.5s Burden Nominal 5 VA</t>
  </si>
  <si>
    <t>IEC61869-2, NTC5933, NTC2205</t>
  </si>
  <si>
    <t>Rymel S.A.S.</t>
  </si>
  <si>
    <t>Los transformadores de corriente cumplen la función de reducir y canalizar la señal de corriente hacia los medidores principales y de respaldo, permitiendo una lectura precisa y segura de la energía generada e inyectada a la red. Su correcta instalación en el punto de medida, ubicado en el punto de frontera con el operador de red, es esencial para cumplir con los requisitos regulatorios y asegurar la entrada en operación del proyecto.</t>
  </si>
  <si>
    <t>TPEM1 13.8/√3 - 120/√3 Clase Medición 0.5 Burden Nominal 5 VA</t>
  </si>
  <si>
    <t>IEC61869-3, NTC5933, NTC2207</t>
  </si>
  <si>
    <t>ISKRA</t>
  </si>
  <si>
    <t>MT880 Medidor trifásico tetrafilares, 3 x 57.7/100V.- 3 x 290/500 V, In: 1 A, Imax: 10 A, 10000 imp/kWh</t>
  </si>
  <si>
    <t>NTC 5226/2017 (IEC 62052-11-2003), NTC 2147/2017 (IEC 62053-22/2003) y la NTC 4569/2017 (IEC 62053-23/2003)</t>
  </si>
  <si>
    <t>ISKRAEMECO</t>
  </si>
  <si>
    <t>INELCA S.A.S.</t>
  </si>
  <si>
    <t>Metros</t>
  </si>
  <si>
    <t>"Cable de Baja Tensión XZ1 (S) – VOLTENAX/PE 240 mm² COMPACT AL 0,6/1 (1,2) kV AC"</t>
  </si>
  <si>
    <t>IEC 60502-1/2021 y la RESOLUCIÓN 90708 de 2013 del MINISTERIO DE MINAS Y ENERGÍA - RETIE (Numeral 20.2)</t>
  </si>
  <si>
    <t>TODO LÁMINAS C.E.</t>
  </si>
  <si>
    <t>TMI (2) - 100 A- 10 kA - IP 44 - 60,70,25 - septiembre 2023</t>
  </si>
  <si>
    <t>Numeral 20.23-1 del Reglamento Técnico de Instalaciones Eléctricas - RETIE. Resolución 90708 del 30 de agosto de 2013 y 90795 del 25 de julio de 2014 del Ministerio de Minas y Energía</t>
  </si>
  <si>
    <t>Mavill S.A.S.</t>
  </si>
  <si>
    <t>Unidad</t>
  </si>
  <si>
    <t>ROCKWILL</t>
  </si>
  <si>
    <t>RCW15/630</t>
  </si>
  <si>
    <t>IEEE C37.60:2012, IEC 62271-200:2021, IEC 61439-3:2012, IEC 61439- 1:2020, UL 969:2023, IEC 60695-11-10:2013</t>
  </si>
  <si>
    <t>Wenzhou Rockwill Electric Co., Ltd.</t>
  </si>
  <si>
    <t>ACOVIS INGENIERÍA S. A. S.</t>
  </si>
  <si>
    <t>SKFO WM4 C BT</t>
  </si>
  <si>
    <t>PLASTIMEC Y RALCO</t>
  </si>
  <si>
    <t>TUBOS DE PVC RÍGIDO Conduit Tipo A De 3/4</t>
  </si>
  <si>
    <t>NTC 979/2021 y la RESOLUCIÓN 90708 de 2013 del MINISTERIO DE MINAS Y ENERGÍA RETIE (Numeral 20.6)</t>
  </si>
  <si>
    <t>INDUSTRIA COLOMBIANA DE PLÁSTICOS S.A.S. - IMEC S.A.S.</t>
  </si>
  <si>
    <t>SG1TN 228*</t>
  </si>
  <si>
    <t>Nombre del Elemento</t>
  </si>
  <si>
    <t>CERTEAM SAS</t>
  </si>
  <si>
    <t>Certificación RETIE de las instalaciones eléctricas de sistema solar fotovoltaico, alimentadores en DC y AC, Centro de Transformación, Red de Media Tensión Subterránea hasta punto de afloramiento con longitud de 120 metros. Red aérea a 13,8kV con longitud de 250 m hasta punto de conexión. Incluye la revisión del sistema de puesta a tierra, apantallamiento, servicios auxiliares a la planta, entre otros equipos. Potencia Nominal: 1320,8 kWP DC, 990KW AC.</t>
  </si>
  <si>
    <t>Instalación, montaje y puesta en operación del sistema.</t>
  </si>
  <si>
    <t>QUIMALDI INSTRUMENTS S.A.S</t>
  </si>
  <si>
    <t>1.Análisis Termográfico con Dron (Pilotaje + Informe) 2. Análisis Termografico en Piso ( Transformador de potencia, Tableros y gabinetes). Este servicio hace parte del comisionamiento, permite evaluar el correcto funcionamiento de los paneles fotovoltaicos y los tableros eléctricos mediante el análisis de termografías.</t>
  </si>
  <si>
    <t>NEGAWATT</t>
  </si>
  <si>
    <t>VERIFICACION Y CERTIFICACION DE LA FRONTERA DE GENERACIÓN MGS 0025, CON PROPOSITOS DE CUMPLIR CON LOS REQUISITOS ESTABLECIDOS EN EL CÓDIGO DE MEDIDA PARA ENTRADA COMERCIAL AL SISTEMA Y CUYOS ALCANCES INCLUYE: CUMPLIMIENTO O NO DE LA RESOLUCION CREG 038 DE 2014, MEDIANTE LA CORROBORACION DE LAS CONFORMIDADES EN LOS SISTEMAS DE MEDICION, COMUNICACIONES, TELEMEDICION HACIA LOS CENTROS DE GESTION DE MEDIDAS, SEGURIDAD INFORMATICA Y DE ACCESO. ESTA VERIFICACION SE HARA UTILIZANDO EL PROCEDIMIENTO SEÑALADO EN LA CIRCULAR 098 DEL 13 DE NOVIEMBRE DE 2014.</t>
  </si>
  <si>
    <t>G30 Soluciones S.A.S.</t>
  </si>
  <si>
    <t>Instalación, cableado y montaje electromecánico de minigranja solar. Incluye armado de estructura de seguidor solar, instalación de paneles solares, inversores, cableado AC y DC, cableado de comunicaciones de inversores y sistema de puesta a tierra del sistema.</t>
  </si>
  <si>
    <t>S&amp;J Codinco Ingenieria SAS</t>
  </si>
  <si>
    <t>El proyecto comprende la excavación e instalación de tuberías en zanjas para redes DC, AC y MT, con base en arenilla según planos anexos; la construcción y colocación de cajas de registro en concreto impermeabilizado con refuerzo en malla; la adecuación de obras provisionales como caseta y zona de residuos; la cimentación y losa de inversores con sus respectivas cubiertas, micropilotes para el shelter y bloques de cimentación para luminarias; además de actividades de limpieza, rocería, tala y disposición final certificada de material orgánico, retiro de tocones y perfilado superficial del terreno con disposición adecuada del material cortado.</t>
  </si>
  <si>
    <t>Transefi S.A.S.</t>
  </si>
  <si>
    <t>Inspección técnica por parte de un ingeniero eléctrico especialista en transformadores, para valorar el estado físico de los transformadores y su instalación para el proyecto MGS 0025. Verificación de las normas de seguridad y aplicación de cinco reglas de oro. Desconexión de los transformadores (por parte del cliente). Pruebas de Relación de transformación (TTR) y de resistencia de aislamiento, en la posición del conmutador en que se encuentran, Informe con reporte de los resultados arrojados en las mediciones y recomendaciones a que haya lugar.</t>
  </si>
  <si>
    <t>Diagrama unifilar, estudio de resistividad del suelo, estudio de conexión, planos de disposición física de la estructura, inversores, paneles y acometidas, plano de conexión de paneles y demás planos necesarios en la etapa de ingeniería de detalle del proyecto tanto civiles como eléctricos. Además de todas las memorias de cálculo para certificación RETIE.</t>
  </si>
  <si>
    <t>Hincado de estructura tipo tracker 1P, incluye topografía, maquinaria, operarios certificados e instalación de hincas para estructura tipo tracker</t>
  </si>
  <si>
    <t>Unergy</t>
  </si>
  <si>
    <t>Consultoría técnica de estudio de suelos, el servicio incluye: - Caracterización física del suelo basada en ensayos de clasificación según normas ICONTEC e INVIAS (Granulometría, Límites de consistencia, Peso unitario, Contenido de humedad y Ensayo SPT in situ). - Caracterización mecánica del suelo atendiendo la teoría de Terzaghi y correlaciones para parámetros de resistencia al corte. - Recomendaciones de fundación. - Acompañamiento antes, durante y después de la construcción, si lo requiere el cliente.</t>
  </si>
  <si>
    <t>Consultoría técnica de estudio topográfico, el servicio incluye: Levantamiento altiplanimétrico con GPS RTK multifrecuencia FOIF A90 (800 canales). - Plano general con curvas de nivel, perfiles y secciones. - Plano con vectores de pendientes, áreas boscosas, cercos y vías. - Orto mosaico, modelo digital de terreno y modelo digital de superficie. - Instalación de una pareja de mojones georreferenciados con placa de aluminio marcada. - Informe de georreferenciación y entrega de archivo en formato shapefile.</t>
  </si>
  <si>
    <t>Consultoría técnica de prefactibilidad eléctrica para verificación de red eléctrica trifásica, punto de conexión físico y capacidad de la red, El servicio incluye: Corroborar distancias de la red. - Verificación de ubicación del proyecto para evaluar restricciones de viento y corrosión. - Revisión de desniveles del terreno para definir tipo de estructura. - Comprobación del área requerida según validaciones eléctricas. - Identificación del tipo de servidumbre eléctrica según operador de red. - Simulación de disposición de paneles dentro del terreno.</t>
  </si>
  <si>
    <t>Estudio de conexión simplificado y respuesta a comentarios del operador de red. El servicio incluye: - Proyecciones de demanda a futuro según UPME. - Flujos de carga al año de la FPO (Fecha de Puesta en Operación). - Simulaciones de cortocircuito para verificar ajustes de protecciones. - Coordinación de protecciones según lineamientos del CNO. - Simulación de conexión y desconexión del sistema. - Respuesta a observaciones del operador de red.</t>
  </si>
  <si>
    <t>Consultoría técnica de revisión de inundabilidad del área del Generador Distribuido, el servicio incluye: Estudio hidrológico e hidráulico preliminar, simulación de tormentas, manchas de inundación y recomendaciones hidráulicas.</t>
  </si>
  <si>
    <t>Diseño básico del Generador Distribuido y Simulación, el servicio incluye: Diseño técnico de inversores, transformadores, protecciones, simulaciones de rendimiento y sombras.</t>
  </si>
  <si>
    <t>Consultoría técnica de prefactibilidad civil para verificación de drenajes, carreteras, cono aeronáutico y vía de acceso. Revisión de accesos, drenajes, condiciones físicas, restricciones aeronáuticas y ambientales del predio.</t>
  </si>
  <si>
    <t>La puesta en marcha incluye verificación documental con el OR, verificación de equipos, pruebas a reconectador, pruebas VLF, curvas IV y verificación final de equipos para energización.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</si>
</sst>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 #,##0.00;[Red]\-&quot;$&quot;\ #,##0.00"/>
    <numFmt numFmtId="165" formatCode="dd/mm/yyyy"/>
    <numFmt numFmtId="166" formatCode="_-&quot;$&quot;\ * #,##0.00_-;\-&quot;$&quot;\ * #,##0.00_-;_-&quot;$&quot;\ * &quot;-&quot;??_-;_-@"/>
  </numFmts>
  <fonts count="23">
    <font>
      <sz val="11"/>
      <color theme="1"/>
      <name val="Calibri"/>
      <charset val="134"/>
      <scheme val="minor"/>
    </font>
    <font>
      <b/>
      <sz val="11"/>
      <color theme="1"/>
      <name val="Calibri"/>
      <family val="2"/>
    </font>
    <font>
      <sz val="11"/>
      <color theme="1"/>
      <name val="Calibri"/>
      <family val="2"/>
    </font>
    <font>
      <sz val="9"/>
      <color theme="1"/>
      <name val="Calibri"/>
      <family val="2"/>
    </font>
    <font>
      <sz val="10"/>
      <color theme="1"/>
      <name val="Arial"/>
      <family val="2"/>
    </font>
    <font>
      <sz val="11"/>
      <color theme="1"/>
      <name val="Arial"/>
      <family val="2"/>
    </font>
    <font>
      <sz val="11"/>
      <name val="Calibri"/>
      <family val="2"/>
      <scheme val="minor"/>
    </font>
    <font>
      <b/>
      <sz val="10"/>
      <color theme="1"/>
      <name val="Arial"/>
      <family val="2"/>
    </font>
    <font>
      <b/>
      <sz val="10"/>
      <color rgb="FF0070C0"/>
      <name val="Arial"/>
      <family val="2"/>
    </font>
    <font>
      <b/>
      <sz val="12"/>
      <color theme="1"/>
      <name val="Calibri"/>
      <family val="2"/>
    </font>
    <font>
      <sz val="11"/>
      <color theme="1"/>
      <name val="Verdana"/>
      <family val="2"/>
    </font>
    <font>
      <sz val="12"/>
      <color theme="1"/>
      <name val="Calibri"/>
      <family val="2"/>
    </font>
    <font>
      <sz val="12"/>
      <color rgb="FF000000"/>
      <name val="Calibri"/>
      <family val="2"/>
    </font>
    <font>
      <i/>
      <sz val="12"/>
      <color rgb="FF7F7F7F"/>
      <name val="Calibri"/>
      <family val="2"/>
    </font>
    <font>
      <i/>
      <sz val="12"/>
      <color rgb="FFA5A5A5"/>
      <name val="Calibri"/>
      <family val="2"/>
    </font>
    <font>
      <b/>
      <sz val="11"/>
      <color theme="1"/>
      <name val="Verdana"/>
      <family val="2"/>
    </font>
    <font>
      <sz val="11"/>
      <name val="Calibri"/>
      <family val="2"/>
    </font>
    <font>
      <u/>
      <sz val="11"/>
      <color rgb="FF800080"/>
      <name val="Calibri"/>
      <family val="2"/>
      <scheme val="minor"/>
    </font>
    <font>
      <u/>
      <sz val="11"/>
      <color rgb="FF0000FF"/>
      <name val="Calibri"/>
      <family val="2"/>
      <scheme val="minor"/>
    </font>
    <font>
      <b/>
      <u/>
      <sz val="12"/>
      <color theme="1"/>
      <name val="Calibri"/>
      <family val="2"/>
    </font>
    <font>
      <sz val="7"/>
      <color rgb="FF2E3D0F"/>
      <name val="Arial"/>
      <family val="2"/>
    </font>
    <font>
      <u/>
      <sz val="7"/>
      <color rgb="FF2E3D0F"/>
      <name val="Arial"/>
      <family val="2"/>
    </font>
    <font>
      <sz val="7"/>
      <color rgb="FF676767"/>
      <name val="Arial"/>
      <family val="2"/>
    </font>
  </fonts>
  <fills count="8">
    <fill>
      <patternFill patternType="none"/>
    </fill>
    <fill>
      <patternFill patternType="gray125"/>
    </fill>
    <fill>
      <patternFill patternType="solid">
        <fgColor rgb="FFC4BD97"/>
        <bgColor rgb="FFC4BD97"/>
      </patternFill>
    </fill>
    <fill>
      <patternFill patternType="solid">
        <fgColor rgb="FFDBE5F1"/>
        <bgColor rgb="FFDBE5F1"/>
      </patternFill>
    </fill>
    <fill>
      <patternFill patternType="solid">
        <fgColor theme="0"/>
        <bgColor theme="0"/>
      </patternFill>
    </fill>
    <fill>
      <patternFill patternType="solid">
        <fgColor rgb="FF548DD4"/>
        <bgColor rgb="FF548DD4"/>
      </patternFill>
    </fill>
    <fill>
      <patternFill patternType="solid">
        <fgColor rgb="FFD8D8D8"/>
        <bgColor rgb="FFD8D8D8"/>
      </patternFill>
    </fill>
    <fill>
      <patternFill patternType="solid">
        <fgColor theme="0"/>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bottom/>
      <diagonal/>
    </border>
    <border>
      <left/>
      <right style="thin">
        <color rgb="FF3F3F3F"/>
      </right>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bottom style="medium">
        <color rgb="FF000000"/>
      </bottom>
      <diagonal/>
    </border>
    <border>
      <left style="medium">
        <color rgb="FF000000"/>
      </left>
      <right style="thick">
        <color rgb="FF000000"/>
      </right>
      <top/>
      <bottom style="thick">
        <color rgb="FF000000"/>
      </bottom>
      <diagonal/>
    </border>
    <border>
      <left style="medium">
        <color rgb="FF000000"/>
      </left>
      <right style="thick">
        <color rgb="FF000000"/>
      </right>
      <top style="thick">
        <color rgb="FF000000"/>
      </top>
      <bottom style="medium">
        <color rgb="FF000000"/>
      </bottom>
      <diagonal/>
    </border>
    <border>
      <left/>
      <right/>
      <top style="thin">
        <color theme="1"/>
      </top>
      <bottom/>
      <diagonal/>
    </border>
    <border>
      <left/>
      <right style="thin">
        <color theme="1"/>
      </right>
      <top style="thin">
        <color theme="1"/>
      </top>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alignment vertical="center"/>
    </xf>
  </cellStyleXfs>
  <cellXfs count="210">
    <xf numFmtId="0" fontId="0" fillId="0" borderId="0" xfId="0"/>
    <xf numFmtId="0" fontId="1" fillId="0" borderId="0" xfId="0" applyFont="1"/>
    <xf numFmtId="0" fontId="2" fillId="2" borderId="0" xfId="0" applyFont="1" applyFill="1"/>
    <xf numFmtId="0" fontId="2" fillId="3" borderId="1" xfId="0" applyFont="1" applyFill="1" applyBorder="1" applyAlignment="1">
      <alignment horizontal="center"/>
    </xf>
    <xf numFmtId="0" fontId="2" fillId="0" borderId="1" xfId="0" applyFont="1" applyBorder="1" applyAlignment="1">
      <alignment horizontal="center"/>
    </xf>
    <xf numFmtId="0" fontId="3" fillId="4" borderId="1" xfId="0" applyFont="1" applyFill="1" applyBorder="1" applyAlignment="1">
      <alignment vertical="top"/>
    </xf>
    <xf numFmtId="0" fontId="2" fillId="0" borderId="0" xfId="0" applyFont="1" applyAlignment="1">
      <alignment wrapText="1"/>
    </xf>
    <xf numFmtId="0" fontId="4" fillId="4" borderId="1" xfId="0" applyFont="1" applyFill="1" applyBorder="1" applyAlignment="1">
      <alignment vertical="top"/>
    </xf>
    <xf numFmtId="0" fontId="4" fillId="0" borderId="0" xfId="0" applyFont="1"/>
    <xf numFmtId="0" fontId="2" fillId="5" borderId="1" xfId="0" applyFont="1" applyFill="1" applyBorder="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2" fillId="0" borderId="1" xfId="0" applyFont="1" applyBorder="1" applyAlignment="1">
      <alignment wrapText="1"/>
    </xf>
    <xf numFmtId="0" fontId="2" fillId="0" borderId="1" xfId="0" applyFont="1" applyBorder="1" applyAlignment="1">
      <alignment horizontal="center" wrapText="1"/>
    </xf>
    <xf numFmtId="0" fontId="2" fillId="4" borderId="1" xfId="0" applyFont="1" applyFill="1" applyBorder="1" applyAlignment="1">
      <alignment horizontal="center"/>
    </xf>
    <xf numFmtId="0" fontId="5" fillId="4" borderId="0" xfId="0" applyFont="1" applyFill="1"/>
    <xf numFmtId="0" fontId="7" fillId="0" borderId="6" xfId="0" applyFont="1" applyBorder="1" applyAlignment="1">
      <alignment vertical="center" wrapText="1"/>
    </xf>
    <xf numFmtId="0" fontId="7" fillId="0" borderId="0" xfId="0" applyFont="1" applyAlignment="1">
      <alignment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4" fontId="1" fillId="0" borderId="21" xfId="0" applyNumberFormat="1" applyFont="1" applyBorder="1" applyAlignment="1">
      <alignment horizontal="center" vertical="center" wrapText="1"/>
    </xf>
    <xf numFmtId="0" fontId="2" fillId="0" borderId="1" xfId="0" applyFont="1" applyBorder="1"/>
    <xf numFmtId="0" fontId="5" fillId="0" borderId="0" xfId="0" applyFont="1"/>
    <xf numFmtId="0" fontId="4" fillId="4" borderId="0" xfId="0" applyFont="1" applyFill="1" applyAlignment="1">
      <alignment vertical="top"/>
    </xf>
    <xf numFmtId="0" fontId="2" fillId="0" borderId="22" xfId="0" applyFont="1" applyBorder="1" applyAlignment="1">
      <alignment horizontal="center" vertical="center" wrapText="1"/>
    </xf>
    <xf numFmtId="0" fontId="1" fillId="0" borderId="23" xfId="0" applyFont="1" applyBorder="1" applyAlignment="1">
      <alignment horizontal="center" vertical="center" wrapText="1"/>
    </xf>
    <xf numFmtId="4" fontId="1" fillId="0" borderId="23" xfId="0" applyNumberFormat="1" applyFont="1" applyBorder="1" applyAlignment="1">
      <alignment horizontal="center" vertical="center" wrapText="1"/>
    </xf>
    <xf numFmtId="4" fontId="1" fillId="0" borderId="24" xfId="0" applyNumberFormat="1" applyFont="1" applyBorder="1" applyAlignment="1">
      <alignment horizontal="center" vertical="center" wrapText="1"/>
    </xf>
    <xf numFmtId="0" fontId="1"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19" xfId="0" applyFont="1" applyBorder="1" applyAlignment="1">
      <alignment horizontal="center" vertical="center" wrapText="1"/>
    </xf>
    <xf numFmtId="0" fontId="9" fillId="0" borderId="12" xfId="0" applyFont="1" applyBorder="1" applyAlignment="1">
      <alignment horizontal="center" vertical="center"/>
    </xf>
    <xf numFmtId="0" fontId="9" fillId="0" borderId="62" xfId="0" applyFont="1" applyBorder="1" applyAlignment="1">
      <alignment horizontal="center" vertical="center"/>
    </xf>
    <xf numFmtId="0" fontId="2" fillId="0" borderId="28" xfId="0" applyFont="1" applyBorder="1"/>
    <xf numFmtId="0" fontId="2" fillId="0" borderId="36" xfId="0" applyFont="1" applyBorder="1"/>
    <xf numFmtId="0" fontId="2" fillId="0" borderId="4" xfId="0" applyFont="1" applyBorder="1" applyAlignment="1">
      <alignment horizontal="left"/>
    </xf>
    <xf numFmtId="0" fontId="2" fillId="0" borderId="0" xfId="0" applyFont="1" applyAlignment="1">
      <alignment horizontal="left"/>
    </xf>
    <xf numFmtId="0" fontId="2" fillId="0" borderId="30" xfId="0" applyFont="1" applyBorder="1"/>
    <xf numFmtId="0" fontId="2" fillId="0" borderId="31" xfId="0" applyFont="1" applyBorder="1"/>
    <xf numFmtId="0" fontId="2" fillId="0" borderId="29" xfId="0" applyFont="1" applyBorder="1"/>
    <xf numFmtId="0" fontId="9" fillId="0" borderId="14" xfId="0" applyFont="1" applyBorder="1" applyAlignment="1">
      <alignment vertical="center"/>
    </xf>
    <xf numFmtId="0" fontId="2" fillId="0" borderId="32" xfId="0" applyFont="1" applyBorder="1"/>
    <xf numFmtId="0" fontId="2" fillId="0" borderId="33" xfId="0" applyFont="1" applyBorder="1"/>
    <xf numFmtId="0" fontId="2" fillId="0" borderId="37" xfId="0" applyFont="1" applyBorder="1"/>
    <xf numFmtId="0" fontId="20" fillId="7" borderId="72" xfId="0" applyFont="1" applyFill="1" applyBorder="1" applyAlignment="1">
      <alignment horizontal="center" vertical="center" wrapText="1"/>
    </xf>
    <xf numFmtId="8" fontId="20" fillId="7" borderId="72" xfId="0" applyNumberFormat="1" applyFont="1" applyFill="1" applyBorder="1" applyAlignment="1">
      <alignment horizontal="center" vertical="center" wrapText="1"/>
    </xf>
    <xf numFmtId="0" fontId="21" fillId="7" borderId="72" xfId="0" applyFont="1" applyFill="1" applyBorder="1" applyAlignment="1">
      <alignment horizontal="center" vertical="center" wrapText="1"/>
    </xf>
    <xf numFmtId="0" fontId="22" fillId="7" borderId="72" xfId="0" applyFont="1" applyFill="1" applyBorder="1" applyAlignment="1">
      <alignment horizontal="center" vertical="center" wrapText="1"/>
    </xf>
    <xf numFmtId="8" fontId="22" fillId="7" borderId="72" xfId="0" applyNumberFormat="1" applyFont="1" applyFill="1" applyBorder="1" applyAlignment="1">
      <alignment horizontal="center" vertical="center" wrapText="1"/>
    </xf>
    <xf numFmtId="0" fontId="0" fillId="7" borderId="72" xfId="0" applyFill="1" applyBorder="1" applyAlignment="1">
      <alignment horizontal="center" wrapText="1"/>
    </xf>
    <xf numFmtId="0" fontId="0" fillId="0" borderId="0" xfId="0" applyAlignment="1">
      <alignment wrapText="1"/>
    </xf>
    <xf numFmtId="0" fontId="2" fillId="0" borderId="39" xfId="0" applyFont="1" applyBorder="1" applyAlignment="1">
      <alignment horizontal="center" vertical="center" wrapText="1"/>
    </xf>
    <xf numFmtId="0" fontId="8" fillId="4" borderId="0" xfId="0" applyFont="1" applyFill="1" applyAlignment="1">
      <alignment horizontal="center"/>
    </xf>
    <xf numFmtId="0" fontId="6" fillId="0" borderId="0" xfId="0" applyFont="1"/>
    <xf numFmtId="0" fontId="9" fillId="0" borderId="12" xfId="0" applyFont="1" applyBorder="1" applyAlignment="1">
      <alignment horizontal="center" vertical="center" wrapText="1"/>
    </xf>
    <xf numFmtId="0" fontId="6" fillId="0" borderId="13" xfId="0" applyFont="1" applyBorder="1"/>
    <xf numFmtId="0" fontId="6" fillId="0" borderId="14" xfId="0" applyFont="1" applyBorder="1"/>
    <xf numFmtId="0" fontId="9" fillId="6" borderId="12" xfId="0" applyFont="1" applyFill="1" applyBorder="1" applyAlignment="1">
      <alignment horizontal="center" vertical="center"/>
    </xf>
    <xf numFmtId="0" fontId="15" fillId="0" borderId="34" xfId="0" applyFont="1" applyBorder="1" applyAlignment="1">
      <alignment horizontal="left"/>
    </xf>
    <xf numFmtId="0" fontId="16" fillId="0" borderId="35" xfId="0" applyFont="1" applyBorder="1"/>
    <xf numFmtId="0" fontId="16" fillId="0" borderId="49" xfId="0" applyFont="1" applyBorder="1"/>
    <xf numFmtId="0" fontId="10" fillId="0" borderId="40" xfId="0" applyFont="1" applyBorder="1" applyAlignment="1">
      <alignment horizontal="left" vertical="center"/>
    </xf>
    <xf numFmtId="0" fontId="16" fillId="0" borderId="4" xfId="0" applyFont="1" applyBorder="1"/>
    <xf numFmtId="0" fontId="16" fillId="0" borderId="41" xfId="0" applyFont="1" applyBorder="1"/>
    <xf numFmtId="0" fontId="2" fillId="0" borderId="38" xfId="0" applyFont="1" applyBorder="1" applyAlignment="1">
      <alignment horizontal="center" vertical="center"/>
    </xf>
    <xf numFmtId="0" fontId="16" fillId="0" borderId="39" xfId="0" applyFont="1" applyBorder="1" applyAlignment="1">
      <alignment horizontal="center"/>
    </xf>
    <xf numFmtId="0" fontId="16" fillId="0" borderId="50" xfId="0" applyFont="1" applyBorder="1" applyAlignment="1">
      <alignment horizontal="center"/>
    </xf>
    <xf numFmtId="0" fontId="10" fillId="0" borderId="38" xfId="0" applyFont="1" applyBorder="1" applyAlignment="1">
      <alignment horizontal="left" vertical="center"/>
    </xf>
    <xf numFmtId="0" fontId="16" fillId="0" borderId="39" xfId="0" applyFont="1" applyBorder="1"/>
    <xf numFmtId="0" fontId="16" fillId="0" borderId="26" xfId="0" applyFont="1" applyBorder="1"/>
    <xf numFmtId="0" fontId="2" fillId="0" borderId="60" xfId="0" applyFont="1" applyBorder="1" applyAlignment="1">
      <alignment horizontal="center"/>
    </xf>
    <xf numFmtId="0" fontId="16" fillId="0" borderId="50" xfId="0" applyFont="1" applyBorder="1"/>
    <xf numFmtId="0" fontId="2" fillId="0" borderId="64" xfId="0" applyFont="1" applyBorder="1" applyAlignment="1">
      <alignment horizontal="center" wrapText="1" readingOrder="1"/>
    </xf>
    <xf numFmtId="0" fontId="10" fillId="0" borderId="38" xfId="0" applyFont="1" applyBorder="1" applyAlignment="1">
      <alignment horizontal="left"/>
    </xf>
    <xf numFmtId="0" fontId="10" fillId="0" borderId="60" xfId="0" applyFont="1" applyBorder="1" applyAlignment="1">
      <alignment horizontal="center"/>
    </xf>
    <xf numFmtId="0" fontId="2" fillId="0" borderId="65" xfId="0" applyFont="1" applyBorder="1" applyAlignment="1">
      <alignment horizontal="center" wrapText="1" readingOrder="1"/>
    </xf>
    <xf numFmtId="0" fontId="2" fillId="0" borderId="6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50" xfId="0" applyFont="1" applyBorder="1" applyAlignment="1">
      <alignment horizontal="center" vertical="center" wrapText="1"/>
    </xf>
    <xf numFmtId="0" fontId="10" fillId="0" borderId="38" xfId="0" applyFont="1" applyBorder="1" applyAlignment="1">
      <alignment horizontal="left" vertical="center" wrapText="1"/>
    </xf>
    <xf numFmtId="0" fontId="2" fillId="0" borderId="65" xfId="0" applyFont="1" applyBorder="1" applyAlignment="1">
      <alignment horizontal="center" vertical="center" wrapText="1" readingOrder="1"/>
    </xf>
    <xf numFmtId="0" fontId="2" fillId="0" borderId="60" xfId="0" applyFont="1" applyBorder="1" applyAlignment="1">
      <alignment horizontal="center" wrapText="1"/>
    </xf>
    <xf numFmtId="0" fontId="10" fillId="0" borderId="42" xfId="0" applyFont="1" applyBorder="1" applyAlignment="1">
      <alignment horizontal="left"/>
    </xf>
    <xf numFmtId="0" fontId="16" fillId="0" borderId="43" xfId="0" applyFont="1" applyBorder="1"/>
    <xf numFmtId="0" fontId="16" fillId="0" borderId="27" xfId="0" applyFont="1" applyBorder="1"/>
    <xf numFmtId="0" fontId="17" fillId="0" borderId="61" xfId="1" applyFont="1" applyBorder="1" applyAlignment="1">
      <alignment horizontal="center" wrapText="1"/>
    </xf>
    <xf numFmtId="0" fontId="16" fillId="0" borderId="51" xfId="0" applyFont="1" applyBorder="1"/>
    <xf numFmtId="0" fontId="2" fillId="0" borderId="66" xfId="0" applyFont="1" applyBorder="1" applyAlignment="1">
      <alignment horizontal="center" wrapText="1" readingOrder="1"/>
    </xf>
    <xf numFmtId="0" fontId="15" fillId="6" borderId="12" xfId="0" applyFont="1" applyFill="1" applyBorder="1" applyAlignment="1">
      <alignment horizontal="center"/>
    </xf>
    <xf numFmtId="0" fontId="16" fillId="0" borderId="13" xfId="0" applyFont="1" applyBorder="1"/>
    <xf numFmtId="0" fontId="16" fillId="0" borderId="14" xfId="0" applyFont="1" applyBorder="1"/>
    <xf numFmtId="0" fontId="10" fillId="0" borderId="46" xfId="0" applyFont="1" applyBorder="1" applyAlignment="1">
      <alignment horizontal="left"/>
    </xf>
    <xf numFmtId="0" fontId="16" fillId="0" borderId="11" xfId="0" applyFont="1" applyBorder="1"/>
    <xf numFmtId="0" fontId="16" fillId="0" borderId="10" xfId="0" applyFont="1" applyBorder="1"/>
    <xf numFmtId="0" fontId="2" fillId="0" borderId="9" xfId="0" applyFont="1" applyBorder="1" applyAlignment="1">
      <alignment horizontal="center"/>
    </xf>
    <xf numFmtId="0" fontId="16" fillId="0" borderId="47" xfId="0" applyFont="1" applyBorder="1"/>
    <xf numFmtId="0" fontId="2" fillId="0" borderId="67" xfId="0" applyFont="1" applyBorder="1" applyAlignment="1">
      <alignment horizontal="center" wrapText="1" readingOrder="1"/>
    </xf>
    <xf numFmtId="0" fontId="18" fillId="0" borderId="61" xfId="1" applyBorder="1" applyAlignment="1">
      <alignment horizontal="center"/>
    </xf>
    <xf numFmtId="0" fontId="1" fillId="0" borderId="36" xfId="0" applyFont="1" applyBorder="1" applyAlignment="1">
      <alignment horizontal="left"/>
    </xf>
    <xf numFmtId="0" fontId="0" fillId="0" borderId="0" xfId="0"/>
    <xf numFmtId="0" fontId="6" fillId="0" borderId="39" xfId="0" applyFont="1" applyBorder="1"/>
    <xf numFmtId="0" fontId="6" fillId="0" borderId="26" xfId="0" applyFont="1" applyBorder="1"/>
    <xf numFmtId="0" fontId="1" fillId="0" borderId="6" xfId="0" applyFont="1" applyBorder="1" applyAlignment="1">
      <alignment horizontal="left"/>
    </xf>
    <xf numFmtId="0" fontId="11" fillId="0" borderId="60" xfId="0" applyFont="1" applyBorder="1" applyAlignment="1">
      <alignment horizontal="center" vertical="center"/>
    </xf>
    <xf numFmtId="0" fontId="6" fillId="0" borderId="50" xfId="0" applyFont="1" applyBorder="1"/>
    <xf numFmtId="0" fontId="9" fillId="0" borderId="12" xfId="0" applyFont="1" applyBorder="1" applyAlignment="1">
      <alignment horizontal="center" vertical="center"/>
    </xf>
    <xf numFmtId="0" fontId="9" fillId="0" borderId="12" xfId="0" applyFont="1" applyBorder="1" applyAlignment="1">
      <alignment horizontal="left" vertical="center"/>
    </xf>
    <xf numFmtId="0" fontId="9" fillId="0" borderId="13" xfId="0" applyFont="1" applyBorder="1" applyAlignment="1">
      <alignment horizontal="center" vertical="center"/>
    </xf>
    <xf numFmtId="14" fontId="9" fillId="0" borderId="13" xfId="0" applyNumberFormat="1" applyFont="1" applyBorder="1" applyAlignment="1">
      <alignment horizontal="center" vertical="center"/>
    </xf>
    <xf numFmtId="0" fontId="9" fillId="6" borderId="28" xfId="0" applyFont="1" applyFill="1" applyBorder="1" applyAlignment="1">
      <alignment horizontal="center" vertical="center"/>
    </xf>
    <xf numFmtId="0" fontId="6" fillId="0" borderId="29" xfId="0" applyFont="1" applyBorder="1"/>
    <xf numFmtId="0" fontId="6" fillId="0" borderId="32" xfId="0" applyFont="1" applyBorder="1"/>
    <xf numFmtId="0" fontId="2" fillId="0" borderId="0" xfId="0" applyFont="1" applyAlignment="1">
      <alignment horizontal="center"/>
    </xf>
    <xf numFmtId="49" fontId="9" fillId="0" borderId="28" xfId="0" applyNumberFormat="1" applyFont="1" applyBorder="1" applyAlignment="1">
      <alignment horizontal="center" vertical="center"/>
    </xf>
    <xf numFmtId="0" fontId="6" fillId="0" borderId="30" xfId="0" applyFont="1" applyBorder="1"/>
    <xf numFmtId="0" fontId="6" fillId="0" borderId="31" xfId="0" applyFont="1" applyBorder="1"/>
    <xf numFmtId="0" fontId="6" fillId="0" borderId="33" xfId="0" applyFont="1" applyBorder="1"/>
    <xf numFmtId="0" fontId="2" fillId="0" borderId="29" xfId="0" applyFont="1" applyBorder="1" applyAlignment="1">
      <alignment horizontal="center"/>
    </xf>
    <xf numFmtId="0" fontId="5" fillId="0" borderId="52" xfId="0" applyFont="1" applyBorder="1" applyAlignment="1">
      <alignment horizontal="center"/>
    </xf>
    <xf numFmtId="0" fontId="6" fillId="0" borderId="53" xfId="0" applyFont="1" applyBorder="1"/>
    <xf numFmtId="0" fontId="6" fillId="0" borderId="54" xfId="0" applyFont="1" applyBorder="1"/>
    <xf numFmtId="0" fontId="6" fillId="0" borderId="55" xfId="0" applyFont="1" applyBorder="1"/>
    <xf numFmtId="0" fontId="6" fillId="0" borderId="56" xfId="0" applyFont="1" applyBorder="1"/>
    <xf numFmtId="0" fontId="6" fillId="0" borderId="57" xfId="0" applyFont="1" applyBorder="1"/>
    <xf numFmtId="0" fontId="6" fillId="0" borderId="58" xfId="0" applyFont="1" applyBorder="1"/>
    <xf numFmtId="0" fontId="6" fillId="0" borderId="59" xfId="0" applyFont="1" applyBorder="1"/>
    <xf numFmtId="0" fontId="7" fillId="0" borderId="2" xfId="0" applyFont="1" applyBorder="1" applyAlignment="1">
      <alignment horizontal="center" vertical="center" wrapText="1"/>
    </xf>
    <xf numFmtId="0" fontId="6" fillId="0" borderId="4" xfId="0" applyFont="1" applyBorder="1"/>
    <xf numFmtId="0" fontId="6" fillId="0" borderId="3" xfId="0" applyFont="1" applyBorder="1"/>
    <xf numFmtId="0" fontId="6" fillId="0" borderId="6" xfId="0" applyFont="1" applyBorder="1"/>
    <xf numFmtId="0" fontId="6" fillId="0" borderId="7" xfId="0" applyFont="1" applyBorder="1"/>
    <xf numFmtId="0" fontId="6" fillId="0" borderId="9" xfId="0" applyFont="1" applyBorder="1"/>
    <xf numFmtId="0" fontId="6" fillId="0" borderId="11" xfId="0" applyFont="1" applyBorder="1"/>
    <xf numFmtId="0" fontId="6" fillId="0" borderId="10" xfId="0" applyFont="1" applyBorder="1"/>
    <xf numFmtId="0" fontId="4" fillId="4" borderId="68" xfId="0" applyFont="1" applyFill="1" applyBorder="1" applyAlignment="1">
      <alignment horizontal="center" vertical="top"/>
    </xf>
    <xf numFmtId="0" fontId="6" fillId="0" borderId="69" xfId="0" applyFont="1" applyBorder="1"/>
    <xf numFmtId="0" fontId="6" fillId="0" borderId="70" xfId="0" applyFont="1" applyBorder="1"/>
    <xf numFmtId="0" fontId="6" fillId="0" borderId="71" xfId="0" applyFont="1" applyBorder="1"/>
    <xf numFmtId="0" fontId="2" fillId="0" borderId="30" xfId="0" applyFont="1" applyBorder="1" applyAlignment="1">
      <alignment horizontal="center"/>
    </xf>
    <xf numFmtId="0" fontId="6" fillId="0" borderId="45" xfId="0" applyFont="1" applyBorder="1"/>
    <xf numFmtId="0" fontId="1" fillId="0" borderId="34" xfId="0" applyFont="1" applyBorder="1" applyAlignment="1">
      <alignment horizontal="center" vertical="center"/>
    </xf>
    <xf numFmtId="0" fontId="6" fillId="0" borderId="35" xfId="0" applyFont="1" applyBorder="1"/>
    <xf numFmtId="0" fontId="6" fillId="0" borderId="25" xfId="0" applyFont="1" applyBorder="1"/>
    <xf numFmtId="166" fontId="2" fillId="0" borderId="63" xfId="0" applyNumberFormat="1" applyFont="1" applyBorder="1" applyAlignment="1">
      <alignment horizontal="center" vertical="center"/>
    </xf>
    <xf numFmtId="0" fontId="6" fillId="0" borderId="49" xfId="0" applyFont="1" applyBorder="1"/>
    <xf numFmtId="39" fontId="2" fillId="0" borderId="63" xfId="0" applyNumberFormat="1" applyFont="1" applyBorder="1" applyAlignment="1">
      <alignment horizontal="center" vertical="center"/>
    </xf>
    <xf numFmtId="0" fontId="2" fillId="0" borderId="42" xfId="0" applyFont="1" applyBorder="1" applyAlignment="1">
      <alignment horizontal="center" vertical="center" wrapText="1"/>
    </xf>
    <xf numFmtId="0" fontId="6" fillId="0" borderId="43" xfId="0" applyFont="1" applyBorder="1"/>
    <xf numFmtId="0" fontId="6" fillId="0" borderId="51" xfId="0" applyFont="1" applyBorder="1"/>
    <xf numFmtId="0" fontId="2" fillId="0" borderId="28" xfId="0" applyFont="1" applyBorder="1" applyAlignment="1">
      <alignment horizontal="center"/>
    </xf>
    <xf numFmtId="0" fontId="6" fillId="0" borderId="44" xfId="0" applyFont="1" applyBorder="1"/>
    <xf numFmtId="0" fontId="9" fillId="6" borderId="12" xfId="0" applyFont="1" applyFill="1" applyBorder="1" applyAlignment="1">
      <alignment horizontal="center"/>
    </xf>
    <xf numFmtId="0" fontId="11" fillId="0" borderId="12" xfId="0" applyFont="1" applyBorder="1" applyAlignment="1">
      <alignment horizontal="left"/>
    </xf>
    <xf numFmtId="49" fontId="2" fillId="0" borderId="12" xfId="0" applyNumberFormat="1" applyFont="1" applyBorder="1" applyAlignment="1">
      <alignment horizontal="center"/>
    </xf>
    <xf numFmtId="0" fontId="11" fillId="0" borderId="12" xfId="0" applyFont="1" applyBorder="1" applyAlignment="1">
      <alignment horizontal="center" vertical="center" wrapText="1"/>
    </xf>
    <xf numFmtId="0" fontId="11" fillId="0" borderId="12" xfId="0" applyFont="1" applyBorder="1" applyAlignment="1">
      <alignment horizontal="left" vertical="center" wrapText="1"/>
    </xf>
    <xf numFmtId="0" fontId="11" fillId="4" borderId="12" xfId="0" applyFont="1" applyFill="1" applyBorder="1" applyAlignment="1">
      <alignment horizontal="center"/>
    </xf>
    <xf numFmtId="0" fontId="6" fillId="0" borderId="48" xfId="0" applyFont="1" applyBorder="1"/>
    <xf numFmtId="0" fontId="13" fillId="0" borderId="12" xfId="0" applyFont="1" applyBorder="1" applyAlignment="1">
      <alignment horizontal="center" vertical="center" wrapText="1"/>
    </xf>
    <xf numFmtId="0" fontId="11" fillId="0" borderId="34"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38" xfId="0" applyFont="1" applyBorder="1" applyAlignment="1">
      <alignment horizontal="left" vertical="center" wrapText="1"/>
    </xf>
    <xf numFmtId="0" fontId="12" fillId="0" borderId="30"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38" xfId="0" applyFont="1" applyBorder="1" applyAlignment="1">
      <alignment horizontal="left" vertical="center" wrapText="1"/>
    </xf>
    <xf numFmtId="4" fontId="11" fillId="0" borderId="38" xfId="0" applyNumberFormat="1" applyFont="1" applyBorder="1" applyAlignment="1">
      <alignment horizontal="center" vertical="center" wrapText="1"/>
    </xf>
    <xf numFmtId="0" fontId="12" fillId="0" borderId="42" xfId="0" applyFont="1" applyBorder="1" applyAlignment="1">
      <alignment horizontal="left" vertical="center" wrapText="1"/>
    </xf>
    <xf numFmtId="0" fontId="6" fillId="0" borderId="27" xfId="0" applyFont="1" applyBorder="1"/>
    <xf numFmtId="0" fontId="12" fillId="0" borderId="34" xfId="0" applyFont="1" applyBorder="1" applyAlignment="1">
      <alignment horizontal="left" vertical="center" wrapText="1"/>
    </xf>
    <xf numFmtId="0" fontId="11" fillId="0" borderId="34"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42" xfId="0" applyFont="1" applyBorder="1" applyAlignment="1">
      <alignment horizontal="left" vertical="center" wrapText="1"/>
    </xf>
    <xf numFmtId="0" fontId="14" fillId="0" borderId="42" xfId="0" applyFont="1" applyBorder="1" applyAlignment="1">
      <alignment horizontal="center" vertical="center" wrapText="1"/>
    </xf>
    <xf numFmtId="0" fontId="12" fillId="0" borderId="36" xfId="0" applyFont="1" applyBorder="1" applyAlignment="1">
      <alignment horizontal="left" vertical="center" wrapText="1"/>
    </xf>
    <xf numFmtId="165" fontId="13" fillId="0" borderId="34" xfId="0" applyNumberFormat="1" applyFont="1" applyBorder="1" applyAlignment="1">
      <alignment horizontal="center" vertical="center" wrapText="1"/>
    </xf>
    <xf numFmtId="165" fontId="13" fillId="0" borderId="42" xfId="0" applyNumberFormat="1"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5" fillId="0" borderId="2" xfId="0" applyFont="1" applyBorder="1" applyAlignment="1">
      <alignment horizontal="center"/>
    </xf>
    <xf numFmtId="0" fontId="4" fillId="4" borderId="2" xfId="0" applyFont="1" applyFill="1" applyBorder="1" applyAlignment="1">
      <alignment horizontal="center" vertical="top"/>
    </xf>
    <xf numFmtId="0" fontId="9" fillId="0" borderId="28" xfId="0" applyFont="1" applyBorder="1" applyAlignment="1">
      <alignment horizontal="center" vertical="center" wrapText="1"/>
    </xf>
    <xf numFmtId="0" fontId="11" fillId="0" borderId="40" xfId="0" applyFont="1" applyBorder="1" applyAlignment="1">
      <alignment vertical="center"/>
    </xf>
    <xf numFmtId="0" fontId="6" fillId="0" borderId="41" xfId="0" applyFont="1" applyBorder="1"/>
    <xf numFmtId="0" fontId="6" fillId="0" borderId="36" xfId="0" applyFont="1" applyBorder="1"/>
    <xf numFmtId="0" fontId="6" fillId="0" borderId="37" xfId="0" applyFont="1" applyBorder="1"/>
    <xf numFmtId="0" fontId="11" fillId="0" borderId="28" xfId="0" applyFont="1" applyBorder="1" applyAlignment="1">
      <alignment vertical="center"/>
    </xf>
    <xf numFmtId="0" fontId="11" fillId="0" borderId="36" xfId="0" applyFont="1" applyBorder="1" applyAlignment="1">
      <alignment vertical="center"/>
    </xf>
    <xf numFmtId="0" fontId="6" fillId="0" borderId="46" xfId="0" applyFont="1" applyBorder="1"/>
    <xf numFmtId="0" fontId="6" fillId="0" borderId="47" xfId="0" applyFont="1" applyBorder="1"/>
    <xf numFmtId="0" fontId="11" fillId="0" borderId="28" xfId="0" applyFont="1" applyBorder="1" applyAlignment="1">
      <alignment horizontal="left" vertical="center"/>
    </xf>
    <xf numFmtId="0" fontId="9" fillId="0" borderId="13" xfId="0" applyFont="1" applyBorder="1" applyAlignment="1">
      <alignment horizontal="center" vertical="center" wrapText="1"/>
    </xf>
    <xf numFmtId="0" fontId="4" fillId="4" borderId="5" xfId="0" applyFont="1" applyFill="1" applyBorder="1" applyAlignment="1">
      <alignment horizontal="center" vertical="top"/>
    </xf>
    <xf numFmtId="0" fontId="6" fillId="0" borderId="8" xfId="0" applyFont="1" applyBorder="1"/>
    <xf numFmtId="0" fontId="20" fillId="7" borderId="72" xfId="0" applyFont="1" applyFill="1" applyBorder="1" applyAlignment="1">
      <alignment vertical="center" wrapText="1"/>
    </xf>
    <xf numFmtId="0" fontId="22" fillId="7" borderId="72" xfId="0" applyFont="1" applyFill="1" applyBorder="1" applyAlignment="1">
      <alignment vertical="center" wrapText="1"/>
    </xf>
    <xf numFmtId="0" fontId="0" fillId="7" borderId="72" xfId="0" applyFill="1" applyBorder="1" applyAlignment="1">
      <alignment wrapText="1"/>
    </xf>
    <xf numFmtId="0" fontId="5" fillId="4" borderId="0" xfId="0" applyNumberFormat="1" applyFont="1" applyFill="1"/>
    <xf numFmtId="0" fontId="0" fillId="0" borderId="0" xfId="0" applyNumberFormat="1"/>
    <xf numFmtId="0" fontId="1" fillId="0" borderId="18" xfId="0" applyNumberFormat="1" applyFont="1" applyBorder="1" applyAlignment="1">
      <alignment horizontal="center" vertical="center" wrapText="1"/>
    </xf>
    <xf numFmtId="0" fontId="20" fillId="7" borderId="72" xfId="0" applyNumberFormat="1" applyFont="1" applyFill="1" applyBorder="1" applyAlignment="1">
      <alignment horizontal="center" vertical="center" wrapText="1"/>
    </xf>
    <xf numFmtId="0" fontId="22" fillId="7" borderId="72" xfId="0" applyNumberFormat="1" applyFont="1" applyFill="1" applyBorder="1" applyAlignment="1">
      <alignment horizontal="center" vertical="center" wrapText="1"/>
    </xf>
    <xf numFmtId="0" fontId="1" fillId="0" borderId="44" xfId="0" applyFont="1" applyBorder="1" applyAlignment="1">
      <alignment horizontal="center" vertical="center" wrapText="1"/>
    </xf>
    <xf numFmtId="0" fontId="2" fillId="0" borderId="72" xfId="0" applyFont="1" applyBorder="1" applyAlignment="1">
      <alignment horizontal="center" vertical="center" wrapText="1"/>
    </xf>
    <xf numFmtId="0" fontId="1" fillId="0" borderId="72" xfId="0" applyFont="1" applyBorder="1" applyAlignment="1">
      <alignment horizontal="center" vertical="center" wrapText="1"/>
    </xf>
  </cellXfs>
  <cellStyles count="2">
    <cellStyle name="Hipervínculo"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28</xdr:row>
      <xdr:rowOff>0</xdr:rowOff>
    </xdr:from>
    <xdr:ext cx="12115800" cy="2000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0" y="6134100"/>
          <a:ext cx="1211580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35</xdr:row>
      <xdr:rowOff>0</xdr:rowOff>
    </xdr:from>
    <xdr:ext cx="11858625" cy="1905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0" y="7410450"/>
          <a:ext cx="1185862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45</xdr:row>
      <xdr:rowOff>0</xdr:rowOff>
    </xdr:from>
    <xdr:ext cx="12058650" cy="2095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28575" y="9267825"/>
          <a:ext cx="12058650" cy="2095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40</xdr:row>
      <xdr:rowOff>190500</xdr:rowOff>
    </xdr:from>
    <xdr:ext cx="12125325" cy="2286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0" y="8543925"/>
          <a:ext cx="12125325" cy="228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32</xdr:row>
      <xdr:rowOff>0</xdr:rowOff>
    </xdr:from>
    <xdr:ext cx="12125325" cy="2095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0" y="6858000"/>
          <a:ext cx="12125325" cy="2095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161925</xdr:colOff>
      <xdr:row>39</xdr:row>
      <xdr:rowOff>0</xdr:rowOff>
    </xdr:from>
    <xdr:ext cx="11953875" cy="190500"/>
    <xdr:sp macro="" textlink="">
      <xdr:nvSpPr>
        <xdr:cNvPr id="8" name="Shape 8">
          <a:extLst>
            <a:ext uri="{FF2B5EF4-FFF2-40B4-BE49-F238E27FC236}">
              <a16:creationId xmlns:a16="http://schemas.microsoft.com/office/drawing/2014/main" id="{00000000-0008-0000-0000-000008000000}"/>
            </a:ext>
          </a:extLst>
        </xdr:cNvPr>
        <xdr:cNvSpPr txBox="1"/>
      </xdr:nvSpPr>
      <xdr:spPr>
        <a:xfrm>
          <a:off x="161925" y="8162925"/>
          <a:ext cx="119538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49</xdr:row>
      <xdr:rowOff>0</xdr:rowOff>
    </xdr:from>
    <xdr:ext cx="12115800" cy="2000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0" y="9991725"/>
          <a:ext cx="1211580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37</xdr:row>
      <xdr:rowOff>171450</xdr:rowOff>
    </xdr:from>
    <xdr:ext cx="5067300" cy="21907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0" y="7953375"/>
          <a:ext cx="5067300"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47</xdr:row>
      <xdr:rowOff>0</xdr:rowOff>
    </xdr:from>
    <xdr:ext cx="12106275" cy="200025"/>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9525" y="9629775"/>
          <a:ext cx="12106275"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8</xdr:row>
      <xdr:rowOff>85725</xdr:rowOff>
    </xdr:from>
    <xdr:ext cx="3105150" cy="361950"/>
    <xdr:sp macro="" textlink="">
      <xdr:nvSpPr>
        <xdr:cNvPr id="12" name="Shape 12">
          <a:extLst>
            <a:ext uri="{FF2B5EF4-FFF2-40B4-BE49-F238E27FC236}">
              <a16:creationId xmlns:a16="http://schemas.microsoft.com/office/drawing/2014/main" id="{00000000-0008-0000-0000-00000C000000}"/>
            </a:ext>
          </a:extLst>
        </xdr:cNvPr>
        <xdr:cNvSpPr/>
      </xdr:nvSpPr>
      <xdr:spPr>
        <a:xfrm>
          <a:off x="28575" y="2038350"/>
          <a:ext cx="3105150" cy="361950"/>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1</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13</xdr:row>
      <xdr:rowOff>0</xdr:rowOff>
    </xdr:from>
    <xdr:ext cx="12115800" cy="180975"/>
    <xdr:sp macro="" textlink="">
      <xdr:nvSpPr>
        <xdr:cNvPr id="13" name="Shape 13">
          <a:extLst>
            <a:ext uri="{FF2B5EF4-FFF2-40B4-BE49-F238E27FC236}">
              <a16:creationId xmlns:a16="http://schemas.microsoft.com/office/drawing/2014/main" id="{00000000-0008-0000-0000-00000D000000}"/>
            </a:ext>
          </a:extLst>
        </xdr:cNvPr>
        <xdr:cNvSpPr txBox="1"/>
      </xdr:nvSpPr>
      <xdr:spPr>
        <a:xfrm>
          <a:off x="0" y="3400425"/>
          <a:ext cx="12115800" cy="1809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9525</xdr:colOff>
      <xdr:row>27</xdr:row>
      <xdr:rowOff>9525</xdr:rowOff>
    </xdr:from>
    <xdr:ext cx="171450" cy="171450"/>
    <xdr:pic>
      <xdr:nvPicPr>
        <xdr:cNvPr id="2" name="image1.png" descr="Informació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968500" y="5962650"/>
          <a:ext cx="171450" cy="171450"/>
        </a:xfrm>
        <a:prstGeom prst="rect">
          <a:avLst/>
        </a:prstGeom>
        <a:noFill/>
      </xdr:spPr>
    </xdr:pic>
    <xdr:clientData fLocksWithSheet="0"/>
  </xdr:oneCellAnchor>
  <xdr:oneCellAnchor>
    <xdr:from>
      <xdr:col>1</xdr:col>
      <xdr:colOff>142875</xdr:colOff>
      <xdr:row>1</xdr:row>
      <xdr:rowOff>76200</xdr:rowOff>
    </xdr:from>
    <xdr:ext cx="1304925" cy="523875"/>
    <xdr:pic>
      <xdr:nvPicPr>
        <xdr:cNvPr id="15" name="image2.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2" cstate="print"/>
        <a:stretch>
          <a:fillRect/>
        </a:stretch>
      </xdr:blipFill>
      <xdr:spPr>
        <a:xfrm>
          <a:off x="926465" y="257175"/>
          <a:ext cx="1304925" cy="523875"/>
        </a:xfrm>
        <a:prstGeom prst="rect">
          <a:avLst/>
        </a:prstGeom>
        <a:noFill/>
      </xdr:spPr>
    </xdr:pic>
    <xdr:clientData fLocksWithSheet="0"/>
  </xdr:oneCellAnchor>
  <xdr:oneCellAnchor>
    <xdr:from>
      <xdr:col>4</xdr:col>
      <xdr:colOff>19050</xdr:colOff>
      <xdr:row>27</xdr:row>
      <xdr:rowOff>9525</xdr:rowOff>
    </xdr:from>
    <xdr:ext cx="171450" cy="171450"/>
    <xdr:pic>
      <xdr:nvPicPr>
        <xdr:cNvPr id="16" name="image1.png" descr="Información">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oneCellAnchor>
    <xdr:from>
      <xdr:col>4</xdr:col>
      <xdr:colOff>19050</xdr:colOff>
      <xdr:row>27</xdr:row>
      <xdr:rowOff>9525</xdr:rowOff>
    </xdr:from>
    <xdr:ext cx="171450" cy="171450"/>
    <xdr:pic>
      <xdr:nvPicPr>
        <xdr:cNvPr id="17" name="image1.png" descr="Informació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oneCellAnchor>
    <xdr:from>
      <xdr:col>4</xdr:col>
      <xdr:colOff>19050</xdr:colOff>
      <xdr:row>27</xdr:row>
      <xdr:rowOff>9525</xdr:rowOff>
    </xdr:from>
    <xdr:ext cx="171450" cy="171450"/>
    <xdr:pic>
      <xdr:nvPicPr>
        <xdr:cNvPr id="18" name="image1.png" descr="Información">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 cstate="print"/>
        <a:stretch>
          <a:fillRect/>
        </a:stretch>
      </xdr:blipFill>
      <xdr:spPr>
        <a:xfrm>
          <a:off x="2330450" y="5962650"/>
          <a:ext cx="171450" cy="171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161925</xdr:colOff>
      <xdr:row>40</xdr:row>
      <xdr:rowOff>0</xdr:rowOff>
    </xdr:from>
    <xdr:ext cx="11953875" cy="190500"/>
    <xdr:sp macro="" textlink="">
      <xdr:nvSpPr>
        <xdr:cNvPr id="8" name="Shape 8">
          <a:extLst>
            <a:ext uri="{FF2B5EF4-FFF2-40B4-BE49-F238E27FC236}">
              <a16:creationId xmlns:a16="http://schemas.microsoft.com/office/drawing/2014/main" id="{00000000-0008-0000-0100-000008000000}"/>
            </a:ext>
          </a:extLst>
        </xdr:cNvPr>
        <xdr:cNvSpPr txBox="1"/>
      </xdr:nvSpPr>
      <xdr:spPr>
        <a:xfrm>
          <a:off x="161925" y="8343900"/>
          <a:ext cx="119538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28575</xdr:colOff>
      <xdr:row>9</xdr:row>
      <xdr:rowOff>85725</xdr:rowOff>
    </xdr:from>
    <xdr:ext cx="3352800" cy="361950"/>
    <xdr:sp macro="" textlink="">
      <xdr:nvSpPr>
        <xdr:cNvPr id="14" name="Shape 14">
          <a:extLst>
            <a:ext uri="{FF2B5EF4-FFF2-40B4-BE49-F238E27FC236}">
              <a16:creationId xmlns:a16="http://schemas.microsoft.com/office/drawing/2014/main" id="{00000000-0008-0000-0100-00000E000000}"/>
            </a:ext>
          </a:extLst>
        </xdr:cNvPr>
        <xdr:cNvSpPr/>
      </xdr:nvSpPr>
      <xdr:spPr>
        <a:xfrm>
          <a:off x="28575" y="2219325"/>
          <a:ext cx="3352800" cy="361950"/>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2</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14</xdr:row>
      <xdr:rowOff>0</xdr:rowOff>
    </xdr:from>
    <xdr:ext cx="12115800" cy="180975"/>
    <xdr:sp macro="" textlink="">
      <xdr:nvSpPr>
        <xdr:cNvPr id="13" name="Shape 13">
          <a:extLst>
            <a:ext uri="{FF2B5EF4-FFF2-40B4-BE49-F238E27FC236}">
              <a16:creationId xmlns:a16="http://schemas.microsoft.com/office/drawing/2014/main" id="{00000000-0008-0000-0100-00000D000000}"/>
            </a:ext>
          </a:extLst>
        </xdr:cNvPr>
        <xdr:cNvSpPr txBox="1"/>
      </xdr:nvSpPr>
      <xdr:spPr>
        <a:xfrm>
          <a:off x="0" y="3581400"/>
          <a:ext cx="12115800" cy="1809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15</xdr:row>
      <xdr:rowOff>0</xdr:rowOff>
    </xdr:from>
    <xdr:ext cx="8829675" cy="219075"/>
    <xdr:sp macro="" textlink="">
      <xdr:nvSpPr>
        <xdr:cNvPr id="15" name="Shape 15">
          <a:extLst>
            <a:ext uri="{FF2B5EF4-FFF2-40B4-BE49-F238E27FC236}">
              <a16:creationId xmlns:a16="http://schemas.microsoft.com/office/drawing/2014/main" id="{00000000-0008-0000-0100-00000F000000}"/>
            </a:ext>
          </a:extLst>
        </xdr:cNvPr>
        <xdr:cNvSpPr txBox="1"/>
      </xdr:nvSpPr>
      <xdr:spPr>
        <a:xfrm>
          <a:off x="0" y="3762375"/>
          <a:ext cx="8829675"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19050</xdr:colOff>
      <xdr:row>18</xdr:row>
      <xdr:rowOff>19050</xdr:rowOff>
    </xdr:from>
    <xdr:ext cx="2295525" cy="152400"/>
    <xdr:sp macro="" textlink="">
      <xdr:nvSpPr>
        <xdr:cNvPr id="16" name="Shape 16">
          <a:extLst>
            <a:ext uri="{FF2B5EF4-FFF2-40B4-BE49-F238E27FC236}">
              <a16:creationId xmlns:a16="http://schemas.microsoft.com/office/drawing/2014/main" id="{00000000-0008-0000-0100-000010000000}"/>
            </a:ext>
          </a:extLst>
        </xdr:cNvPr>
        <xdr:cNvSpPr txBox="1"/>
      </xdr:nvSpPr>
      <xdr:spPr>
        <a:xfrm>
          <a:off x="19050" y="4324350"/>
          <a:ext cx="229552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19</xdr:row>
      <xdr:rowOff>38100</xdr:rowOff>
    </xdr:from>
    <xdr:ext cx="2295525" cy="152400"/>
    <xdr:sp macro="" textlink="">
      <xdr:nvSpPr>
        <xdr:cNvPr id="17" name="Shape 17">
          <a:extLst>
            <a:ext uri="{FF2B5EF4-FFF2-40B4-BE49-F238E27FC236}">
              <a16:creationId xmlns:a16="http://schemas.microsoft.com/office/drawing/2014/main" id="{00000000-0008-0000-0100-000011000000}"/>
            </a:ext>
          </a:extLst>
        </xdr:cNvPr>
        <xdr:cNvSpPr txBox="1"/>
      </xdr:nvSpPr>
      <xdr:spPr>
        <a:xfrm>
          <a:off x="9525" y="4524375"/>
          <a:ext cx="229552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24</xdr:row>
      <xdr:rowOff>123825</xdr:rowOff>
    </xdr:from>
    <xdr:ext cx="2295525" cy="352425"/>
    <xdr:sp macro="" textlink="">
      <xdr:nvSpPr>
        <xdr:cNvPr id="18" name="Shape 18">
          <a:extLst>
            <a:ext uri="{FF2B5EF4-FFF2-40B4-BE49-F238E27FC236}">
              <a16:creationId xmlns:a16="http://schemas.microsoft.com/office/drawing/2014/main" id="{00000000-0008-0000-0100-000012000000}"/>
            </a:ext>
          </a:extLst>
        </xdr:cNvPr>
        <xdr:cNvSpPr txBox="1"/>
      </xdr:nvSpPr>
      <xdr:spPr>
        <a:xfrm>
          <a:off x="9525" y="5524500"/>
          <a:ext cx="2295525" cy="3524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304800</xdr:colOff>
      <xdr:row>27</xdr:row>
      <xdr:rowOff>0</xdr:rowOff>
    </xdr:from>
    <xdr:ext cx="8848725" cy="190500"/>
    <xdr:sp macro="" textlink="">
      <xdr:nvSpPr>
        <xdr:cNvPr id="19" name="Shape 19">
          <a:extLst>
            <a:ext uri="{FF2B5EF4-FFF2-40B4-BE49-F238E27FC236}">
              <a16:creationId xmlns:a16="http://schemas.microsoft.com/office/drawing/2014/main" id="{00000000-0008-0000-0100-000013000000}"/>
            </a:ext>
          </a:extLst>
        </xdr:cNvPr>
        <xdr:cNvSpPr txBox="1"/>
      </xdr:nvSpPr>
      <xdr:spPr>
        <a:xfrm>
          <a:off x="304800" y="5953125"/>
          <a:ext cx="884872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37</xdr:row>
      <xdr:rowOff>0</xdr:rowOff>
    </xdr:from>
    <xdr:ext cx="8820150" cy="200025"/>
    <xdr:sp macro="" textlink="">
      <xdr:nvSpPr>
        <xdr:cNvPr id="20" name="Shape 20">
          <a:extLst>
            <a:ext uri="{FF2B5EF4-FFF2-40B4-BE49-F238E27FC236}">
              <a16:creationId xmlns:a16="http://schemas.microsoft.com/office/drawing/2014/main" id="{00000000-0008-0000-0100-000014000000}"/>
            </a:ext>
          </a:extLst>
        </xdr:cNvPr>
        <xdr:cNvSpPr txBox="1"/>
      </xdr:nvSpPr>
      <xdr:spPr>
        <a:xfrm>
          <a:off x="0" y="7772400"/>
          <a:ext cx="882015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19050</xdr:colOff>
      <xdr:row>39</xdr:row>
      <xdr:rowOff>190500</xdr:rowOff>
    </xdr:from>
    <xdr:ext cx="8829675" cy="209550"/>
    <xdr:sp macro="" textlink="">
      <xdr:nvSpPr>
        <xdr:cNvPr id="21" name="Shape 21">
          <a:extLst>
            <a:ext uri="{FF2B5EF4-FFF2-40B4-BE49-F238E27FC236}">
              <a16:creationId xmlns:a16="http://schemas.microsoft.com/office/drawing/2014/main" id="{00000000-0008-0000-0100-000015000000}"/>
            </a:ext>
          </a:extLst>
        </xdr:cNvPr>
        <xdr:cNvSpPr txBox="1"/>
      </xdr:nvSpPr>
      <xdr:spPr>
        <a:xfrm>
          <a:off x="19050" y="8343900"/>
          <a:ext cx="8829675" cy="2095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44</xdr:row>
      <xdr:rowOff>0</xdr:rowOff>
    </xdr:from>
    <xdr:ext cx="8820150" cy="200025"/>
    <xdr:sp macro="" textlink="">
      <xdr:nvSpPr>
        <xdr:cNvPr id="22" name="Shape 22">
          <a:extLst>
            <a:ext uri="{FF2B5EF4-FFF2-40B4-BE49-F238E27FC236}">
              <a16:creationId xmlns:a16="http://schemas.microsoft.com/office/drawing/2014/main" id="{00000000-0008-0000-0100-000016000000}"/>
            </a:ext>
          </a:extLst>
        </xdr:cNvPr>
        <xdr:cNvSpPr txBox="1"/>
      </xdr:nvSpPr>
      <xdr:spPr>
        <a:xfrm>
          <a:off x="0" y="9344025"/>
          <a:ext cx="8820150" cy="200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228600</xdr:colOff>
      <xdr:row>22</xdr:row>
      <xdr:rowOff>123825</xdr:rowOff>
    </xdr:from>
    <xdr:ext cx="180975" cy="171450"/>
    <xdr:pic>
      <xdr:nvPicPr>
        <xdr:cNvPr id="2" name="image1.png" descr="Informació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012190" y="5153025"/>
          <a:ext cx="180975" cy="171450"/>
        </a:xfrm>
        <a:prstGeom prst="rect">
          <a:avLst/>
        </a:prstGeom>
        <a:noFill/>
      </xdr:spPr>
    </xdr:pic>
    <xdr:clientData fLocksWithSheet="0"/>
  </xdr:oneCellAnchor>
  <xdr:oneCellAnchor>
    <xdr:from>
      <xdr:col>1</xdr:col>
      <xdr:colOff>647700</xdr:colOff>
      <xdr:row>22</xdr:row>
      <xdr:rowOff>123825</xdr:rowOff>
    </xdr:from>
    <xdr:ext cx="123825" cy="171450"/>
    <xdr:pic>
      <xdr:nvPicPr>
        <xdr:cNvPr id="3" name="image1.png" descr="Informació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1431290" y="5153025"/>
          <a:ext cx="123825" cy="171450"/>
        </a:xfrm>
        <a:prstGeom prst="rect">
          <a:avLst/>
        </a:prstGeom>
        <a:noFill/>
      </xdr:spPr>
    </xdr:pic>
    <xdr:clientData fLocksWithSheet="0"/>
  </xdr:oneCellAnchor>
  <xdr:oneCellAnchor>
    <xdr:from>
      <xdr:col>1</xdr:col>
      <xdr:colOff>447675</xdr:colOff>
      <xdr:row>22</xdr:row>
      <xdr:rowOff>123825</xdr:rowOff>
    </xdr:from>
    <xdr:ext cx="161925" cy="171450"/>
    <xdr:pic>
      <xdr:nvPicPr>
        <xdr:cNvPr id="4" name="image1.png" descr="Informació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xfrm>
          <a:off x="1231265" y="5153025"/>
          <a:ext cx="161925" cy="171450"/>
        </a:xfrm>
        <a:prstGeom prst="rect">
          <a:avLst/>
        </a:prstGeom>
        <a:noFill/>
      </xdr:spPr>
    </xdr:pic>
    <xdr:clientData fLocksWithSheet="0"/>
  </xdr:oneCellAnchor>
  <xdr:oneCellAnchor>
    <xdr:from>
      <xdr:col>1</xdr:col>
      <xdr:colOff>142875</xdr:colOff>
      <xdr:row>30</xdr:row>
      <xdr:rowOff>123825</xdr:rowOff>
    </xdr:from>
    <xdr:ext cx="190500" cy="171450"/>
    <xdr:pic>
      <xdr:nvPicPr>
        <xdr:cNvPr id="5" name="image1.png" descr="Informació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xfrm>
          <a:off x="926465" y="6619875"/>
          <a:ext cx="190500" cy="171450"/>
        </a:xfrm>
        <a:prstGeom prst="rect">
          <a:avLst/>
        </a:prstGeom>
        <a:noFill/>
      </xdr:spPr>
    </xdr:pic>
    <xdr:clientData fLocksWithSheet="0"/>
  </xdr:oneCellAnchor>
  <xdr:oneCellAnchor>
    <xdr:from>
      <xdr:col>1</xdr:col>
      <xdr:colOff>361950</xdr:colOff>
      <xdr:row>30</xdr:row>
      <xdr:rowOff>123825</xdr:rowOff>
    </xdr:from>
    <xdr:ext cx="171450" cy="171450"/>
    <xdr:pic>
      <xdr:nvPicPr>
        <xdr:cNvPr id="6" name="image1.png" descr="Información">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xfrm>
          <a:off x="1145540" y="6619875"/>
          <a:ext cx="171450" cy="171450"/>
        </a:xfrm>
        <a:prstGeom prst="rect">
          <a:avLst/>
        </a:prstGeom>
        <a:noFill/>
      </xdr:spPr>
    </xdr:pic>
    <xdr:clientData fLocksWithSheet="0"/>
  </xdr:oneCellAnchor>
  <xdr:oneCellAnchor>
    <xdr:from>
      <xdr:col>2</xdr:col>
      <xdr:colOff>28575</xdr:colOff>
      <xdr:row>22</xdr:row>
      <xdr:rowOff>123825</xdr:rowOff>
    </xdr:from>
    <xdr:ext cx="161925" cy="171450"/>
    <xdr:pic>
      <xdr:nvPicPr>
        <xdr:cNvPr id="9" name="image1.png" descr="Informació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xfrm>
          <a:off x="1595755" y="5153025"/>
          <a:ext cx="161925" cy="171450"/>
        </a:xfrm>
        <a:prstGeom prst="rect">
          <a:avLst/>
        </a:prstGeom>
        <a:noFill/>
      </xdr:spPr>
    </xdr:pic>
    <xdr:clientData fLocksWithSheet="0"/>
  </xdr:oneCellAnchor>
  <xdr:oneCellAnchor>
    <xdr:from>
      <xdr:col>0</xdr:col>
      <xdr:colOff>142875</xdr:colOff>
      <xdr:row>1</xdr:row>
      <xdr:rowOff>76200</xdr:rowOff>
    </xdr:from>
    <xdr:ext cx="1323975" cy="828675"/>
    <xdr:pic>
      <xdr:nvPicPr>
        <xdr:cNvPr id="11" name="image2.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2" cstate="print"/>
        <a:stretch>
          <a:fillRect/>
        </a:stretch>
      </xdr:blipFill>
      <xdr:spPr>
        <a:xfrm>
          <a:off x="142875" y="257175"/>
          <a:ext cx="1323975" cy="8286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85725</xdr:colOff>
      <xdr:row>12</xdr:row>
      <xdr:rowOff>19050</xdr:rowOff>
    </xdr:from>
    <xdr:ext cx="1162050" cy="333375"/>
    <xdr:sp macro="" textlink="">
      <xdr:nvSpPr>
        <xdr:cNvPr id="23" name="Shape 23">
          <a:extLst>
            <a:ext uri="{FF2B5EF4-FFF2-40B4-BE49-F238E27FC236}">
              <a16:creationId xmlns:a16="http://schemas.microsoft.com/office/drawing/2014/main" id="{00000000-0008-0000-0200-000017000000}"/>
            </a:ext>
          </a:extLst>
        </xdr:cNvPr>
        <xdr:cNvSpPr txBox="1"/>
      </xdr:nvSpPr>
      <xdr:spPr>
        <a:xfrm>
          <a:off x="5081905" y="3124200"/>
          <a:ext cx="11620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6</xdr:col>
      <xdr:colOff>66675</xdr:colOff>
      <xdr:row>12</xdr:row>
      <xdr:rowOff>28575</xdr:rowOff>
    </xdr:from>
    <xdr:ext cx="1200150" cy="333375"/>
    <xdr:sp macro="" textlink="">
      <xdr:nvSpPr>
        <xdr:cNvPr id="24" name="Shape 24">
          <a:extLst>
            <a:ext uri="{FF2B5EF4-FFF2-40B4-BE49-F238E27FC236}">
              <a16:creationId xmlns:a16="http://schemas.microsoft.com/office/drawing/2014/main" id="{00000000-0008-0000-0200-000018000000}"/>
            </a:ext>
          </a:extLst>
        </xdr:cNvPr>
        <xdr:cNvSpPr txBox="1"/>
      </xdr:nvSpPr>
      <xdr:spPr>
        <a:xfrm>
          <a:off x="7355840" y="3133725"/>
          <a:ext cx="12001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5</xdr:col>
      <xdr:colOff>19050</xdr:colOff>
      <xdr:row>12</xdr:row>
      <xdr:rowOff>19050</xdr:rowOff>
    </xdr:from>
    <xdr:ext cx="742950" cy="333375"/>
    <xdr:sp macro="" textlink="">
      <xdr:nvSpPr>
        <xdr:cNvPr id="25" name="Shape 25">
          <a:extLst>
            <a:ext uri="{FF2B5EF4-FFF2-40B4-BE49-F238E27FC236}">
              <a16:creationId xmlns:a16="http://schemas.microsoft.com/office/drawing/2014/main" id="{00000000-0008-0000-0200-000019000000}"/>
            </a:ext>
          </a:extLst>
        </xdr:cNvPr>
        <xdr:cNvSpPr txBox="1"/>
      </xdr:nvSpPr>
      <xdr:spPr>
        <a:xfrm>
          <a:off x="6445885" y="3124200"/>
          <a:ext cx="7429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7</xdr:col>
      <xdr:colOff>95250</xdr:colOff>
      <xdr:row>12</xdr:row>
      <xdr:rowOff>19050</xdr:rowOff>
    </xdr:from>
    <xdr:ext cx="1504950" cy="333375"/>
    <xdr:sp macro="" textlink="">
      <xdr:nvSpPr>
        <xdr:cNvPr id="26" name="Shape 26">
          <a:extLst>
            <a:ext uri="{FF2B5EF4-FFF2-40B4-BE49-F238E27FC236}">
              <a16:creationId xmlns:a16="http://schemas.microsoft.com/office/drawing/2014/main" id="{00000000-0008-0000-0200-00001A000000}"/>
            </a:ext>
          </a:extLst>
        </xdr:cNvPr>
        <xdr:cNvSpPr txBox="1"/>
      </xdr:nvSpPr>
      <xdr:spPr>
        <a:xfrm>
          <a:off x="8667750" y="3124200"/>
          <a:ext cx="15049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8</xdr:col>
      <xdr:colOff>57150</xdr:colOff>
      <xdr:row>12</xdr:row>
      <xdr:rowOff>19050</xdr:rowOff>
    </xdr:from>
    <xdr:ext cx="1323975" cy="333375"/>
    <xdr:sp macro="" textlink="">
      <xdr:nvSpPr>
        <xdr:cNvPr id="27" name="Shape 27">
          <a:extLst>
            <a:ext uri="{FF2B5EF4-FFF2-40B4-BE49-F238E27FC236}">
              <a16:creationId xmlns:a16="http://schemas.microsoft.com/office/drawing/2014/main" id="{00000000-0008-0000-0200-00001B000000}"/>
            </a:ext>
          </a:extLst>
        </xdr:cNvPr>
        <xdr:cNvSpPr txBox="1"/>
      </xdr:nvSpPr>
      <xdr:spPr>
        <a:xfrm>
          <a:off x="10236200" y="3124200"/>
          <a:ext cx="13239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9</xdr:col>
      <xdr:colOff>28575</xdr:colOff>
      <xdr:row>12</xdr:row>
      <xdr:rowOff>9525</xdr:rowOff>
    </xdr:from>
    <xdr:ext cx="1266825" cy="333375"/>
    <xdr:sp macro="" textlink="">
      <xdr:nvSpPr>
        <xdr:cNvPr id="28" name="Shape 28">
          <a:extLst>
            <a:ext uri="{FF2B5EF4-FFF2-40B4-BE49-F238E27FC236}">
              <a16:creationId xmlns:a16="http://schemas.microsoft.com/office/drawing/2014/main" id="{00000000-0008-0000-0200-00001C000000}"/>
            </a:ext>
          </a:extLst>
        </xdr:cNvPr>
        <xdr:cNvSpPr txBox="1"/>
      </xdr:nvSpPr>
      <xdr:spPr>
        <a:xfrm>
          <a:off x="12353290" y="3114675"/>
          <a:ext cx="126682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10</xdr:col>
      <xdr:colOff>28575</xdr:colOff>
      <xdr:row>12</xdr:row>
      <xdr:rowOff>19050</xdr:rowOff>
    </xdr:from>
    <xdr:ext cx="1238250" cy="333375"/>
    <xdr:sp macro="" textlink="">
      <xdr:nvSpPr>
        <xdr:cNvPr id="29" name="Shape 29">
          <a:extLst>
            <a:ext uri="{FF2B5EF4-FFF2-40B4-BE49-F238E27FC236}">
              <a16:creationId xmlns:a16="http://schemas.microsoft.com/office/drawing/2014/main" id="{00000000-0008-0000-0200-00001D000000}"/>
            </a:ext>
          </a:extLst>
        </xdr:cNvPr>
        <xdr:cNvSpPr txBox="1"/>
      </xdr:nvSpPr>
      <xdr:spPr>
        <a:xfrm>
          <a:off x="14665325" y="3124200"/>
          <a:ext cx="123825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11</xdr:col>
      <xdr:colOff>28575</xdr:colOff>
      <xdr:row>12</xdr:row>
      <xdr:rowOff>19050</xdr:rowOff>
    </xdr:from>
    <xdr:ext cx="1362075" cy="333375"/>
    <xdr:sp macro="" textlink="">
      <xdr:nvSpPr>
        <xdr:cNvPr id="30" name="Shape 30">
          <a:extLst>
            <a:ext uri="{FF2B5EF4-FFF2-40B4-BE49-F238E27FC236}">
              <a16:creationId xmlns:a16="http://schemas.microsoft.com/office/drawing/2014/main" id="{00000000-0008-0000-0200-00001E000000}"/>
            </a:ext>
          </a:extLst>
        </xdr:cNvPr>
        <xdr:cNvSpPr txBox="1"/>
      </xdr:nvSpPr>
      <xdr:spPr>
        <a:xfrm>
          <a:off x="15919450" y="3124200"/>
          <a:ext cx="1362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14</xdr:col>
      <xdr:colOff>19050</xdr:colOff>
      <xdr:row>12</xdr:row>
      <xdr:rowOff>28575</xdr:rowOff>
    </xdr:from>
    <xdr:ext cx="2362200" cy="333375"/>
    <xdr:sp macro="" textlink="">
      <xdr:nvSpPr>
        <xdr:cNvPr id="31" name="Shape 31">
          <a:extLst>
            <a:ext uri="{FF2B5EF4-FFF2-40B4-BE49-F238E27FC236}">
              <a16:creationId xmlns:a16="http://schemas.microsoft.com/office/drawing/2014/main" id="{00000000-0008-0000-0200-00001F000000}"/>
            </a:ext>
          </a:extLst>
        </xdr:cNvPr>
        <xdr:cNvSpPr txBox="1"/>
      </xdr:nvSpPr>
      <xdr:spPr>
        <a:xfrm>
          <a:off x="19995515" y="3133725"/>
          <a:ext cx="23622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12</xdr:col>
      <xdr:colOff>28575</xdr:colOff>
      <xdr:row>12</xdr:row>
      <xdr:rowOff>38100</xdr:rowOff>
    </xdr:from>
    <xdr:ext cx="1381125" cy="333375"/>
    <xdr:sp macro="" textlink="">
      <xdr:nvSpPr>
        <xdr:cNvPr id="32" name="Shape 32">
          <a:extLst>
            <a:ext uri="{FF2B5EF4-FFF2-40B4-BE49-F238E27FC236}">
              <a16:creationId xmlns:a16="http://schemas.microsoft.com/office/drawing/2014/main" id="{00000000-0008-0000-0200-000020000000}"/>
            </a:ext>
          </a:extLst>
        </xdr:cNvPr>
        <xdr:cNvSpPr txBox="1"/>
      </xdr:nvSpPr>
      <xdr:spPr>
        <a:xfrm>
          <a:off x="17261840" y="3143250"/>
          <a:ext cx="138112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15</xdr:col>
      <xdr:colOff>0</xdr:colOff>
      <xdr:row>12</xdr:row>
      <xdr:rowOff>28575</xdr:rowOff>
    </xdr:from>
    <xdr:ext cx="1285875" cy="333375"/>
    <xdr:sp macro="" textlink="">
      <xdr:nvSpPr>
        <xdr:cNvPr id="33" name="Shape 33">
          <a:extLst>
            <a:ext uri="{FF2B5EF4-FFF2-40B4-BE49-F238E27FC236}">
              <a16:creationId xmlns:a16="http://schemas.microsoft.com/office/drawing/2014/main" id="{00000000-0008-0000-0200-000021000000}"/>
            </a:ext>
          </a:extLst>
        </xdr:cNvPr>
        <xdr:cNvSpPr txBox="1"/>
      </xdr:nvSpPr>
      <xdr:spPr>
        <a:xfrm>
          <a:off x="22288500" y="3133725"/>
          <a:ext cx="12858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3</xdr:col>
      <xdr:colOff>47625</xdr:colOff>
      <xdr:row>12</xdr:row>
      <xdr:rowOff>38100</xdr:rowOff>
    </xdr:from>
    <xdr:ext cx="1828800" cy="314325"/>
    <xdr:sp macro="" textlink="">
      <xdr:nvSpPr>
        <xdr:cNvPr id="34" name="Shape 34">
          <a:extLst>
            <a:ext uri="{FF2B5EF4-FFF2-40B4-BE49-F238E27FC236}">
              <a16:creationId xmlns:a16="http://schemas.microsoft.com/office/drawing/2014/main" id="{00000000-0008-0000-0200-000022000000}"/>
            </a:ext>
          </a:extLst>
        </xdr:cNvPr>
        <xdr:cNvSpPr txBox="1"/>
      </xdr:nvSpPr>
      <xdr:spPr>
        <a:xfrm>
          <a:off x="2614295" y="3143250"/>
          <a:ext cx="182880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7</xdr:row>
      <xdr:rowOff>47625</xdr:rowOff>
    </xdr:from>
    <xdr:ext cx="5962650" cy="409575"/>
    <xdr:sp macro="" textlink="">
      <xdr:nvSpPr>
        <xdr:cNvPr id="35" name="Shape 35">
          <a:extLst>
            <a:ext uri="{FF2B5EF4-FFF2-40B4-BE49-F238E27FC236}">
              <a16:creationId xmlns:a16="http://schemas.microsoft.com/office/drawing/2014/main" id="{00000000-0008-0000-0200-000023000000}"/>
            </a:ext>
          </a:extLst>
        </xdr:cNvPr>
        <xdr:cNvSpPr/>
      </xdr:nvSpPr>
      <xdr:spPr>
        <a:xfrm>
          <a:off x="0" y="1819275"/>
          <a:ext cx="5962650" cy="409575"/>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3</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0</xdr:colOff>
      <xdr:row>1</xdr:row>
      <xdr:rowOff>76200</xdr:rowOff>
    </xdr:from>
    <xdr:ext cx="1933575" cy="10763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257175"/>
          <a:ext cx="1933575" cy="10763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38100</xdr:colOff>
      <xdr:row>8</xdr:row>
      <xdr:rowOff>0</xdr:rowOff>
    </xdr:from>
    <xdr:ext cx="3686175" cy="409575"/>
    <xdr:sp macro="" textlink="">
      <xdr:nvSpPr>
        <xdr:cNvPr id="41" name="Shape 41">
          <a:extLst>
            <a:ext uri="{FF2B5EF4-FFF2-40B4-BE49-F238E27FC236}">
              <a16:creationId xmlns:a16="http://schemas.microsoft.com/office/drawing/2014/main" id="{00000000-0008-0000-0300-000029000000}"/>
            </a:ext>
          </a:extLst>
        </xdr:cNvPr>
        <xdr:cNvSpPr/>
      </xdr:nvSpPr>
      <xdr:spPr>
        <a:xfrm>
          <a:off x="38100" y="1952625"/>
          <a:ext cx="3686175" cy="409575"/>
        </a:xfrm>
        <a:prstGeom prst="roundRect">
          <a:avLst>
            <a:gd name="adj" fmla="val 16667"/>
          </a:avLst>
        </a:prstGeom>
        <a:solidFill>
          <a:srgbClr val="A5A5A5"/>
        </a:solidFill>
        <a:ln w="9525" cap="flat" cmpd="sng">
          <a:solidFill>
            <a:srgbClr val="0C0C0C"/>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rgbClr val="1D1B10"/>
              </a:solidFill>
              <a:latin typeface="Libre Baskerville"/>
              <a:ea typeface="Libre Baskerville"/>
              <a:cs typeface="Libre Baskerville"/>
              <a:sym typeface="Libre Baskerville"/>
            </a:rPr>
            <a:t>Haga clic aquí antes de diligenciar el Formato 4</a:t>
          </a:r>
          <a:r>
            <a:rPr lang="en-US" sz="1100">
              <a:solidFill>
                <a:srgbClr val="1D1B10"/>
              </a:solidFill>
              <a:latin typeface="Calibri" panose="020F0502020204030204"/>
              <a:ea typeface="Calibri" panose="020F0502020204030204"/>
              <a:cs typeface="Calibri" panose="020F0502020204030204"/>
              <a:sym typeface="Calibri" panose="020F0502020204030204"/>
            </a:rPr>
            <a:t>.</a:t>
          </a:r>
          <a:endParaRPr sz="1100">
            <a:solidFill>
              <a:srgbClr val="1D1B10"/>
            </a:solidFill>
          </a:endParaRPr>
        </a:p>
      </xdr:txBody>
    </xdr:sp>
    <xdr:clientData fLocksWithSheet="0"/>
  </xdr:oneCellAnchor>
  <xdr:oneCellAnchor>
    <xdr:from>
      <xdr:col>0</xdr:col>
      <xdr:colOff>476250</xdr:colOff>
      <xdr:row>1</xdr:row>
      <xdr:rowOff>66675</xdr:rowOff>
    </xdr:from>
    <xdr:ext cx="1914525" cy="10191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476250" y="247650"/>
          <a:ext cx="1914525" cy="1019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ana@sunfactory.io" TargetMode="External"/><Relationship Id="rId1" Type="http://schemas.openxmlformats.org/officeDocument/2006/relationships/hyperlink" Target="mailto:ana@sunfactory.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0"/>
  <sheetViews>
    <sheetView showGridLines="0" topLeftCell="A6" workbookViewId="0">
      <selection activeCell="G21" sqref="G21:O21"/>
    </sheetView>
  </sheetViews>
  <sheetFormatPr baseColWidth="10" defaultColWidth="14.44140625" defaultRowHeight="15" customHeight="1"/>
  <cols>
    <col min="1" max="2" width="11.44140625" customWidth="1"/>
    <col min="3" max="3" width="5.6640625" customWidth="1"/>
    <col min="4" max="4" width="5.109375" customWidth="1"/>
    <col min="5" max="5" width="4.33203125" customWidth="1"/>
    <col min="6" max="6" width="2.5546875" customWidth="1"/>
    <col min="7" max="7" width="5.44140625" customWidth="1"/>
    <col min="8" max="8" width="11.44140625" customWidth="1"/>
    <col min="9" max="9" width="5" customWidth="1"/>
    <col min="10" max="10" width="1.88671875" customWidth="1"/>
    <col min="11" max="11" width="6.33203125" customWidth="1"/>
    <col min="12" max="12" width="5.33203125" customWidth="1"/>
    <col min="13" max="13" width="4.6640625" customWidth="1"/>
    <col min="14" max="14" width="3.109375" customWidth="1"/>
    <col min="15" max="15" width="0.88671875" customWidth="1"/>
    <col min="16" max="16" width="9.33203125" customWidth="1"/>
    <col min="17" max="17" width="5.44140625" customWidth="1"/>
    <col min="18" max="18" width="4.88671875" customWidth="1"/>
    <col min="19" max="19" width="8.6640625" customWidth="1"/>
    <col min="20" max="20" width="5.44140625" customWidth="1"/>
    <col min="21" max="21" width="7.44140625" customWidth="1"/>
    <col min="22" max="22" width="9.88671875" customWidth="1"/>
    <col min="23" max="23" width="5.6640625" customWidth="1"/>
    <col min="24" max="24" width="3.88671875" customWidth="1"/>
    <col min="25" max="25" width="5.44140625" customWidth="1"/>
    <col min="26" max="26" width="8.88671875" customWidth="1"/>
    <col min="27" max="27" width="0.33203125" hidden="1" customWidth="1"/>
    <col min="28" max="28" width="0.6640625" hidden="1" customWidth="1"/>
    <col min="29" max="29" width="5" customWidth="1"/>
    <col min="30" max="30" width="0.6640625" customWidth="1"/>
    <col min="31" max="31" width="2.5546875" customWidth="1"/>
    <col min="32" max="32" width="3.109375" customWidth="1"/>
    <col min="33" max="47" width="11.44140625" customWidth="1"/>
  </cols>
  <sheetData>
    <row r="1" spans="1:47"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row>
    <row r="2" spans="1:47" ht="24" customHeight="1">
      <c r="A2" s="15"/>
      <c r="B2" s="123"/>
      <c r="C2" s="124"/>
      <c r="D2" s="125"/>
      <c r="E2" s="131" t="s">
        <v>0</v>
      </c>
      <c r="F2" s="132"/>
      <c r="G2" s="132"/>
      <c r="H2" s="132"/>
      <c r="I2" s="132"/>
      <c r="J2" s="132"/>
      <c r="K2" s="132"/>
      <c r="L2" s="132"/>
      <c r="M2" s="132"/>
      <c r="N2" s="132"/>
      <c r="O2" s="132"/>
      <c r="P2" s="132"/>
      <c r="Q2" s="132"/>
      <c r="R2" s="132"/>
      <c r="S2" s="132"/>
      <c r="T2" s="132"/>
      <c r="U2" s="132"/>
      <c r="V2" s="132"/>
      <c r="W2" s="132"/>
      <c r="X2" s="133"/>
      <c r="Y2" s="139" t="s">
        <v>1</v>
      </c>
      <c r="Z2" s="140"/>
      <c r="AA2" s="15"/>
      <c r="AB2" s="15"/>
      <c r="AC2" s="15"/>
      <c r="AD2" s="15"/>
      <c r="AE2" s="15"/>
      <c r="AF2" s="15"/>
      <c r="AG2" s="15"/>
      <c r="AH2" s="15"/>
      <c r="AI2" s="15"/>
      <c r="AJ2" s="15"/>
      <c r="AK2" s="15"/>
      <c r="AL2" s="15"/>
      <c r="AM2" s="15"/>
      <c r="AN2" s="15"/>
      <c r="AO2" s="15"/>
      <c r="AP2" s="15"/>
      <c r="AQ2" s="15"/>
      <c r="AR2" s="15"/>
      <c r="AS2" s="15"/>
      <c r="AT2" s="15"/>
      <c r="AU2" s="15"/>
    </row>
    <row r="3" spans="1:47" ht="20.25" customHeight="1">
      <c r="A3" s="15"/>
      <c r="B3" s="126"/>
      <c r="C3" s="104"/>
      <c r="D3" s="127"/>
      <c r="E3" s="134"/>
      <c r="F3" s="104"/>
      <c r="G3" s="104"/>
      <c r="H3" s="104"/>
      <c r="I3" s="104"/>
      <c r="J3" s="104"/>
      <c r="K3" s="104"/>
      <c r="L3" s="104"/>
      <c r="M3" s="104"/>
      <c r="N3" s="104"/>
      <c r="O3" s="104"/>
      <c r="P3" s="104"/>
      <c r="Q3" s="104"/>
      <c r="R3" s="104"/>
      <c r="S3" s="104"/>
      <c r="T3" s="104"/>
      <c r="U3" s="104"/>
      <c r="V3" s="104"/>
      <c r="W3" s="104"/>
      <c r="X3" s="135"/>
      <c r="Y3" s="141"/>
      <c r="Z3" s="142"/>
      <c r="AA3" s="15"/>
      <c r="AB3" s="15"/>
      <c r="AC3" s="15"/>
      <c r="AD3" s="15"/>
      <c r="AE3" s="15"/>
      <c r="AF3" s="15"/>
      <c r="AG3" s="15"/>
      <c r="AH3" s="15"/>
      <c r="AI3" s="15"/>
      <c r="AJ3" s="15"/>
      <c r="AK3" s="15"/>
      <c r="AL3" s="15"/>
      <c r="AM3" s="15"/>
      <c r="AN3" s="15"/>
      <c r="AO3" s="15"/>
      <c r="AP3" s="15"/>
      <c r="AQ3" s="15"/>
      <c r="AR3" s="15"/>
      <c r="AS3" s="15"/>
      <c r="AT3" s="15"/>
      <c r="AU3" s="15"/>
    </row>
    <row r="4" spans="1:47" ht="24.75" customHeight="1">
      <c r="A4" s="15"/>
      <c r="B4" s="126"/>
      <c r="C4" s="104"/>
      <c r="D4" s="127"/>
      <c r="E4" s="134"/>
      <c r="F4" s="104"/>
      <c r="G4" s="104"/>
      <c r="H4" s="104"/>
      <c r="I4" s="104"/>
      <c r="J4" s="104"/>
      <c r="K4" s="104"/>
      <c r="L4" s="104"/>
      <c r="M4" s="104"/>
      <c r="N4" s="104"/>
      <c r="O4" s="104"/>
      <c r="P4" s="104"/>
      <c r="Q4" s="104"/>
      <c r="R4" s="104"/>
      <c r="S4" s="104"/>
      <c r="T4" s="104"/>
      <c r="U4" s="104"/>
      <c r="V4" s="104"/>
      <c r="W4" s="104"/>
      <c r="X4" s="135"/>
      <c r="Y4" s="139" t="s">
        <v>2</v>
      </c>
      <c r="Z4" s="140"/>
      <c r="AA4" s="15"/>
      <c r="AB4" s="15"/>
      <c r="AC4" s="15"/>
      <c r="AD4" s="15"/>
      <c r="AE4" s="15"/>
      <c r="AF4" s="15"/>
      <c r="AG4" s="15"/>
      <c r="AH4" s="15"/>
      <c r="AI4" s="15"/>
      <c r="AJ4" s="15"/>
      <c r="AK4" s="15"/>
      <c r="AL4" s="15"/>
      <c r="AM4" s="15"/>
      <c r="AN4" s="15"/>
      <c r="AO4" s="15"/>
      <c r="AP4" s="15"/>
      <c r="AQ4" s="15"/>
      <c r="AR4" s="15"/>
      <c r="AS4" s="15"/>
      <c r="AT4" s="15"/>
      <c r="AU4" s="15"/>
    </row>
    <row r="5" spans="1:47" ht="27.75" customHeight="1">
      <c r="A5" s="15"/>
      <c r="B5" s="128"/>
      <c r="C5" s="129"/>
      <c r="D5" s="130"/>
      <c r="E5" s="136"/>
      <c r="F5" s="137"/>
      <c r="G5" s="137"/>
      <c r="H5" s="137"/>
      <c r="I5" s="137"/>
      <c r="J5" s="137"/>
      <c r="K5" s="137"/>
      <c r="L5" s="137"/>
      <c r="M5" s="137"/>
      <c r="N5" s="137"/>
      <c r="O5" s="137"/>
      <c r="P5" s="137"/>
      <c r="Q5" s="137"/>
      <c r="R5" s="137"/>
      <c r="S5" s="137"/>
      <c r="T5" s="137"/>
      <c r="U5" s="137"/>
      <c r="V5" s="137"/>
      <c r="W5" s="137"/>
      <c r="X5" s="138"/>
      <c r="Y5" s="141"/>
      <c r="Z5" s="142"/>
      <c r="AA5" s="15"/>
      <c r="AB5" s="15"/>
      <c r="AC5" s="15"/>
      <c r="AD5" s="15"/>
      <c r="AE5" s="15"/>
      <c r="AF5" s="15"/>
      <c r="AG5" s="15"/>
      <c r="AH5" s="15"/>
      <c r="AI5" s="15"/>
      <c r="AJ5" s="15"/>
      <c r="AK5" s="15"/>
      <c r="AL5" s="15"/>
      <c r="AM5" s="15"/>
      <c r="AN5" s="15"/>
      <c r="AO5" s="15"/>
      <c r="AP5" s="15"/>
      <c r="AQ5" s="15"/>
      <c r="AR5" s="15"/>
      <c r="AS5" s="15"/>
      <c r="AT5" s="15"/>
      <c r="AU5" s="15"/>
    </row>
    <row r="6" spans="1:47" ht="14.25" customHeight="1">
      <c r="A6" s="15"/>
      <c r="B6" s="57"/>
      <c r="C6" s="58"/>
      <c r="D6" s="58"/>
      <c r="E6" s="58"/>
      <c r="F6" s="58"/>
      <c r="G6" s="58"/>
      <c r="H6" s="58"/>
      <c r="I6" s="58"/>
      <c r="J6" s="58"/>
      <c r="K6" s="58"/>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row>
    <row r="7" spans="1:47" ht="14.25" customHeight="1"/>
    <row r="8" spans="1:47" ht="14.25" customHeight="1"/>
    <row r="9" spans="1:47" ht="14.25" customHeight="1"/>
    <row r="10" spans="1:47" ht="14.25" customHeight="1"/>
    <row r="11" spans="1:47" ht="14.25" customHeight="1"/>
    <row r="12" spans="1:47" ht="14.25" customHeight="1"/>
    <row r="13" spans="1:47" ht="57" customHeight="1">
      <c r="A13" s="59" t="s">
        <v>3</v>
      </c>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1"/>
    </row>
    <row r="14" spans="1:47" ht="14.25" customHeight="1">
      <c r="A14" s="62" t="s">
        <v>4</v>
      </c>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1"/>
    </row>
    <row r="15" spans="1:47" ht="14.25" customHeight="1">
      <c r="A15" s="63" t="s">
        <v>5</v>
      </c>
      <c r="B15" s="64"/>
      <c r="C15" s="64"/>
      <c r="D15" s="64"/>
      <c r="E15" s="64"/>
      <c r="F15" s="64"/>
      <c r="G15" s="64"/>
      <c r="H15" s="64"/>
      <c r="I15" s="64"/>
      <c r="J15" s="64"/>
      <c r="K15" s="64"/>
      <c r="L15" s="64"/>
      <c r="M15" s="64"/>
      <c r="N15" s="64"/>
      <c r="O15" s="65"/>
      <c r="P15" s="63" t="s">
        <v>6</v>
      </c>
      <c r="Q15" s="64"/>
      <c r="R15" s="64"/>
      <c r="S15" s="64"/>
      <c r="T15" s="64"/>
      <c r="U15" s="64"/>
      <c r="V15" s="64"/>
      <c r="W15" s="64"/>
      <c r="X15" s="64"/>
      <c r="Y15" s="64"/>
      <c r="Z15" s="64"/>
      <c r="AA15" s="64"/>
      <c r="AB15" s="64"/>
      <c r="AC15" s="64"/>
      <c r="AD15" s="65"/>
    </row>
    <row r="16" spans="1:47" ht="14.25" customHeight="1">
      <c r="A16" s="66" t="s">
        <v>7</v>
      </c>
      <c r="B16" s="67"/>
      <c r="C16" s="67"/>
      <c r="D16" s="67"/>
      <c r="E16" s="67"/>
      <c r="F16" s="67"/>
      <c r="G16" s="67"/>
      <c r="H16" s="67"/>
      <c r="I16" s="67"/>
      <c r="J16" s="67"/>
      <c r="K16" s="67"/>
      <c r="L16" s="67"/>
      <c r="M16" s="67"/>
      <c r="N16" s="67"/>
      <c r="O16" s="68"/>
      <c r="P16" s="66" t="s">
        <v>7</v>
      </c>
      <c r="Q16" s="67"/>
      <c r="R16" s="67"/>
      <c r="S16" s="67"/>
      <c r="T16" s="67"/>
      <c r="U16" s="67"/>
      <c r="V16" s="67"/>
      <c r="W16" s="67"/>
      <c r="X16" s="67"/>
      <c r="Y16" s="67"/>
      <c r="Z16" s="67"/>
      <c r="AA16" s="67"/>
      <c r="AB16" s="67"/>
      <c r="AC16" s="67"/>
      <c r="AD16" s="68"/>
    </row>
    <row r="17" spans="1:30" ht="14.25" customHeight="1">
      <c r="A17" s="69" t="s">
        <v>8</v>
      </c>
      <c r="B17" s="70"/>
      <c r="C17" s="70"/>
      <c r="D17" s="70"/>
      <c r="E17" s="70"/>
      <c r="F17" s="70"/>
      <c r="G17" s="70"/>
      <c r="H17" s="70"/>
      <c r="I17" s="70"/>
      <c r="J17" s="70"/>
      <c r="K17" s="70"/>
      <c r="L17" s="70"/>
      <c r="M17" s="70"/>
      <c r="N17" s="70"/>
      <c r="O17" s="71"/>
      <c r="P17" s="69" t="s">
        <v>9</v>
      </c>
      <c r="Q17" s="70"/>
      <c r="R17" s="70"/>
      <c r="S17" s="70"/>
      <c r="T17" s="70"/>
      <c r="U17" s="70"/>
      <c r="V17" s="70"/>
      <c r="W17" s="70"/>
      <c r="X17" s="70"/>
      <c r="Y17" s="70"/>
      <c r="Z17" s="70"/>
      <c r="AA17" s="70"/>
      <c r="AB17" s="70"/>
      <c r="AC17" s="70"/>
      <c r="AD17" s="71"/>
    </row>
    <row r="18" spans="1:30" ht="14.25" customHeight="1">
      <c r="A18" s="72" t="s">
        <v>10</v>
      </c>
      <c r="B18" s="73"/>
      <c r="C18" s="73"/>
      <c r="D18" s="73"/>
      <c r="E18" s="73"/>
      <c r="F18" s="74"/>
      <c r="G18" s="75" t="s">
        <v>11</v>
      </c>
      <c r="H18" s="73"/>
      <c r="I18" s="73"/>
      <c r="J18" s="73"/>
      <c r="K18" s="73"/>
      <c r="L18" s="73"/>
      <c r="M18" s="73"/>
      <c r="N18" s="73"/>
      <c r="O18" s="76"/>
      <c r="P18" s="72" t="s">
        <v>10</v>
      </c>
      <c r="Q18" s="73"/>
      <c r="R18" s="73"/>
      <c r="S18" s="73"/>
      <c r="T18" s="73"/>
      <c r="U18" s="74"/>
      <c r="V18" s="77" t="s">
        <v>12</v>
      </c>
      <c r="W18" s="77"/>
      <c r="X18" s="77"/>
      <c r="Y18" s="77"/>
      <c r="Z18" s="77"/>
      <c r="AA18" s="77"/>
      <c r="AB18" s="77"/>
      <c r="AC18" s="77"/>
      <c r="AD18" s="77"/>
    </row>
    <row r="19" spans="1:30" ht="14.25" customHeight="1">
      <c r="A19" s="78" t="s">
        <v>13</v>
      </c>
      <c r="B19" s="73"/>
      <c r="C19" s="73"/>
      <c r="D19" s="73"/>
      <c r="E19" s="73"/>
      <c r="F19" s="74"/>
      <c r="G19" s="79" t="s">
        <v>11</v>
      </c>
      <c r="H19" s="73"/>
      <c r="I19" s="73"/>
      <c r="J19" s="73"/>
      <c r="K19" s="73"/>
      <c r="L19" s="73"/>
      <c r="M19" s="73"/>
      <c r="N19" s="73"/>
      <c r="O19" s="76"/>
      <c r="P19" s="78" t="s">
        <v>13</v>
      </c>
      <c r="Q19" s="73"/>
      <c r="R19" s="73"/>
      <c r="S19" s="73"/>
      <c r="T19" s="73"/>
      <c r="U19" s="74"/>
      <c r="V19" s="80" t="s">
        <v>14</v>
      </c>
      <c r="W19" s="80"/>
      <c r="X19" s="80"/>
      <c r="Y19" s="80"/>
      <c r="Z19" s="80"/>
      <c r="AA19" s="80"/>
      <c r="AB19" s="80"/>
      <c r="AC19" s="80"/>
      <c r="AD19" s="80"/>
    </row>
    <row r="20" spans="1:30" ht="14.25" customHeight="1">
      <c r="A20" s="78" t="s">
        <v>15</v>
      </c>
      <c r="B20" s="73"/>
      <c r="C20" s="73"/>
      <c r="D20" s="73"/>
      <c r="E20" s="73"/>
      <c r="F20" s="74"/>
      <c r="G20" s="79" t="s">
        <v>16</v>
      </c>
      <c r="H20" s="73"/>
      <c r="I20" s="73"/>
      <c r="J20" s="73"/>
      <c r="K20" s="73"/>
      <c r="L20" s="73"/>
      <c r="M20" s="73"/>
      <c r="N20" s="73"/>
      <c r="O20" s="76"/>
      <c r="P20" s="78" t="s">
        <v>15</v>
      </c>
      <c r="Q20" s="73"/>
      <c r="R20" s="73"/>
      <c r="S20" s="73"/>
      <c r="T20" s="73"/>
      <c r="U20" s="74"/>
      <c r="V20" s="80" t="s">
        <v>17</v>
      </c>
      <c r="W20" s="80"/>
      <c r="X20" s="80"/>
      <c r="Y20" s="80"/>
      <c r="Z20" s="80"/>
      <c r="AA20" s="80"/>
      <c r="AB20" s="80"/>
      <c r="AC20" s="80"/>
      <c r="AD20" s="80"/>
    </row>
    <row r="21" spans="1:30" ht="14.25" customHeight="1">
      <c r="A21" s="72" t="s">
        <v>18</v>
      </c>
      <c r="B21" s="73"/>
      <c r="C21" s="73"/>
      <c r="D21" s="73"/>
      <c r="E21" s="73"/>
      <c r="F21" s="74"/>
      <c r="G21" s="75">
        <v>901938257</v>
      </c>
      <c r="H21" s="73"/>
      <c r="I21" s="73"/>
      <c r="J21" s="73"/>
      <c r="K21" s="73"/>
      <c r="L21" s="73"/>
      <c r="M21" s="73"/>
      <c r="N21" s="73"/>
      <c r="O21" s="76"/>
      <c r="P21" s="72" t="s">
        <v>18</v>
      </c>
      <c r="Q21" s="73"/>
      <c r="R21" s="73"/>
      <c r="S21" s="73"/>
      <c r="T21" s="73"/>
      <c r="U21" s="74"/>
      <c r="V21" s="80" t="s">
        <v>19</v>
      </c>
      <c r="W21" s="80"/>
      <c r="X21" s="80"/>
      <c r="Y21" s="80"/>
      <c r="Z21" s="80"/>
      <c r="AA21" s="80"/>
      <c r="AB21" s="80"/>
      <c r="AC21" s="80"/>
      <c r="AD21" s="80"/>
    </row>
    <row r="22" spans="1:30" ht="14.25" customHeight="1">
      <c r="A22" s="72" t="s">
        <v>20</v>
      </c>
      <c r="B22" s="73"/>
      <c r="C22" s="73"/>
      <c r="D22" s="73"/>
      <c r="E22" s="73"/>
      <c r="F22" s="74"/>
      <c r="G22" s="81" t="s">
        <v>21</v>
      </c>
      <c r="H22" s="82"/>
      <c r="I22" s="82"/>
      <c r="J22" s="82"/>
      <c r="K22" s="82"/>
      <c r="L22" s="82"/>
      <c r="M22" s="82"/>
      <c r="N22" s="82"/>
      <c r="O22" s="83"/>
      <c r="P22" s="84" t="s">
        <v>20</v>
      </c>
      <c r="Q22" s="73"/>
      <c r="R22" s="73"/>
      <c r="S22" s="73"/>
      <c r="T22" s="73"/>
      <c r="U22" s="74"/>
      <c r="V22" s="85" t="s">
        <v>22</v>
      </c>
      <c r="W22" s="85"/>
      <c r="X22" s="85"/>
      <c r="Y22" s="85"/>
      <c r="Z22" s="85"/>
      <c r="AA22" s="85"/>
      <c r="AB22" s="85"/>
      <c r="AC22" s="85"/>
      <c r="AD22" s="85"/>
    </row>
    <row r="23" spans="1:30" ht="15" customHeight="1">
      <c r="A23" s="78" t="s">
        <v>23</v>
      </c>
      <c r="B23" s="73"/>
      <c r="C23" s="73"/>
      <c r="D23" s="73"/>
      <c r="E23" s="73"/>
      <c r="F23" s="74"/>
      <c r="G23" s="86" t="s">
        <v>24</v>
      </c>
      <c r="H23" s="73"/>
      <c r="I23" s="73"/>
      <c r="J23" s="73"/>
      <c r="K23" s="73"/>
      <c r="L23" s="73"/>
      <c r="M23" s="73"/>
      <c r="N23" s="73"/>
      <c r="O23" s="76"/>
      <c r="P23" s="78" t="s">
        <v>23</v>
      </c>
      <c r="Q23" s="73"/>
      <c r="R23" s="73"/>
      <c r="S23" s="73"/>
      <c r="T23" s="73"/>
      <c r="U23" s="74"/>
      <c r="V23" s="80" t="s">
        <v>25</v>
      </c>
      <c r="W23" s="80"/>
      <c r="X23" s="80"/>
      <c r="Y23" s="80"/>
      <c r="Z23" s="80"/>
      <c r="AA23" s="80"/>
      <c r="AB23" s="80"/>
      <c r="AC23" s="80"/>
      <c r="AD23" s="80"/>
    </row>
    <row r="24" spans="1:30" ht="14.25" customHeight="1">
      <c r="A24" s="78" t="s">
        <v>26</v>
      </c>
      <c r="B24" s="73"/>
      <c r="C24" s="73"/>
      <c r="D24" s="73"/>
      <c r="E24" s="73"/>
      <c r="F24" s="74"/>
      <c r="G24" s="86" t="s">
        <v>27</v>
      </c>
      <c r="H24" s="73"/>
      <c r="I24" s="73"/>
      <c r="J24" s="73"/>
      <c r="K24" s="73"/>
      <c r="L24" s="73"/>
      <c r="M24" s="73"/>
      <c r="N24" s="73"/>
      <c r="O24" s="76"/>
      <c r="P24" s="78" t="s">
        <v>26</v>
      </c>
      <c r="Q24" s="73"/>
      <c r="R24" s="73"/>
      <c r="S24" s="73"/>
      <c r="T24" s="73"/>
      <c r="U24" s="74"/>
      <c r="V24" s="80" t="s">
        <v>28</v>
      </c>
      <c r="W24" s="80"/>
      <c r="X24" s="80"/>
      <c r="Y24" s="80"/>
      <c r="Z24" s="80"/>
      <c r="AA24" s="80"/>
      <c r="AB24" s="80"/>
      <c r="AC24" s="80"/>
      <c r="AD24" s="80"/>
    </row>
    <row r="25" spans="1:30" ht="14.25" customHeight="1">
      <c r="A25" s="78" t="s">
        <v>29</v>
      </c>
      <c r="B25" s="73"/>
      <c r="C25" s="73"/>
      <c r="D25" s="73"/>
      <c r="E25" s="73"/>
      <c r="F25" s="74"/>
      <c r="G25" s="86">
        <v>3153350653</v>
      </c>
      <c r="H25" s="73"/>
      <c r="I25" s="73"/>
      <c r="J25" s="73"/>
      <c r="K25" s="73"/>
      <c r="L25" s="73"/>
      <c r="M25" s="73"/>
      <c r="N25" s="73"/>
      <c r="O25" s="76"/>
      <c r="P25" s="78" t="s">
        <v>29</v>
      </c>
      <c r="Q25" s="73"/>
      <c r="R25" s="73"/>
      <c r="S25" s="73"/>
      <c r="T25" s="73"/>
      <c r="U25" s="74"/>
      <c r="V25" s="80" t="s">
        <v>30</v>
      </c>
      <c r="W25" s="80"/>
      <c r="X25" s="80"/>
      <c r="Y25" s="80"/>
      <c r="Z25" s="80"/>
      <c r="AA25" s="80"/>
      <c r="AB25" s="80"/>
      <c r="AC25" s="80"/>
      <c r="AD25" s="80"/>
    </row>
    <row r="26" spans="1:30" ht="15" customHeight="1">
      <c r="A26" s="72" t="s">
        <v>31</v>
      </c>
      <c r="B26" s="73"/>
      <c r="C26" s="73"/>
      <c r="D26" s="73"/>
      <c r="E26" s="73"/>
      <c r="F26" s="74"/>
      <c r="G26" s="75" t="s">
        <v>32</v>
      </c>
      <c r="H26" s="73"/>
      <c r="I26" s="73"/>
      <c r="J26" s="73"/>
      <c r="K26" s="73"/>
      <c r="L26" s="73"/>
      <c r="M26" s="73"/>
      <c r="N26" s="73"/>
      <c r="O26" s="76"/>
      <c r="P26" s="72" t="s">
        <v>31</v>
      </c>
      <c r="Q26" s="73"/>
      <c r="R26" s="73"/>
      <c r="S26" s="73"/>
      <c r="T26" s="73"/>
      <c r="U26" s="74"/>
      <c r="V26" s="80" t="s">
        <v>33</v>
      </c>
      <c r="W26" s="80"/>
      <c r="X26" s="80"/>
      <c r="Y26" s="80"/>
      <c r="Z26" s="80"/>
      <c r="AA26" s="80"/>
      <c r="AB26" s="80"/>
      <c r="AC26" s="80"/>
      <c r="AD26" s="80"/>
    </row>
    <row r="27" spans="1:30" ht="14.25" customHeight="1">
      <c r="A27" s="72" t="s">
        <v>34</v>
      </c>
      <c r="B27" s="73"/>
      <c r="C27" s="73"/>
      <c r="D27" s="73"/>
      <c r="E27" s="73"/>
      <c r="F27" s="74"/>
      <c r="G27" s="75">
        <v>1036675940</v>
      </c>
      <c r="H27" s="73"/>
      <c r="I27" s="73"/>
      <c r="J27" s="73"/>
      <c r="K27" s="73"/>
      <c r="L27" s="73"/>
      <c r="M27" s="73"/>
      <c r="N27" s="73"/>
      <c r="O27" s="76"/>
      <c r="P27" s="72" t="s">
        <v>34</v>
      </c>
      <c r="Q27" s="73"/>
      <c r="R27" s="73"/>
      <c r="S27" s="73"/>
      <c r="T27" s="73"/>
      <c r="U27" s="74"/>
      <c r="V27" s="80">
        <v>1152203750</v>
      </c>
      <c r="W27" s="80"/>
      <c r="X27" s="80"/>
      <c r="Y27" s="80"/>
      <c r="Z27" s="80"/>
      <c r="AA27" s="80"/>
      <c r="AB27" s="80"/>
      <c r="AC27" s="80"/>
      <c r="AD27" s="80"/>
    </row>
    <row r="28" spans="1:30" ht="14.25" customHeight="1">
      <c r="A28" s="87" t="s">
        <v>35</v>
      </c>
      <c r="B28" s="88"/>
      <c r="C28" s="88"/>
      <c r="D28" s="88"/>
      <c r="E28" s="88"/>
      <c r="F28" s="89"/>
      <c r="G28" s="90" t="s">
        <v>36</v>
      </c>
      <c r="H28" s="88"/>
      <c r="I28" s="88"/>
      <c r="J28" s="88"/>
      <c r="K28" s="88"/>
      <c r="L28" s="88"/>
      <c r="M28" s="88"/>
      <c r="N28" s="88"/>
      <c r="O28" s="91"/>
      <c r="P28" s="87" t="s">
        <v>35</v>
      </c>
      <c r="Q28" s="88"/>
      <c r="R28" s="88"/>
      <c r="S28" s="88"/>
      <c r="T28" s="88"/>
      <c r="U28" s="89"/>
      <c r="V28" s="92" t="s">
        <v>37</v>
      </c>
      <c r="W28" s="92"/>
      <c r="X28" s="92"/>
      <c r="Y28" s="92"/>
      <c r="Z28" s="92"/>
      <c r="AA28" s="92"/>
      <c r="AB28" s="92"/>
      <c r="AC28" s="92"/>
      <c r="AD28" s="92"/>
    </row>
    <row r="29" spans="1:30" ht="14.25" customHeight="1">
      <c r="A29" s="93" t="s">
        <v>38</v>
      </c>
      <c r="B29" s="94"/>
      <c r="C29" s="94"/>
      <c r="D29" s="94"/>
      <c r="E29" s="94"/>
      <c r="F29" s="94"/>
      <c r="G29" s="94"/>
      <c r="H29" s="94"/>
      <c r="I29" s="94"/>
      <c r="J29" s="94"/>
      <c r="K29" s="94"/>
      <c r="L29" s="94"/>
      <c r="M29" s="94"/>
      <c r="N29" s="94"/>
      <c r="O29" s="95"/>
      <c r="P29" s="93" t="s">
        <v>38</v>
      </c>
      <c r="Q29" s="94"/>
      <c r="R29" s="94"/>
      <c r="S29" s="94"/>
      <c r="T29" s="94"/>
      <c r="U29" s="94"/>
      <c r="V29" s="94"/>
      <c r="W29" s="94"/>
      <c r="X29" s="94"/>
      <c r="Y29" s="94"/>
      <c r="Z29" s="94"/>
      <c r="AA29" s="94"/>
      <c r="AB29" s="94"/>
      <c r="AC29" s="94"/>
      <c r="AD29" s="95"/>
    </row>
    <row r="30" spans="1:30" ht="14.25" customHeight="1">
      <c r="A30" s="96" t="s">
        <v>39</v>
      </c>
      <c r="B30" s="97"/>
      <c r="C30" s="97"/>
      <c r="D30" s="97"/>
      <c r="E30" s="97"/>
      <c r="F30" s="98"/>
      <c r="G30" s="99" t="s">
        <v>32</v>
      </c>
      <c r="H30" s="97"/>
      <c r="I30" s="97"/>
      <c r="J30" s="97"/>
      <c r="K30" s="97"/>
      <c r="L30" s="97"/>
      <c r="M30" s="97"/>
      <c r="N30" s="97"/>
      <c r="O30" s="100"/>
      <c r="P30" s="96" t="s">
        <v>39</v>
      </c>
      <c r="Q30" s="97"/>
      <c r="R30" s="97"/>
      <c r="S30" s="97"/>
      <c r="T30" s="97"/>
      <c r="U30" s="98"/>
      <c r="V30" s="101" t="s">
        <v>40</v>
      </c>
      <c r="W30" s="101"/>
      <c r="X30" s="101"/>
      <c r="Y30" s="101"/>
      <c r="Z30" s="101"/>
      <c r="AA30" s="101"/>
      <c r="AB30" s="101"/>
      <c r="AC30" s="101"/>
      <c r="AD30" s="101"/>
    </row>
    <row r="31" spans="1:30" ht="14.25" customHeight="1">
      <c r="A31" s="78" t="s">
        <v>41</v>
      </c>
      <c r="B31" s="73"/>
      <c r="C31" s="73"/>
      <c r="D31" s="73"/>
      <c r="E31" s="73"/>
      <c r="F31" s="74"/>
      <c r="G31" s="75">
        <v>3153350653</v>
      </c>
      <c r="H31" s="73"/>
      <c r="I31" s="73"/>
      <c r="J31" s="73"/>
      <c r="K31" s="73"/>
      <c r="L31" s="73"/>
      <c r="M31" s="73"/>
      <c r="N31" s="73"/>
      <c r="O31" s="76"/>
      <c r="P31" s="78" t="s">
        <v>41</v>
      </c>
      <c r="Q31" s="73"/>
      <c r="R31" s="73"/>
      <c r="S31" s="73"/>
      <c r="T31" s="73"/>
      <c r="U31" s="74"/>
      <c r="V31" s="80" t="s">
        <v>42</v>
      </c>
      <c r="W31" s="80"/>
      <c r="X31" s="80"/>
      <c r="Y31" s="80"/>
      <c r="Z31" s="80"/>
      <c r="AA31" s="80"/>
      <c r="AB31" s="80"/>
      <c r="AC31" s="80"/>
      <c r="AD31" s="80"/>
    </row>
    <row r="32" spans="1:30" ht="14.25" customHeight="1">
      <c r="A32" s="87" t="s">
        <v>43</v>
      </c>
      <c r="B32" s="88"/>
      <c r="C32" s="88"/>
      <c r="D32" s="88"/>
      <c r="E32" s="88"/>
      <c r="F32" s="89"/>
      <c r="G32" s="102" t="s">
        <v>36</v>
      </c>
      <c r="H32" s="88"/>
      <c r="I32" s="88"/>
      <c r="J32" s="88"/>
      <c r="K32" s="88"/>
      <c r="L32" s="88"/>
      <c r="M32" s="88"/>
      <c r="N32" s="88"/>
      <c r="O32" s="91"/>
      <c r="P32" s="87" t="s">
        <v>43</v>
      </c>
      <c r="Q32" s="88"/>
      <c r="R32" s="88"/>
      <c r="S32" s="88"/>
      <c r="T32" s="88"/>
      <c r="U32" s="89"/>
      <c r="V32" s="92" t="s">
        <v>44</v>
      </c>
      <c r="W32" s="92"/>
      <c r="X32" s="92"/>
      <c r="Y32" s="92"/>
      <c r="Z32" s="92"/>
      <c r="AA32" s="92"/>
      <c r="AB32" s="92"/>
      <c r="AC32" s="92"/>
      <c r="AD32" s="92"/>
    </row>
    <row r="33" spans="1:30" ht="14.25" customHeight="1">
      <c r="A33" s="62" t="s">
        <v>45</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1"/>
    </row>
    <row r="34" spans="1:30" ht="14.25" customHeight="1">
      <c r="A34" s="118" t="s">
        <v>46</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6"/>
    </row>
    <row r="35" spans="1:30" ht="15" customHeight="1">
      <c r="A35" s="119"/>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1"/>
    </row>
    <row r="36" spans="1:30" ht="14.25" customHeight="1">
      <c r="A36" s="62" t="s">
        <v>47</v>
      </c>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1"/>
    </row>
    <row r="37" spans="1:30" ht="15" customHeight="1">
      <c r="A37" s="110" t="s">
        <v>48</v>
      </c>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1"/>
    </row>
    <row r="38" spans="1:30" ht="15" customHeight="1">
      <c r="A38" s="62" t="s">
        <v>49</v>
      </c>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1"/>
    </row>
    <row r="39" spans="1:30" ht="15" customHeight="1">
      <c r="A39" s="111" t="s">
        <v>50</v>
      </c>
      <c r="B39" s="60"/>
      <c r="C39" s="60"/>
      <c r="D39" s="60"/>
      <c r="E39" s="60"/>
      <c r="F39" s="60"/>
      <c r="G39" s="60"/>
      <c r="H39" s="60"/>
      <c r="I39" s="60"/>
      <c r="J39" s="60"/>
      <c r="K39" s="61"/>
      <c r="L39" s="112"/>
      <c r="M39" s="60"/>
      <c r="N39" s="60"/>
      <c r="O39" s="60"/>
      <c r="P39" s="60"/>
      <c r="Q39" s="61"/>
      <c r="R39" s="111" t="s">
        <v>51</v>
      </c>
      <c r="S39" s="60"/>
      <c r="T39" s="61"/>
      <c r="U39" s="113"/>
      <c r="V39" s="60"/>
      <c r="W39" s="60"/>
      <c r="X39" s="60"/>
      <c r="Y39" s="60"/>
      <c r="Z39" s="60"/>
      <c r="AA39" s="60"/>
      <c r="AB39" s="60"/>
      <c r="AC39" s="60"/>
      <c r="AD39" s="61"/>
    </row>
    <row r="40" spans="1:30" ht="15.75" customHeight="1">
      <c r="A40" s="114" t="s">
        <v>52</v>
      </c>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6"/>
    </row>
    <row r="41" spans="1:30" ht="14.25" customHeight="1">
      <c r="A41" s="110" t="s">
        <v>53</v>
      </c>
      <c r="B41" s="60"/>
      <c r="C41" s="60"/>
      <c r="D41" s="37" t="s">
        <v>54</v>
      </c>
      <c r="E41" s="110" t="s">
        <v>55</v>
      </c>
      <c r="F41" s="60"/>
      <c r="G41" s="60"/>
      <c r="H41" s="60"/>
      <c r="I41" s="60"/>
      <c r="J41" s="60"/>
      <c r="K41" s="61"/>
      <c r="L41" s="37" t="s">
        <v>54</v>
      </c>
      <c r="M41" s="110" t="s">
        <v>56</v>
      </c>
      <c r="N41" s="60"/>
      <c r="O41" s="60"/>
      <c r="P41" s="60"/>
      <c r="Q41" s="60"/>
      <c r="R41" s="60"/>
      <c r="S41" s="60"/>
      <c r="T41" s="37" t="s">
        <v>54</v>
      </c>
      <c r="U41" s="110" t="s">
        <v>57</v>
      </c>
      <c r="V41" s="60"/>
      <c r="W41" s="60"/>
      <c r="X41" s="60"/>
      <c r="Y41" s="60"/>
      <c r="Z41" s="60"/>
      <c r="AA41" s="60"/>
      <c r="AB41" s="60"/>
      <c r="AC41" s="36" t="s">
        <v>54</v>
      </c>
      <c r="AD41" s="45"/>
    </row>
    <row r="42" spans="1:30" ht="14.25" customHeight="1">
      <c r="A42" s="62" t="s">
        <v>58</v>
      </c>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1"/>
    </row>
    <row r="43" spans="1:30" ht="14.25" customHeight="1">
      <c r="A43" s="154"/>
      <c r="B43" s="115"/>
      <c r="C43" s="115"/>
      <c r="D43" s="115"/>
      <c r="E43" s="115"/>
      <c r="F43" s="115"/>
      <c r="G43" s="115"/>
      <c r="H43" s="115"/>
      <c r="I43" s="115"/>
      <c r="J43" s="115"/>
      <c r="K43" s="115"/>
      <c r="L43" s="115"/>
      <c r="M43" s="115"/>
      <c r="N43" s="115"/>
      <c r="O43" s="155"/>
      <c r="P43" s="44"/>
      <c r="Q43" s="44"/>
      <c r="R43" s="44"/>
      <c r="S43" s="44"/>
      <c r="T43" s="44"/>
      <c r="U43" s="44"/>
      <c r="V43" s="44"/>
      <c r="W43" s="44"/>
      <c r="X43" s="44"/>
      <c r="Y43" s="44"/>
      <c r="Z43" s="44"/>
      <c r="AA43" s="44"/>
      <c r="AB43" s="44"/>
      <c r="AC43" s="44"/>
      <c r="AD43" s="46"/>
    </row>
    <row r="44" spans="1:30" ht="14.25" customHeight="1">
      <c r="A44" s="103" t="s">
        <v>59</v>
      </c>
      <c r="B44" s="104"/>
      <c r="C44" s="104"/>
      <c r="D44" s="104"/>
      <c r="E44" s="104"/>
      <c r="F44" s="86" t="s">
        <v>60</v>
      </c>
      <c r="G44" s="105"/>
      <c r="H44" s="105"/>
      <c r="I44" s="105"/>
      <c r="J44" s="105"/>
      <c r="K44" s="105"/>
      <c r="L44" s="105"/>
      <c r="M44" s="105"/>
      <c r="N44" s="105"/>
      <c r="O44" s="106"/>
      <c r="P44" s="107" t="s">
        <v>61</v>
      </c>
      <c r="Q44" s="104"/>
      <c r="R44" s="104"/>
      <c r="S44" s="104"/>
      <c r="T44" s="108" t="s">
        <v>62</v>
      </c>
      <c r="U44" s="105"/>
      <c r="V44" s="105"/>
      <c r="W44" s="105"/>
      <c r="X44" s="105"/>
      <c r="Y44" s="105"/>
      <c r="Z44" s="105"/>
      <c r="AA44" s="105"/>
      <c r="AB44" s="105"/>
      <c r="AC44" s="105"/>
      <c r="AD44" s="109"/>
    </row>
    <row r="45" spans="1:30" ht="14.25" customHeight="1">
      <c r="A45" s="143"/>
      <c r="B45" s="120"/>
      <c r="C45" s="120"/>
      <c r="D45" s="120"/>
      <c r="E45" s="120"/>
      <c r="F45" s="120"/>
      <c r="G45" s="120"/>
      <c r="H45" s="120"/>
      <c r="I45" s="120"/>
      <c r="J45" s="120"/>
      <c r="K45" s="120"/>
      <c r="L45" s="120"/>
      <c r="M45" s="120"/>
      <c r="N45" s="120"/>
      <c r="O45" s="144"/>
      <c r="P45" s="43"/>
      <c r="Q45" s="43"/>
      <c r="R45" s="43"/>
      <c r="S45" s="43"/>
      <c r="T45" s="43"/>
      <c r="U45" s="43"/>
      <c r="V45" s="43"/>
      <c r="W45" s="43"/>
      <c r="X45" s="43"/>
      <c r="Y45" s="43"/>
      <c r="Z45" s="43"/>
      <c r="AA45" s="43"/>
      <c r="AB45" s="43"/>
      <c r="AC45" s="43"/>
      <c r="AD45" s="47"/>
    </row>
    <row r="46" spans="1:30" ht="14.25" customHeight="1">
      <c r="A46" s="62" t="s">
        <v>63</v>
      </c>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1"/>
    </row>
    <row r="47" spans="1:30" ht="14.25" customHeight="1">
      <c r="A47" s="145" t="s">
        <v>64</v>
      </c>
      <c r="B47" s="146"/>
      <c r="C47" s="146"/>
      <c r="D47" s="146"/>
      <c r="E47" s="146"/>
      <c r="F47" s="146"/>
      <c r="G47" s="146"/>
      <c r="H47" s="146"/>
      <c r="I47" s="146"/>
      <c r="J47" s="147"/>
      <c r="K47" s="148">
        <f>SUM('FORMATO 3'!M14:M50)+SUM('FORMATO 4'!E13:E82)</f>
        <v>1117747253</v>
      </c>
      <c r="L47" s="146"/>
      <c r="M47" s="146"/>
      <c r="N47" s="146"/>
      <c r="O47" s="146"/>
      <c r="P47" s="146"/>
      <c r="Q47" s="146"/>
      <c r="R47" s="146"/>
      <c r="S47" s="146"/>
      <c r="T47" s="146"/>
      <c r="U47" s="146"/>
      <c r="V47" s="146"/>
      <c r="W47" s="146"/>
      <c r="X47" s="146"/>
      <c r="Y47" s="146"/>
      <c r="Z47" s="146"/>
      <c r="AA47" s="146"/>
      <c r="AB47" s="146"/>
      <c r="AC47" s="146"/>
      <c r="AD47" s="149"/>
    </row>
    <row r="48" spans="1:30" ht="14.25" customHeight="1">
      <c r="A48" s="62" t="s">
        <v>65</v>
      </c>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1"/>
    </row>
    <row r="49" spans="1:30" ht="14.25" customHeight="1">
      <c r="A49" s="145" t="s">
        <v>66</v>
      </c>
      <c r="B49" s="146"/>
      <c r="C49" s="146"/>
      <c r="D49" s="146"/>
      <c r="E49" s="146"/>
      <c r="F49" s="146"/>
      <c r="G49" s="146"/>
      <c r="H49" s="146"/>
      <c r="I49" s="146"/>
      <c r="J49" s="147"/>
      <c r="K49" s="150">
        <v>1476444248</v>
      </c>
      <c r="L49" s="146"/>
      <c r="M49" s="146"/>
      <c r="N49" s="146"/>
      <c r="O49" s="146"/>
      <c r="P49" s="146"/>
      <c r="Q49" s="146"/>
      <c r="R49" s="146"/>
      <c r="S49" s="146"/>
      <c r="T49" s="146"/>
      <c r="U49" s="146"/>
      <c r="V49" s="146"/>
      <c r="W49" s="146"/>
      <c r="X49" s="146"/>
      <c r="Y49" s="146"/>
      <c r="Z49" s="146"/>
      <c r="AA49" s="146"/>
      <c r="AB49" s="146"/>
      <c r="AC49" s="146"/>
      <c r="AD49" s="149"/>
    </row>
    <row r="50" spans="1:30" ht="14.25" customHeight="1">
      <c r="A50" s="62" t="s">
        <v>67</v>
      </c>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1"/>
    </row>
    <row r="51" spans="1:30" ht="58.5" customHeight="1">
      <c r="A51" s="151" t="s">
        <v>68</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3"/>
    </row>
    <row r="52" spans="1:30" ht="14.25" customHeight="1">
      <c r="A52" s="38"/>
      <c r="B52" s="122"/>
      <c r="C52" s="115"/>
      <c r="D52" s="115"/>
      <c r="E52" s="115"/>
      <c r="F52" s="115"/>
      <c r="G52" s="115"/>
      <c r="H52" s="115"/>
      <c r="I52" s="115"/>
      <c r="J52" s="115"/>
      <c r="K52" s="115"/>
      <c r="L52" s="115"/>
      <c r="M52" s="115"/>
      <c r="N52" s="44"/>
      <c r="O52" s="44"/>
      <c r="P52" s="44"/>
      <c r="Q52" s="122"/>
      <c r="R52" s="115"/>
      <c r="S52" s="115"/>
      <c r="T52" s="115"/>
      <c r="U52" s="115"/>
      <c r="V52" s="115"/>
      <c r="W52" s="115"/>
      <c r="X52" s="115"/>
      <c r="Y52" s="115"/>
      <c r="Z52" s="115"/>
      <c r="AA52" s="115"/>
      <c r="AB52" s="115"/>
      <c r="AC52" s="115"/>
      <c r="AD52" s="46"/>
    </row>
    <row r="53" spans="1:30" ht="14.25" customHeight="1">
      <c r="A53" s="39"/>
      <c r="B53" s="104"/>
      <c r="C53" s="104"/>
      <c r="D53" s="104"/>
      <c r="E53" s="104"/>
      <c r="F53" s="104"/>
      <c r="G53" s="104"/>
      <c r="H53" s="104"/>
      <c r="I53" s="104"/>
      <c r="J53" s="104"/>
      <c r="K53" s="104"/>
      <c r="L53" s="104"/>
      <c r="M53" s="104"/>
      <c r="Q53" s="104"/>
      <c r="R53" s="104"/>
      <c r="S53" s="104"/>
      <c r="T53" s="104"/>
      <c r="U53" s="104"/>
      <c r="V53" s="104"/>
      <c r="W53" s="104"/>
      <c r="X53" s="104"/>
      <c r="Y53" s="104"/>
      <c r="Z53" s="104"/>
      <c r="AA53" s="104"/>
      <c r="AB53" s="104"/>
      <c r="AC53" s="104"/>
      <c r="AD53" s="48"/>
    </row>
    <row r="54" spans="1:30" ht="14.25" customHeight="1">
      <c r="A54" s="39"/>
      <c r="B54" s="104"/>
      <c r="C54" s="104"/>
      <c r="D54" s="104"/>
      <c r="E54" s="104"/>
      <c r="F54" s="104"/>
      <c r="G54" s="104"/>
      <c r="H54" s="104"/>
      <c r="I54" s="104"/>
      <c r="J54" s="104"/>
      <c r="K54" s="104"/>
      <c r="L54" s="104"/>
      <c r="M54" s="104"/>
      <c r="Q54" s="104"/>
      <c r="R54" s="104"/>
      <c r="S54" s="104"/>
      <c r="T54" s="104"/>
      <c r="U54" s="104"/>
      <c r="V54" s="104"/>
      <c r="W54" s="104"/>
      <c r="X54" s="104"/>
      <c r="Y54" s="104"/>
      <c r="Z54" s="104"/>
      <c r="AA54" s="104"/>
      <c r="AB54" s="104"/>
      <c r="AC54" s="104"/>
      <c r="AD54" s="48"/>
    </row>
    <row r="55" spans="1:30" ht="14.25" customHeight="1">
      <c r="A55" s="39"/>
      <c r="B55" s="104"/>
      <c r="C55" s="104"/>
      <c r="D55" s="104"/>
      <c r="E55" s="104"/>
      <c r="F55" s="104"/>
      <c r="G55" s="104"/>
      <c r="H55" s="104"/>
      <c r="I55" s="104"/>
      <c r="J55" s="104"/>
      <c r="K55" s="104"/>
      <c r="L55" s="104"/>
      <c r="M55" s="104"/>
      <c r="Q55" s="104"/>
      <c r="R55" s="104"/>
      <c r="S55" s="104"/>
      <c r="T55" s="104"/>
      <c r="U55" s="104"/>
      <c r="V55" s="104"/>
      <c r="W55" s="104"/>
      <c r="X55" s="104"/>
      <c r="Y55" s="104"/>
      <c r="Z55" s="104"/>
      <c r="AA55" s="104"/>
      <c r="AB55" s="104"/>
      <c r="AC55" s="104"/>
      <c r="AD55" s="48"/>
    </row>
    <row r="56" spans="1:30" ht="14.25" customHeight="1">
      <c r="A56" s="39"/>
      <c r="B56" s="40" t="s">
        <v>69</v>
      </c>
      <c r="C56" s="40"/>
      <c r="D56" s="40"/>
      <c r="E56" s="40"/>
      <c r="F56" s="40"/>
      <c r="G56" s="40"/>
      <c r="H56" s="40"/>
      <c r="I56" s="40"/>
      <c r="J56" s="40"/>
      <c r="K56" s="40"/>
      <c r="Q56" s="40" t="s">
        <v>70</v>
      </c>
      <c r="R56" s="40"/>
      <c r="S56" s="40"/>
      <c r="T56" s="40"/>
      <c r="U56" s="40"/>
      <c r="V56" s="40"/>
      <c r="W56" s="40"/>
      <c r="X56" s="40"/>
      <c r="Y56" s="40"/>
      <c r="Z56" s="40"/>
      <c r="AD56" s="48"/>
    </row>
    <row r="57" spans="1:30" ht="14.25" customHeight="1">
      <c r="A57" s="39"/>
      <c r="B57" s="41" t="s">
        <v>71</v>
      </c>
      <c r="C57" s="117"/>
      <c r="D57" s="104"/>
      <c r="E57" s="104"/>
      <c r="F57" s="104"/>
      <c r="G57" s="104"/>
      <c r="H57" s="104"/>
      <c r="I57" s="104"/>
      <c r="J57" s="104"/>
      <c r="K57" s="104"/>
      <c r="Q57" s="41" t="s">
        <v>71</v>
      </c>
      <c r="R57" s="41"/>
      <c r="S57" s="117"/>
      <c r="T57" s="104"/>
      <c r="U57" s="104"/>
      <c r="V57" s="104"/>
      <c r="W57" s="104"/>
      <c r="X57" s="104"/>
      <c r="Y57" s="104"/>
      <c r="Z57" s="104"/>
      <c r="AD57" s="48"/>
    </row>
    <row r="58" spans="1:30" ht="14.25" customHeight="1">
      <c r="A58" s="42"/>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7"/>
    </row>
    <row r="59" spans="1:30" ht="14.25" customHeight="1"/>
    <row r="60" spans="1:30" ht="14.25" customHeight="1"/>
    <row r="61" spans="1:30" ht="14.25" customHeight="1"/>
    <row r="62" spans="1:30" ht="14.25" customHeight="1"/>
    <row r="63" spans="1:30" ht="14.25" customHeight="1"/>
    <row r="64" spans="1:3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4">
    <mergeCell ref="C57:K57"/>
    <mergeCell ref="S57:Z57"/>
    <mergeCell ref="A34:AD35"/>
    <mergeCell ref="B52:M55"/>
    <mergeCell ref="Q52:AC55"/>
    <mergeCell ref="B2:D5"/>
    <mergeCell ref="E2:X5"/>
    <mergeCell ref="Y2:Z3"/>
    <mergeCell ref="Y4:Z5"/>
    <mergeCell ref="A45:O45"/>
    <mergeCell ref="A46:AD46"/>
    <mergeCell ref="A47:J47"/>
    <mergeCell ref="K47:AD47"/>
    <mergeCell ref="A48:AD48"/>
    <mergeCell ref="A49:J49"/>
    <mergeCell ref="K49:AD49"/>
    <mergeCell ref="A50:AD50"/>
    <mergeCell ref="A51:AD51"/>
    <mergeCell ref="A41:C41"/>
    <mergeCell ref="E41:K41"/>
    <mergeCell ref="M41:S41"/>
    <mergeCell ref="U41:AB41"/>
    <mergeCell ref="A42:AD42"/>
    <mergeCell ref="A43:O43"/>
    <mergeCell ref="A44:E44"/>
    <mergeCell ref="F44:O44"/>
    <mergeCell ref="P44:S44"/>
    <mergeCell ref="T44:AD44"/>
    <mergeCell ref="A33:AD33"/>
    <mergeCell ref="A36:AD36"/>
    <mergeCell ref="A37:AD37"/>
    <mergeCell ref="A38:AD38"/>
    <mergeCell ref="A39:K39"/>
    <mergeCell ref="L39:Q39"/>
    <mergeCell ref="R39:T39"/>
    <mergeCell ref="U39:AD39"/>
    <mergeCell ref="A40:AD40"/>
    <mergeCell ref="A30:F30"/>
    <mergeCell ref="G30:O30"/>
    <mergeCell ref="P30:U30"/>
    <mergeCell ref="V30:AD30"/>
    <mergeCell ref="A31:F31"/>
    <mergeCell ref="G31:O31"/>
    <mergeCell ref="P31:U31"/>
    <mergeCell ref="V31:AD31"/>
    <mergeCell ref="A32:F32"/>
    <mergeCell ref="G32:O32"/>
    <mergeCell ref="P32:U32"/>
    <mergeCell ref="V32:AD32"/>
    <mergeCell ref="A27:F27"/>
    <mergeCell ref="G27:O27"/>
    <mergeCell ref="P27:U27"/>
    <mergeCell ref="V27:AD27"/>
    <mergeCell ref="A28:F28"/>
    <mergeCell ref="G28:O28"/>
    <mergeCell ref="P28:U28"/>
    <mergeCell ref="V28:AD28"/>
    <mergeCell ref="A29:O29"/>
    <mergeCell ref="P29:AD29"/>
    <mergeCell ref="A24:F24"/>
    <mergeCell ref="G24:O24"/>
    <mergeCell ref="P24:U24"/>
    <mergeCell ref="V24:AD24"/>
    <mergeCell ref="A25:F25"/>
    <mergeCell ref="G25:O25"/>
    <mergeCell ref="P25:U25"/>
    <mergeCell ref="V25:AD25"/>
    <mergeCell ref="A26:F26"/>
    <mergeCell ref="G26:O26"/>
    <mergeCell ref="P26:U26"/>
    <mergeCell ref="V26:AD26"/>
    <mergeCell ref="A21:F21"/>
    <mergeCell ref="G21:O21"/>
    <mergeCell ref="P21:U21"/>
    <mergeCell ref="V21:AD21"/>
    <mergeCell ref="A22:F22"/>
    <mergeCell ref="G22:O22"/>
    <mergeCell ref="P22:U22"/>
    <mergeCell ref="V22:AD22"/>
    <mergeCell ref="A23:F23"/>
    <mergeCell ref="G23:O23"/>
    <mergeCell ref="P23:U23"/>
    <mergeCell ref="V23:AD23"/>
    <mergeCell ref="A18:F18"/>
    <mergeCell ref="G18:O18"/>
    <mergeCell ref="P18:U18"/>
    <mergeCell ref="V18:AD18"/>
    <mergeCell ref="A19:F19"/>
    <mergeCell ref="G19:O19"/>
    <mergeCell ref="P19:U19"/>
    <mergeCell ref="V19:AD19"/>
    <mergeCell ref="A20:F20"/>
    <mergeCell ref="G20:O20"/>
    <mergeCell ref="P20:U20"/>
    <mergeCell ref="V20:AD20"/>
    <mergeCell ref="B6:K6"/>
    <mergeCell ref="A13:AD13"/>
    <mergeCell ref="A14:AD14"/>
    <mergeCell ref="A15:O15"/>
    <mergeCell ref="P15:AD15"/>
    <mergeCell ref="A16:O16"/>
    <mergeCell ref="P16:AD16"/>
    <mergeCell ref="A17:O17"/>
    <mergeCell ref="P17:AD17"/>
  </mergeCells>
  <dataValidations count="1">
    <dataValidation type="decimal" allowBlank="1" showInputMessage="1" showErrorMessage="1" prompt="Sólo se admiten números" sqref="K47" xr:uid="{00000000-0002-0000-0000-000002000000}">
      <formula1>0</formula1>
      <formula2>1E+21</formula2>
    </dataValidation>
  </dataValidations>
  <hyperlinks>
    <hyperlink ref="G28" r:id="rId1" xr:uid="{00000000-0004-0000-0000-000000000000}"/>
    <hyperlink ref="G32" r:id="rId2" xr:uid="{00000000-0004-0000-0000-000001000000}"/>
  </hyperlinks>
  <pageMargins left="0.35433070866141703" right="0.62992125984252001" top="1.02362204724409" bottom="1.1023622047244099" header="0" footer="0"/>
  <pageSetup orientation="portrait"/>
  <headerFooter>
    <oddFooter>&amp;LPág. &amp;P &amp;CUPME - Av. Calle 26 # 69 D-91 Torre 1, Piso 9° Bogotá D.C. Colombia PBX: +57 601 222 06 01 Línea Gratuita Nacional: 01 8000 91 17 29 Sede electrónica 0070C0http://www.upme.gov.co&amp;RF-MC-01</oddFooter>
  </headerFooter>
  <drawing r:id="rId3"/>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Listas!$D$4:$D$6</xm:f>
          </x14:formula1>
          <xm:sqref>A37</xm:sqref>
        </x14:dataValidation>
        <x14:dataValidation type="list" allowBlank="1" showErrorMessage="1" xr:uid="{00000000-0002-0000-0000-000001000000}">
          <x14:formula1>
            <xm:f>Listas2!$F$36:$F$37</xm:f>
          </x14:formula1>
          <xm:sqref>D41 L41 T41 AC41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1000"/>
  <sheetViews>
    <sheetView showGridLines="0" tabSelected="1" topLeftCell="A5" workbookViewId="0">
      <selection activeCell="A46" sqref="A46:V46"/>
    </sheetView>
  </sheetViews>
  <sheetFormatPr baseColWidth="10" defaultColWidth="14.44140625" defaultRowHeight="15" customHeight="1"/>
  <cols>
    <col min="1" max="2" width="11.44140625" customWidth="1"/>
    <col min="3" max="3" width="5.6640625" customWidth="1"/>
    <col min="4" max="4" width="5.109375" customWidth="1"/>
    <col min="5" max="5" width="8" customWidth="1"/>
    <col min="6" max="6" width="2.5546875" customWidth="1"/>
    <col min="7" max="7" width="5.44140625" customWidth="1"/>
    <col min="8" max="8" width="11.44140625" customWidth="1"/>
    <col min="9" max="9" width="5" customWidth="1"/>
    <col min="10" max="10" width="1.88671875" customWidth="1"/>
    <col min="11" max="11" width="14.88671875" customWidth="1"/>
    <col min="12" max="12" width="5.33203125" customWidth="1"/>
    <col min="13" max="13" width="4.6640625" customWidth="1"/>
    <col min="14" max="14" width="9.33203125" customWidth="1"/>
    <col min="15" max="15" width="13.109375" customWidth="1"/>
    <col min="16" max="16" width="2.6640625" customWidth="1"/>
    <col min="17" max="17" width="7.88671875" customWidth="1"/>
    <col min="18" max="18" width="2.33203125" customWidth="1"/>
    <col min="19" max="19" width="8.44140625" customWidth="1"/>
    <col min="20" max="20" width="5.44140625" customWidth="1"/>
    <col min="21" max="21" width="2.44140625" customWidth="1"/>
    <col min="22" max="22" width="6.6640625" customWidth="1"/>
    <col min="23" max="23" width="2.5546875" customWidth="1"/>
    <col min="24" max="24" width="3.109375" customWidth="1"/>
    <col min="25" max="25" width="4.33203125" customWidth="1"/>
    <col min="26" max="40" width="11.44140625" customWidth="1"/>
  </cols>
  <sheetData>
    <row r="1" spans="1:40"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row>
    <row r="2" spans="1:40" ht="24" customHeight="1">
      <c r="A2" s="184"/>
      <c r="B2" s="133"/>
      <c r="C2" s="131" t="s">
        <v>72</v>
      </c>
      <c r="D2" s="132"/>
      <c r="E2" s="132"/>
      <c r="F2" s="132"/>
      <c r="G2" s="132"/>
      <c r="H2" s="132"/>
      <c r="I2" s="132"/>
      <c r="J2" s="132"/>
      <c r="K2" s="132"/>
      <c r="L2" s="132"/>
      <c r="M2" s="132"/>
      <c r="N2" s="132"/>
      <c r="O2" s="132"/>
      <c r="P2" s="132"/>
      <c r="Q2" s="132"/>
      <c r="R2" s="132"/>
      <c r="S2" s="133"/>
      <c r="T2" s="185" t="s">
        <v>1</v>
      </c>
      <c r="U2" s="132"/>
      <c r="V2" s="132"/>
      <c r="W2" s="133"/>
      <c r="X2" s="27"/>
      <c r="Y2" s="27"/>
      <c r="Z2" s="27"/>
      <c r="AA2" s="15"/>
      <c r="AB2" s="15"/>
      <c r="AC2" s="15"/>
      <c r="AD2" s="15"/>
      <c r="AE2" s="15"/>
      <c r="AF2" s="15"/>
      <c r="AG2" s="15"/>
      <c r="AH2" s="15"/>
      <c r="AI2" s="15"/>
      <c r="AJ2" s="15"/>
      <c r="AK2" s="15"/>
      <c r="AL2" s="15"/>
      <c r="AM2" s="15"/>
      <c r="AN2" s="15"/>
    </row>
    <row r="3" spans="1:40" ht="20.25" customHeight="1">
      <c r="A3" s="134"/>
      <c r="B3" s="135"/>
      <c r="C3" s="134"/>
      <c r="D3" s="104"/>
      <c r="E3" s="104"/>
      <c r="F3" s="104"/>
      <c r="G3" s="104"/>
      <c r="H3" s="104"/>
      <c r="I3" s="104"/>
      <c r="J3" s="104"/>
      <c r="K3" s="104"/>
      <c r="L3" s="104"/>
      <c r="M3" s="104"/>
      <c r="N3" s="104"/>
      <c r="O3" s="104"/>
      <c r="P3" s="104"/>
      <c r="Q3" s="104"/>
      <c r="R3" s="104"/>
      <c r="S3" s="135"/>
      <c r="T3" s="136"/>
      <c r="U3" s="137"/>
      <c r="V3" s="137"/>
      <c r="W3" s="138"/>
      <c r="X3" s="27"/>
      <c r="Y3" s="27"/>
      <c r="Z3" s="27"/>
      <c r="AA3" s="15"/>
      <c r="AB3" s="15"/>
      <c r="AC3" s="15"/>
      <c r="AD3" s="15"/>
      <c r="AE3" s="15"/>
      <c r="AF3" s="15"/>
      <c r="AG3" s="15"/>
      <c r="AH3" s="15"/>
      <c r="AI3" s="15"/>
      <c r="AJ3" s="15"/>
      <c r="AK3" s="15"/>
      <c r="AL3" s="15"/>
      <c r="AM3" s="15"/>
      <c r="AN3" s="15"/>
    </row>
    <row r="4" spans="1:40" ht="24.75" customHeight="1">
      <c r="A4" s="134"/>
      <c r="B4" s="135"/>
      <c r="C4" s="134"/>
      <c r="D4" s="104"/>
      <c r="E4" s="104"/>
      <c r="F4" s="104"/>
      <c r="G4" s="104"/>
      <c r="H4" s="104"/>
      <c r="I4" s="104"/>
      <c r="J4" s="104"/>
      <c r="K4" s="104"/>
      <c r="L4" s="104"/>
      <c r="M4" s="104"/>
      <c r="N4" s="104"/>
      <c r="O4" s="104"/>
      <c r="P4" s="104"/>
      <c r="Q4" s="104"/>
      <c r="R4" s="104"/>
      <c r="S4" s="135"/>
      <c r="T4" s="185" t="s">
        <v>2</v>
      </c>
      <c r="U4" s="132"/>
      <c r="V4" s="132"/>
      <c r="W4" s="133"/>
      <c r="X4" s="27"/>
      <c r="Y4" s="27"/>
      <c r="Z4" s="27"/>
      <c r="AA4" s="15"/>
      <c r="AB4" s="15"/>
      <c r="AC4" s="15"/>
      <c r="AD4" s="15"/>
      <c r="AE4" s="15"/>
      <c r="AF4" s="15"/>
      <c r="AG4" s="15"/>
      <c r="AH4" s="15"/>
      <c r="AI4" s="15"/>
      <c r="AJ4" s="15"/>
      <c r="AK4" s="15"/>
      <c r="AL4" s="15"/>
      <c r="AM4" s="15"/>
      <c r="AN4" s="15"/>
    </row>
    <row r="5" spans="1:40" ht="27.75" customHeight="1">
      <c r="A5" s="136"/>
      <c r="B5" s="138"/>
      <c r="C5" s="136"/>
      <c r="D5" s="137"/>
      <c r="E5" s="137"/>
      <c r="F5" s="137"/>
      <c r="G5" s="137"/>
      <c r="H5" s="137"/>
      <c r="I5" s="137"/>
      <c r="J5" s="137"/>
      <c r="K5" s="137"/>
      <c r="L5" s="137"/>
      <c r="M5" s="137"/>
      <c r="N5" s="137"/>
      <c r="O5" s="137"/>
      <c r="P5" s="137"/>
      <c r="Q5" s="137"/>
      <c r="R5" s="137"/>
      <c r="S5" s="138"/>
      <c r="T5" s="136"/>
      <c r="U5" s="137"/>
      <c r="V5" s="137"/>
      <c r="W5" s="138"/>
      <c r="X5" s="27"/>
      <c r="Y5" s="27"/>
      <c r="Z5" s="27"/>
      <c r="AA5" s="15"/>
      <c r="AB5" s="15"/>
      <c r="AC5" s="15"/>
      <c r="AD5" s="15"/>
      <c r="AE5" s="15"/>
      <c r="AF5" s="15"/>
      <c r="AG5" s="15"/>
      <c r="AH5" s="15"/>
      <c r="AI5" s="15"/>
      <c r="AJ5" s="15"/>
      <c r="AK5" s="15"/>
      <c r="AL5" s="15"/>
      <c r="AM5" s="15"/>
      <c r="AN5" s="15"/>
    </row>
    <row r="6" spans="1:40" ht="14.25" customHeight="1">
      <c r="A6" s="15"/>
      <c r="B6" s="57"/>
      <c r="C6" s="58"/>
      <c r="D6" s="58"/>
      <c r="E6" s="58"/>
      <c r="F6" s="58"/>
      <c r="G6" s="58"/>
      <c r="H6" s="58"/>
      <c r="I6" s="58"/>
      <c r="J6" s="58"/>
      <c r="K6" s="58"/>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ht="14.25" customHeight="1"/>
    <row r="8" spans="1:40" ht="14.25" customHeight="1"/>
    <row r="9" spans="1:40" ht="14.25" customHeight="1"/>
    <row r="10" spans="1:40" ht="14.25" customHeight="1"/>
    <row r="11" spans="1:40" ht="14.25" customHeight="1"/>
    <row r="12" spans="1:40" ht="14.25" customHeight="1"/>
    <row r="13" spans="1:40" ht="14.25" customHeight="1"/>
    <row r="14" spans="1:40" ht="57" customHeight="1">
      <c r="A14" s="186" t="s">
        <v>73</v>
      </c>
      <c r="B14" s="115"/>
      <c r="C14" s="115"/>
      <c r="D14" s="115"/>
      <c r="E14" s="115"/>
      <c r="F14" s="115"/>
      <c r="G14" s="115"/>
      <c r="H14" s="115"/>
      <c r="I14" s="115"/>
      <c r="J14" s="115"/>
      <c r="K14" s="115"/>
      <c r="L14" s="115"/>
      <c r="M14" s="115"/>
      <c r="N14" s="115"/>
      <c r="O14" s="115"/>
      <c r="P14" s="115"/>
      <c r="Q14" s="115"/>
      <c r="R14" s="115"/>
      <c r="S14" s="115"/>
      <c r="T14" s="115"/>
      <c r="U14" s="115"/>
      <c r="V14" s="116"/>
    </row>
    <row r="15" spans="1:40" ht="14.25" customHeight="1">
      <c r="A15" s="119"/>
      <c r="B15" s="120"/>
      <c r="C15" s="120"/>
      <c r="D15" s="120"/>
      <c r="E15" s="120"/>
      <c r="F15" s="120"/>
      <c r="G15" s="120"/>
      <c r="H15" s="120"/>
      <c r="I15" s="120"/>
      <c r="J15" s="120"/>
      <c r="K15" s="120"/>
      <c r="L15" s="120"/>
      <c r="M15" s="120"/>
      <c r="N15" s="120"/>
      <c r="O15" s="120"/>
      <c r="P15" s="120"/>
      <c r="Q15" s="120"/>
      <c r="R15" s="120"/>
      <c r="S15" s="120"/>
      <c r="T15" s="120"/>
      <c r="U15" s="120"/>
      <c r="V15" s="121"/>
    </row>
    <row r="16" spans="1:40" ht="14.25" customHeight="1">
      <c r="A16" s="156" t="s">
        <v>74</v>
      </c>
      <c r="B16" s="60"/>
      <c r="C16" s="60"/>
      <c r="D16" s="60"/>
      <c r="E16" s="60"/>
      <c r="F16" s="60"/>
      <c r="G16" s="60"/>
      <c r="H16" s="60"/>
      <c r="I16" s="60"/>
      <c r="J16" s="60"/>
      <c r="K16" s="60"/>
      <c r="L16" s="60"/>
      <c r="M16" s="60"/>
      <c r="N16" s="60"/>
      <c r="O16" s="60"/>
      <c r="P16" s="60"/>
      <c r="Q16" s="60"/>
      <c r="R16" s="60"/>
      <c r="S16" s="60"/>
      <c r="T16" s="60"/>
      <c r="U16" s="60"/>
      <c r="V16" s="61"/>
    </row>
    <row r="17" spans="1:22" ht="14.25" customHeight="1">
      <c r="A17" s="157" t="s">
        <v>75</v>
      </c>
      <c r="B17" s="60"/>
      <c r="C17" s="60"/>
      <c r="D17" s="60"/>
      <c r="E17" s="61"/>
      <c r="F17" s="158" t="str">
        <f>NOMBRE</f>
        <v>MGS 0042</v>
      </c>
      <c r="G17" s="60"/>
      <c r="H17" s="60"/>
      <c r="I17" s="60"/>
      <c r="J17" s="60"/>
      <c r="K17" s="60"/>
      <c r="L17" s="60"/>
      <c r="M17" s="60"/>
      <c r="N17" s="60"/>
      <c r="O17" s="60"/>
      <c r="P17" s="60"/>
      <c r="Q17" s="60"/>
      <c r="R17" s="60"/>
      <c r="S17" s="60"/>
      <c r="T17" s="60"/>
      <c r="U17" s="60"/>
      <c r="V17" s="61"/>
    </row>
    <row r="18" spans="1:22" ht="14.25" customHeight="1">
      <c r="A18" s="157" t="s">
        <v>76</v>
      </c>
      <c r="B18" s="60"/>
      <c r="C18" s="60"/>
      <c r="D18" s="60"/>
      <c r="E18" s="61"/>
      <c r="F18" s="159" t="s">
        <v>77</v>
      </c>
      <c r="G18" s="60"/>
      <c r="H18" s="60"/>
      <c r="I18" s="60"/>
      <c r="J18" s="60"/>
      <c r="K18" s="60"/>
      <c r="L18" s="60"/>
      <c r="M18" s="60"/>
      <c r="N18" s="60"/>
      <c r="O18" s="60"/>
      <c r="P18" s="60"/>
      <c r="Q18" s="60"/>
      <c r="R18" s="60"/>
      <c r="S18" s="60"/>
      <c r="T18" s="60"/>
      <c r="U18" s="60"/>
      <c r="V18" s="61"/>
    </row>
    <row r="19" spans="1:22" ht="14.25" customHeight="1">
      <c r="A19" s="157" t="s">
        <v>78</v>
      </c>
      <c r="B19" s="60"/>
      <c r="C19" s="60"/>
      <c r="D19" s="60"/>
      <c r="E19" s="61"/>
      <c r="F19" s="159" t="s">
        <v>79</v>
      </c>
      <c r="G19" s="60"/>
      <c r="H19" s="60"/>
      <c r="I19" s="60"/>
      <c r="J19" s="60"/>
      <c r="K19" s="60"/>
      <c r="L19" s="60"/>
      <c r="M19" s="60"/>
      <c r="N19" s="60"/>
      <c r="O19" s="60"/>
      <c r="P19" s="60"/>
      <c r="Q19" s="60"/>
      <c r="R19" s="60"/>
      <c r="S19" s="60"/>
      <c r="T19" s="60"/>
      <c r="U19" s="60"/>
      <c r="V19" s="61"/>
    </row>
    <row r="20" spans="1:22" ht="14.25" customHeight="1">
      <c r="A20" s="160" t="s">
        <v>80</v>
      </c>
      <c r="B20" s="60"/>
      <c r="C20" s="60"/>
      <c r="D20" s="60"/>
      <c r="E20" s="61"/>
      <c r="F20" s="161" t="s">
        <v>81</v>
      </c>
      <c r="G20" s="60"/>
      <c r="H20" s="60"/>
      <c r="I20" s="60"/>
      <c r="J20" s="60"/>
      <c r="K20" s="60"/>
      <c r="L20" s="60"/>
      <c r="M20" s="60"/>
      <c r="N20" s="60"/>
      <c r="O20" s="60"/>
      <c r="P20" s="60"/>
      <c r="Q20" s="60"/>
      <c r="R20" s="60"/>
      <c r="S20" s="60"/>
      <c r="T20" s="60"/>
      <c r="U20" s="60"/>
      <c r="V20" s="61"/>
    </row>
    <row r="21" spans="1:22" ht="14.25" customHeight="1">
      <c r="A21" s="195" t="s">
        <v>82</v>
      </c>
      <c r="B21" s="115"/>
      <c r="C21" s="115"/>
      <c r="D21" s="115"/>
      <c r="E21" s="116"/>
      <c r="F21" s="159" t="s">
        <v>83</v>
      </c>
      <c r="G21" s="60"/>
      <c r="H21" s="60"/>
      <c r="I21" s="60"/>
      <c r="J21" s="60"/>
      <c r="K21" s="60"/>
      <c r="L21" s="60"/>
      <c r="M21" s="60"/>
      <c r="N21" s="60"/>
      <c r="O21" s="60"/>
      <c r="P21" s="60"/>
      <c r="Q21" s="60"/>
      <c r="R21" s="60"/>
      <c r="S21" s="60"/>
      <c r="T21" s="60"/>
      <c r="U21" s="60"/>
      <c r="V21" s="61"/>
    </row>
    <row r="22" spans="1:22" ht="14.25" customHeight="1">
      <c r="A22" s="119"/>
      <c r="B22" s="120"/>
      <c r="C22" s="120"/>
      <c r="D22" s="120"/>
      <c r="E22" s="121"/>
      <c r="F22" s="159"/>
      <c r="G22" s="60"/>
      <c r="H22" s="60"/>
      <c r="I22" s="60"/>
      <c r="J22" s="60"/>
      <c r="K22" s="162"/>
      <c r="L22" s="163" t="s">
        <v>84</v>
      </c>
      <c r="M22" s="60"/>
      <c r="N22" s="60"/>
      <c r="O22" s="60"/>
      <c r="P22" s="60"/>
      <c r="Q22" s="60"/>
      <c r="R22" s="60"/>
      <c r="S22" s="60"/>
      <c r="T22" s="60"/>
      <c r="U22" s="60"/>
      <c r="V22" s="61"/>
    </row>
    <row r="23" spans="1:22" ht="14.25" customHeight="1">
      <c r="A23" s="195" t="s">
        <v>85</v>
      </c>
      <c r="B23" s="115"/>
      <c r="C23" s="115"/>
      <c r="D23" s="115"/>
      <c r="E23" s="116"/>
      <c r="F23" s="159" t="s">
        <v>86</v>
      </c>
      <c r="G23" s="60"/>
      <c r="H23" s="60"/>
      <c r="I23" s="60"/>
      <c r="J23" s="60"/>
      <c r="K23" s="60"/>
      <c r="L23" s="60"/>
      <c r="M23" s="60"/>
      <c r="N23" s="60"/>
      <c r="O23" s="60"/>
      <c r="P23" s="60"/>
      <c r="Q23" s="60"/>
      <c r="R23" s="60"/>
      <c r="S23" s="60"/>
      <c r="T23" s="60"/>
      <c r="U23" s="60"/>
      <c r="V23" s="61"/>
    </row>
    <row r="24" spans="1:22" ht="15" customHeight="1">
      <c r="A24" s="119"/>
      <c r="B24" s="120"/>
      <c r="C24" s="120"/>
      <c r="D24" s="120"/>
      <c r="E24" s="121"/>
      <c r="F24" s="159" t="s">
        <v>87</v>
      </c>
      <c r="G24" s="60"/>
      <c r="H24" s="60"/>
      <c r="I24" s="60"/>
      <c r="J24" s="60"/>
      <c r="K24" s="162"/>
      <c r="L24" s="163" t="s">
        <v>84</v>
      </c>
      <c r="M24" s="60"/>
      <c r="N24" s="60"/>
      <c r="O24" s="60"/>
      <c r="P24" s="60"/>
      <c r="Q24" s="60"/>
      <c r="R24" s="60"/>
      <c r="S24" s="60"/>
      <c r="T24" s="60"/>
      <c r="U24" s="60"/>
      <c r="V24" s="61"/>
    </row>
    <row r="25" spans="1:22" ht="14.25" customHeight="1">
      <c r="A25" s="191" t="s">
        <v>88</v>
      </c>
      <c r="B25" s="115"/>
      <c r="C25" s="115"/>
      <c r="D25" s="115"/>
      <c r="E25" s="116"/>
      <c r="F25" s="164" t="s">
        <v>20</v>
      </c>
      <c r="G25" s="146"/>
      <c r="H25" s="146"/>
      <c r="I25" s="146"/>
      <c r="J25" s="146"/>
      <c r="K25" s="149"/>
      <c r="L25" s="165" t="s">
        <v>60</v>
      </c>
      <c r="M25" s="60"/>
      <c r="N25" s="60"/>
      <c r="O25" s="60"/>
      <c r="P25" s="60"/>
      <c r="Q25" s="60"/>
      <c r="R25" s="60"/>
      <c r="S25" s="60"/>
      <c r="T25" s="60"/>
      <c r="U25" s="60"/>
      <c r="V25" s="61"/>
    </row>
    <row r="26" spans="1:22" ht="14.25" customHeight="1">
      <c r="A26" s="189"/>
      <c r="B26" s="104"/>
      <c r="C26" s="104"/>
      <c r="D26" s="104"/>
      <c r="E26" s="190"/>
      <c r="F26" s="166" t="s">
        <v>23</v>
      </c>
      <c r="G26" s="105"/>
      <c r="H26" s="105"/>
      <c r="I26" s="105"/>
      <c r="J26" s="105"/>
      <c r="K26" s="109"/>
      <c r="L26" s="165" t="s">
        <v>62</v>
      </c>
      <c r="M26" s="60"/>
      <c r="N26" s="60"/>
      <c r="O26" s="60"/>
      <c r="P26" s="60"/>
      <c r="Q26" s="60"/>
      <c r="R26" s="60"/>
      <c r="S26" s="60"/>
      <c r="T26" s="60"/>
      <c r="U26" s="60"/>
      <c r="V26" s="61"/>
    </row>
    <row r="27" spans="1:22" ht="15" customHeight="1">
      <c r="A27" s="119"/>
      <c r="B27" s="120"/>
      <c r="C27" s="120"/>
      <c r="D27" s="120"/>
      <c r="E27" s="121"/>
      <c r="F27" s="167" t="s">
        <v>89</v>
      </c>
      <c r="G27" s="120"/>
      <c r="H27" s="120"/>
      <c r="I27" s="120"/>
      <c r="J27" s="120"/>
      <c r="K27" s="121"/>
      <c r="L27" s="168" t="s">
        <v>90</v>
      </c>
      <c r="M27" s="60"/>
      <c r="N27" s="60"/>
      <c r="O27" s="60"/>
      <c r="P27" s="60"/>
      <c r="Q27" s="60"/>
      <c r="R27" s="60"/>
      <c r="S27" s="60"/>
      <c r="T27" s="60"/>
      <c r="U27" s="60"/>
      <c r="V27" s="61"/>
    </row>
    <row r="28" spans="1:22" ht="14.25" customHeight="1">
      <c r="A28" s="156" t="s">
        <v>91</v>
      </c>
      <c r="B28" s="60"/>
      <c r="C28" s="60"/>
      <c r="D28" s="60"/>
      <c r="E28" s="60"/>
      <c r="F28" s="60"/>
      <c r="G28" s="60"/>
      <c r="H28" s="60"/>
      <c r="I28" s="60"/>
      <c r="J28" s="60"/>
      <c r="K28" s="60"/>
      <c r="L28" s="60"/>
      <c r="M28" s="60"/>
      <c r="N28" s="60"/>
      <c r="O28" s="60"/>
      <c r="P28" s="60"/>
      <c r="Q28" s="60"/>
      <c r="R28" s="60"/>
      <c r="S28" s="60"/>
      <c r="T28" s="60"/>
      <c r="U28" s="60"/>
      <c r="V28" s="61"/>
    </row>
    <row r="29" spans="1:22" ht="14.25" customHeight="1">
      <c r="A29" s="187" t="s">
        <v>92</v>
      </c>
      <c r="B29" s="132"/>
      <c r="C29" s="132"/>
      <c r="D29" s="132"/>
      <c r="E29" s="188"/>
      <c r="F29" s="169" t="s">
        <v>93</v>
      </c>
      <c r="G29" s="105"/>
      <c r="H29" s="105"/>
      <c r="I29" s="105"/>
      <c r="J29" s="105"/>
      <c r="K29" s="105"/>
      <c r="L29" s="105"/>
      <c r="M29" s="106"/>
      <c r="N29" s="170">
        <v>19000</v>
      </c>
      <c r="O29" s="105"/>
      <c r="P29" s="105"/>
      <c r="Q29" s="105"/>
      <c r="R29" s="105"/>
      <c r="S29" s="105"/>
      <c r="T29" s="105"/>
      <c r="U29" s="105"/>
      <c r="V29" s="109"/>
    </row>
    <row r="30" spans="1:22" ht="14.25" customHeight="1">
      <c r="A30" s="189"/>
      <c r="B30" s="104"/>
      <c r="C30" s="104"/>
      <c r="D30" s="104"/>
      <c r="E30" s="190"/>
      <c r="F30" s="169" t="s">
        <v>94</v>
      </c>
      <c r="G30" s="105"/>
      <c r="H30" s="105"/>
      <c r="I30" s="105"/>
      <c r="J30" s="105"/>
      <c r="K30" s="105"/>
      <c r="L30" s="105"/>
      <c r="M30" s="106"/>
      <c r="N30" s="170">
        <v>996</v>
      </c>
      <c r="O30" s="105"/>
      <c r="P30" s="105"/>
      <c r="Q30" s="105"/>
      <c r="R30" s="105"/>
      <c r="S30" s="105"/>
      <c r="T30" s="105"/>
      <c r="U30" s="105"/>
      <c r="V30" s="109"/>
    </row>
    <row r="31" spans="1:22" ht="14.25" customHeight="1">
      <c r="A31" s="189"/>
      <c r="B31" s="104"/>
      <c r="C31" s="104"/>
      <c r="D31" s="104"/>
      <c r="E31" s="190"/>
      <c r="F31" s="166" t="s">
        <v>95</v>
      </c>
      <c r="G31" s="105"/>
      <c r="H31" s="105"/>
      <c r="I31" s="105"/>
      <c r="J31" s="105"/>
      <c r="K31" s="105"/>
      <c r="L31" s="105"/>
      <c r="M31" s="106"/>
      <c r="N31" s="170">
        <v>2189092</v>
      </c>
      <c r="O31" s="105"/>
      <c r="P31" s="105"/>
      <c r="Q31" s="105"/>
      <c r="R31" s="105"/>
      <c r="S31" s="105"/>
      <c r="T31" s="105"/>
      <c r="U31" s="105"/>
      <c r="V31" s="109"/>
    </row>
    <row r="32" spans="1:22" ht="14.25" customHeight="1">
      <c r="A32" s="189"/>
      <c r="B32" s="104"/>
      <c r="C32" s="104"/>
      <c r="D32" s="104"/>
      <c r="E32" s="190"/>
      <c r="F32" s="166" t="s">
        <v>96</v>
      </c>
      <c r="G32" s="105"/>
      <c r="H32" s="105"/>
      <c r="I32" s="105"/>
      <c r="J32" s="105"/>
      <c r="K32" s="105"/>
      <c r="L32" s="105"/>
      <c r="M32" s="109"/>
      <c r="N32" s="170">
        <v>25</v>
      </c>
      <c r="O32" s="105"/>
      <c r="P32" s="105"/>
      <c r="Q32" s="105"/>
      <c r="R32" s="105"/>
      <c r="S32" s="105"/>
      <c r="T32" s="105"/>
      <c r="U32" s="105"/>
      <c r="V32" s="109"/>
    </row>
    <row r="33" spans="1:22" ht="14.25" customHeight="1">
      <c r="A33" s="189"/>
      <c r="B33" s="104"/>
      <c r="C33" s="104"/>
      <c r="D33" s="104"/>
      <c r="E33" s="190"/>
      <c r="F33" s="166" t="s">
        <v>97</v>
      </c>
      <c r="G33" s="105"/>
      <c r="H33" s="105"/>
      <c r="I33" s="105"/>
      <c r="J33" s="105"/>
      <c r="K33" s="105"/>
      <c r="L33" s="105"/>
      <c r="M33" s="106"/>
      <c r="N33" s="170">
        <v>79.290000000000006</v>
      </c>
      <c r="O33" s="105"/>
      <c r="P33" s="105"/>
      <c r="Q33" s="105"/>
      <c r="R33" s="105"/>
      <c r="S33" s="105"/>
      <c r="T33" s="105"/>
      <c r="U33" s="105"/>
      <c r="V33" s="109"/>
    </row>
    <row r="34" spans="1:22" ht="14.25" customHeight="1">
      <c r="A34" s="119"/>
      <c r="B34" s="120"/>
      <c r="C34" s="120"/>
      <c r="D34" s="120"/>
      <c r="E34" s="121"/>
      <c r="F34" s="171" t="s">
        <v>98</v>
      </c>
      <c r="G34" s="152"/>
      <c r="H34" s="152"/>
      <c r="I34" s="152"/>
      <c r="J34" s="152"/>
      <c r="K34" s="152"/>
      <c r="L34" s="152"/>
      <c r="M34" s="172"/>
      <c r="N34" s="170">
        <v>25.09</v>
      </c>
      <c r="O34" s="105"/>
      <c r="P34" s="105"/>
      <c r="Q34" s="105"/>
      <c r="R34" s="105"/>
      <c r="S34" s="105"/>
      <c r="T34" s="105"/>
      <c r="U34" s="105"/>
      <c r="V34" s="109"/>
    </row>
    <row r="35" spans="1:22" ht="14.25" customHeight="1">
      <c r="A35" s="191" t="s">
        <v>99</v>
      </c>
      <c r="B35" s="115"/>
      <c r="C35" s="115"/>
      <c r="D35" s="115"/>
      <c r="E35" s="155"/>
      <c r="F35" s="173" t="s">
        <v>100</v>
      </c>
      <c r="G35" s="146"/>
      <c r="H35" s="146"/>
      <c r="I35" s="146"/>
      <c r="J35" s="146"/>
      <c r="K35" s="146"/>
      <c r="L35" s="146"/>
      <c r="M35" s="149"/>
      <c r="N35" s="174" t="s">
        <v>101</v>
      </c>
      <c r="O35" s="146"/>
      <c r="P35" s="146"/>
      <c r="Q35" s="146"/>
      <c r="R35" s="146"/>
      <c r="S35" s="146"/>
      <c r="T35" s="146"/>
      <c r="U35" s="146"/>
      <c r="V35" s="149"/>
    </row>
    <row r="36" spans="1:22" ht="15" customHeight="1">
      <c r="A36" s="189"/>
      <c r="B36" s="104"/>
      <c r="C36" s="104"/>
      <c r="D36" s="104"/>
      <c r="E36" s="135"/>
      <c r="F36" s="166" t="s">
        <v>102</v>
      </c>
      <c r="G36" s="105"/>
      <c r="H36" s="105"/>
      <c r="I36" s="105"/>
      <c r="J36" s="105"/>
      <c r="K36" s="105"/>
      <c r="L36" s="105"/>
      <c r="M36" s="109"/>
      <c r="N36" s="175" t="s">
        <v>103</v>
      </c>
      <c r="O36" s="105"/>
      <c r="P36" s="105"/>
      <c r="Q36" s="105"/>
      <c r="R36" s="105"/>
      <c r="S36" s="105"/>
      <c r="T36" s="105"/>
      <c r="U36" s="105"/>
      <c r="V36" s="109"/>
    </row>
    <row r="37" spans="1:22" ht="14.25" customHeight="1">
      <c r="A37" s="119"/>
      <c r="B37" s="120"/>
      <c r="C37" s="120"/>
      <c r="D37" s="120"/>
      <c r="E37" s="144"/>
      <c r="F37" s="176" t="s">
        <v>104</v>
      </c>
      <c r="G37" s="152"/>
      <c r="H37" s="152"/>
      <c r="I37" s="152"/>
      <c r="J37" s="152"/>
      <c r="K37" s="152"/>
      <c r="L37" s="152"/>
      <c r="M37" s="153"/>
      <c r="N37" s="177" t="s">
        <v>105</v>
      </c>
      <c r="O37" s="152"/>
      <c r="P37" s="152"/>
      <c r="Q37" s="152"/>
      <c r="R37" s="152"/>
      <c r="S37" s="152"/>
      <c r="T37" s="152"/>
      <c r="U37" s="152"/>
      <c r="V37" s="153"/>
    </row>
    <row r="38" spans="1:22" ht="15" customHeight="1">
      <c r="A38" s="156" t="s">
        <v>106</v>
      </c>
      <c r="B38" s="60"/>
      <c r="C38" s="60"/>
      <c r="D38" s="60"/>
      <c r="E38" s="60"/>
      <c r="F38" s="60"/>
      <c r="G38" s="60"/>
      <c r="H38" s="60"/>
      <c r="I38" s="60"/>
      <c r="J38" s="60"/>
      <c r="K38" s="60"/>
      <c r="L38" s="60"/>
      <c r="M38" s="60"/>
      <c r="N38" s="60"/>
      <c r="O38" s="60"/>
      <c r="P38" s="60"/>
      <c r="Q38" s="60"/>
      <c r="R38" s="60"/>
      <c r="S38" s="60"/>
      <c r="T38" s="60"/>
      <c r="U38" s="60"/>
      <c r="V38" s="61"/>
    </row>
    <row r="39" spans="1:22" ht="15" customHeight="1">
      <c r="A39" s="192" t="s">
        <v>107</v>
      </c>
      <c r="B39" s="104"/>
      <c r="C39" s="104"/>
      <c r="D39" s="104"/>
      <c r="E39" s="190"/>
      <c r="F39" s="178" t="s">
        <v>108</v>
      </c>
      <c r="G39" s="104"/>
      <c r="H39" s="104"/>
      <c r="I39" s="104"/>
      <c r="J39" s="104"/>
      <c r="K39" s="104"/>
      <c r="L39" s="104"/>
      <c r="M39" s="104"/>
      <c r="N39" s="179" t="s">
        <v>109</v>
      </c>
      <c r="O39" s="146"/>
      <c r="P39" s="146"/>
      <c r="Q39" s="146"/>
      <c r="R39" s="146"/>
      <c r="S39" s="146"/>
      <c r="T39" s="146"/>
      <c r="U39" s="146"/>
      <c r="V39" s="149"/>
    </row>
    <row r="40" spans="1:22" ht="15" customHeight="1">
      <c r="A40" s="119"/>
      <c r="B40" s="120"/>
      <c r="C40" s="120"/>
      <c r="D40" s="120"/>
      <c r="E40" s="121"/>
      <c r="F40" s="176" t="s">
        <v>110</v>
      </c>
      <c r="G40" s="152"/>
      <c r="H40" s="152"/>
      <c r="I40" s="152"/>
      <c r="J40" s="152"/>
      <c r="K40" s="152"/>
      <c r="L40" s="152"/>
      <c r="M40" s="153"/>
      <c r="N40" s="180"/>
      <c r="O40" s="152"/>
      <c r="P40" s="152"/>
      <c r="Q40" s="152"/>
      <c r="R40" s="152"/>
      <c r="S40" s="152"/>
      <c r="T40" s="152"/>
      <c r="U40" s="152"/>
      <c r="V40" s="153"/>
    </row>
    <row r="41" spans="1:22" ht="15.75" customHeight="1">
      <c r="A41" s="156" t="s">
        <v>111</v>
      </c>
      <c r="B41" s="60"/>
      <c r="C41" s="60"/>
      <c r="D41" s="60"/>
      <c r="E41" s="60"/>
      <c r="F41" s="60"/>
      <c r="G41" s="60"/>
      <c r="H41" s="60"/>
      <c r="I41" s="60"/>
      <c r="J41" s="60"/>
      <c r="K41" s="60"/>
      <c r="L41" s="60"/>
      <c r="M41" s="60"/>
      <c r="N41" s="60"/>
      <c r="O41" s="60"/>
      <c r="P41" s="60"/>
      <c r="Q41" s="60"/>
      <c r="R41" s="60"/>
      <c r="S41" s="60"/>
      <c r="T41" s="60"/>
      <c r="U41" s="60"/>
      <c r="V41" s="61"/>
    </row>
    <row r="42" spans="1:22" ht="14.25" customHeight="1">
      <c r="A42" s="191" t="s">
        <v>112</v>
      </c>
      <c r="B42" s="115"/>
      <c r="C42" s="115"/>
      <c r="D42" s="115"/>
      <c r="E42" s="116"/>
      <c r="F42" s="173" t="s">
        <v>113</v>
      </c>
      <c r="G42" s="146"/>
      <c r="H42" s="146"/>
      <c r="I42" s="146"/>
      <c r="J42" s="146"/>
      <c r="K42" s="146"/>
      <c r="L42" s="146"/>
      <c r="M42" s="147"/>
      <c r="N42" s="170">
        <v>1025801250</v>
      </c>
      <c r="O42" s="105"/>
      <c r="P42" s="105"/>
      <c r="Q42" s="105"/>
      <c r="R42" s="105"/>
      <c r="S42" s="105"/>
      <c r="T42" s="105"/>
      <c r="U42" s="105"/>
      <c r="V42" s="109"/>
    </row>
    <row r="43" spans="1:22" ht="14.25" customHeight="1">
      <c r="A43" s="189"/>
      <c r="B43" s="104"/>
      <c r="C43" s="104"/>
      <c r="D43" s="104"/>
      <c r="E43" s="190"/>
      <c r="F43" s="169" t="s">
        <v>114</v>
      </c>
      <c r="G43" s="105"/>
      <c r="H43" s="105"/>
      <c r="I43" s="105"/>
      <c r="J43" s="105"/>
      <c r="K43" s="105"/>
      <c r="L43" s="105"/>
      <c r="M43" s="106"/>
      <c r="N43" s="170">
        <v>194902237.5</v>
      </c>
      <c r="O43" s="105"/>
      <c r="P43" s="105"/>
      <c r="Q43" s="105"/>
      <c r="R43" s="105"/>
      <c r="S43" s="105"/>
      <c r="T43" s="105"/>
      <c r="U43" s="105"/>
      <c r="V43" s="109"/>
    </row>
    <row r="44" spans="1:22" ht="34.5" customHeight="1">
      <c r="A44" s="193"/>
      <c r="B44" s="137"/>
      <c r="C44" s="137"/>
      <c r="D44" s="137"/>
      <c r="E44" s="194"/>
      <c r="F44" s="166" t="s">
        <v>115</v>
      </c>
      <c r="G44" s="105"/>
      <c r="H44" s="105"/>
      <c r="I44" s="105"/>
      <c r="J44" s="105"/>
      <c r="K44" s="105"/>
      <c r="L44" s="105"/>
      <c r="M44" s="109"/>
      <c r="N44" s="170" t="s">
        <v>116</v>
      </c>
      <c r="O44" s="105"/>
      <c r="P44" s="105"/>
      <c r="Q44" s="105"/>
      <c r="R44" s="105"/>
      <c r="S44" s="105"/>
      <c r="T44" s="105"/>
      <c r="U44" s="105"/>
      <c r="V44" s="109"/>
    </row>
    <row r="45" spans="1:22" ht="14.25" customHeight="1">
      <c r="A45" s="156" t="s">
        <v>117</v>
      </c>
      <c r="B45" s="60"/>
      <c r="C45" s="60"/>
      <c r="D45" s="60"/>
      <c r="E45" s="60"/>
      <c r="F45" s="60"/>
      <c r="G45" s="60"/>
      <c r="H45" s="60"/>
      <c r="I45" s="60"/>
      <c r="J45" s="60"/>
      <c r="K45" s="60"/>
      <c r="L45" s="60"/>
      <c r="M45" s="60"/>
      <c r="N45" s="60"/>
      <c r="O45" s="60"/>
      <c r="P45" s="60"/>
      <c r="Q45" s="60"/>
      <c r="R45" s="60"/>
      <c r="S45" s="60"/>
      <c r="T45" s="60"/>
      <c r="U45" s="60"/>
      <c r="V45" s="61"/>
    </row>
    <row r="46" spans="1:22" ht="57" customHeight="1">
      <c r="A46" s="181"/>
      <c r="B46" s="182"/>
      <c r="C46" s="182"/>
      <c r="D46" s="182"/>
      <c r="E46" s="182"/>
      <c r="F46" s="182"/>
      <c r="G46" s="182"/>
      <c r="H46" s="182"/>
      <c r="I46" s="182"/>
      <c r="J46" s="182"/>
      <c r="K46" s="182"/>
      <c r="L46" s="182"/>
      <c r="M46" s="182"/>
      <c r="N46" s="182"/>
      <c r="O46" s="182"/>
      <c r="P46" s="182"/>
      <c r="Q46" s="182"/>
      <c r="R46" s="182"/>
      <c r="S46" s="182"/>
      <c r="T46" s="182"/>
      <c r="U46" s="182"/>
      <c r="V46" s="183"/>
    </row>
    <row r="47" spans="1:22" ht="14.25" customHeight="1"/>
    <row r="48" spans="1:2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7">
    <mergeCell ref="A46:V46"/>
    <mergeCell ref="A2:B5"/>
    <mergeCell ref="C2:S5"/>
    <mergeCell ref="T2:W3"/>
    <mergeCell ref="T4:W5"/>
    <mergeCell ref="A14:V15"/>
    <mergeCell ref="A29:E34"/>
    <mergeCell ref="A35:E37"/>
    <mergeCell ref="A39:E40"/>
    <mergeCell ref="A42:E44"/>
    <mergeCell ref="A21:E22"/>
    <mergeCell ref="A23:E24"/>
    <mergeCell ref="A25:E27"/>
    <mergeCell ref="F43:M43"/>
    <mergeCell ref="N43:V43"/>
    <mergeCell ref="F44:M44"/>
    <mergeCell ref="N44:V44"/>
    <mergeCell ref="A45:V45"/>
    <mergeCell ref="F40:M40"/>
    <mergeCell ref="N40:V40"/>
    <mergeCell ref="A41:V41"/>
    <mergeCell ref="F42:M42"/>
    <mergeCell ref="N42:V42"/>
    <mergeCell ref="F37:M37"/>
    <mergeCell ref="N37:V37"/>
    <mergeCell ref="A38:V38"/>
    <mergeCell ref="F39:M39"/>
    <mergeCell ref="N39:V39"/>
    <mergeCell ref="F34:M34"/>
    <mergeCell ref="N34:V34"/>
    <mergeCell ref="F35:M35"/>
    <mergeCell ref="N35:V35"/>
    <mergeCell ref="F36:M36"/>
    <mergeCell ref="N36:V36"/>
    <mergeCell ref="F31:M31"/>
    <mergeCell ref="N31:V31"/>
    <mergeCell ref="F32:M32"/>
    <mergeCell ref="N32:V32"/>
    <mergeCell ref="F33:M33"/>
    <mergeCell ref="N33:V33"/>
    <mergeCell ref="A28:V28"/>
    <mergeCell ref="F29:M29"/>
    <mergeCell ref="N29:V29"/>
    <mergeCell ref="F30:M30"/>
    <mergeCell ref="N30:V30"/>
    <mergeCell ref="F25:K25"/>
    <mergeCell ref="L25:V25"/>
    <mergeCell ref="F26:K26"/>
    <mergeCell ref="L26:V26"/>
    <mergeCell ref="F27:K27"/>
    <mergeCell ref="L27:V27"/>
    <mergeCell ref="F22:K22"/>
    <mergeCell ref="L22:V22"/>
    <mergeCell ref="F23:V23"/>
    <mergeCell ref="F24:K24"/>
    <mergeCell ref="L24:V24"/>
    <mergeCell ref="A19:E19"/>
    <mergeCell ref="F19:V19"/>
    <mergeCell ref="A20:E20"/>
    <mergeCell ref="F20:V20"/>
    <mergeCell ref="F21:V21"/>
    <mergeCell ref="B6:K6"/>
    <mergeCell ref="A16:V16"/>
    <mergeCell ref="A17:E17"/>
    <mergeCell ref="F17:V17"/>
    <mergeCell ref="A18:E18"/>
    <mergeCell ref="F18:V18"/>
  </mergeCells>
  <dataValidations count="2">
    <dataValidation type="date" operator="greaterThanOrEqual" allowBlank="1" showInputMessage="1" showErrorMessage="1" prompt="La fecha de entrada en operación comercial debe ser posterior a la fecha de inicio de construcción_x000a_" sqref="N40" xr:uid="{00000000-0002-0000-0100-000008000000}">
      <formula1>N39</formula1>
    </dataValidation>
    <dataValidation type="custom" allowBlank="1" showInputMessage="1" showErrorMessage="1" prompt="El texto debe ser máximo de 150 palabras." sqref="A46" xr:uid="{00000000-0002-0000-0100-000009000000}">
      <formula1>LT(LEN(A46),(2400))</formula1>
    </dataValidation>
  </dataValidations>
  <pageMargins left="0.511811023622047" right="0.62992125984252001" top="1.0404166666666701" bottom="1.1145833333333299" header="0" footer="0"/>
  <pageSetup fitToHeight="0" orientation="portrait"/>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8">
        <x14:dataValidation type="list" allowBlank="1" showErrorMessage="1" xr:uid="{00000000-0002-0000-0100-000000000000}">
          <x14:formula1>
            <xm:f>Listas2!$D$29:$D$33</xm:f>
          </x14:formula1>
          <xm:sqref>F18</xm:sqref>
        </x14:dataValidation>
        <x14:dataValidation type="list" allowBlank="1" showErrorMessage="1" xr:uid="{00000000-0002-0000-0100-000001000000}">
          <x14:formula1>
            <xm:f>Listas2!$B$11:$B$13</xm:f>
          </x14:formula1>
          <xm:sqref>F19</xm:sqref>
        </x14:dataValidation>
        <x14:dataValidation type="list" allowBlank="1" showErrorMessage="1" xr:uid="{00000000-0002-0000-0100-000002000000}">
          <x14:formula1>
            <xm:f>Listas2!$D$20:$D$24</xm:f>
          </x14:formula1>
          <xm:sqref>F20</xm:sqref>
        </x14:dataValidation>
        <x14:dataValidation type="list" allowBlank="1" showInputMessage="1" showErrorMessage="1" prompt="Antes de seleccionar el recurso energético, seleccione el tipo de FNCE para que se despliegue la lista de opciones. " xr:uid="{00000000-0002-0000-0100-000003000000}">
          <x14:formula1>
            <xm:f>INDIRECT(Listas2!$B$27)</xm:f>
          </x14:formula1>
          <xm:sqref>F21</xm:sqref>
        </x14:dataValidation>
        <x14:dataValidation type="list" allowBlank="1" showInputMessage="1" showErrorMessage="1" prompt="Antes de seleccionar la tecnología, seleccione el tipo de FNCE para que se despliegue la lista de opciones. " xr:uid="{00000000-0002-0000-0100-000004000000}">
          <x14:formula1>
            <xm:f>INDIRECT(Listas2!$B$26)</xm:f>
          </x14:formula1>
          <xm:sqref>F23</xm:sqref>
        </x14:dataValidation>
        <x14:dataValidation type="list" allowBlank="1" showErrorMessage="1" xr:uid="{00000000-0002-0000-0100-000005000000}">
          <x14:formula1>
            <xm:f>Listas!$D$10:$D$11</xm:f>
          </x14:formula1>
          <xm:sqref>L27</xm:sqref>
        </x14:dataValidation>
        <x14:dataValidation type="list" allowBlank="1" showErrorMessage="1" xr:uid="{00000000-0002-0000-0100-000006000000}">
          <x14:formula1>
            <xm:f>Listas!$D$13:$D$14</xm:f>
          </x14:formula1>
          <xm:sqref>N35</xm:sqref>
        </x14:dataValidation>
        <x14:dataValidation type="list" allowBlank="1" showErrorMessage="1" xr:uid="{00000000-0002-0000-0100-000007000000}">
          <x14:formula1>
            <xm:f>Listas2!$D$12:$D$16</xm:f>
          </x14:formula1>
          <xm:sqref>N36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944"/>
  <sheetViews>
    <sheetView showGridLines="0" topLeftCell="I58" zoomScale="85" zoomScaleNormal="85" workbookViewId="0">
      <selection activeCell="C13" sqref="C13:O62"/>
    </sheetView>
  </sheetViews>
  <sheetFormatPr baseColWidth="10" defaultColWidth="14.44140625" defaultRowHeight="15" customHeight="1"/>
  <cols>
    <col min="1" max="2" width="18.6640625" hidden="1" customWidth="1"/>
    <col min="3" max="3" width="18.6640625" customWidth="1"/>
    <col min="4" max="4" width="35.44140625" customWidth="1"/>
    <col min="5" max="5" width="20.88671875" customWidth="1"/>
    <col min="6" max="6" width="12.5546875" customWidth="1"/>
    <col min="7" max="7" width="18.6640625" customWidth="1"/>
    <col min="8" max="8" width="23.44140625" customWidth="1"/>
    <col min="9" max="9" width="31.33203125" customWidth="1"/>
    <col min="10" max="10" width="33.6640625" customWidth="1"/>
    <col min="11" max="11" width="18.33203125" customWidth="1"/>
    <col min="12" max="12" width="19.5546875" customWidth="1"/>
    <col min="13" max="13" width="20.88671875" style="203" customWidth="1"/>
    <col min="14" max="14" width="19.109375" style="203" customWidth="1"/>
    <col min="15" max="15" width="33.6640625" customWidth="1"/>
    <col min="16" max="16" width="21.6640625" customWidth="1"/>
    <col min="17" max="27" width="11.44140625" customWidth="1"/>
  </cols>
  <sheetData>
    <row r="1" spans="1:27" ht="14.25" customHeight="1">
      <c r="A1" s="15"/>
      <c r="B1" s="15"/>
      <c r="C1" s="15"/>
      <c r="D1" s="15"/>
      <c r="E1" s="15"/>
      <c r="F1" s="15"/>
      <c r="G1" s="15"/>
      <c r="H1" s="15"/>
      <c r="I1" s="15"/>
      <c r="J1" s="15"/>
      <c r="K1" s="15"/>
      <c r="L1" s="15"/>
      <c r="M1" s="202"/>
      <c r="N1" s="202"/>
      <c r="O1" s="15"/>
      <c r="P1" s="15"/>
      <c r="Q1" s="15"/>
      <c r="R1" s="15"/>
      <c r="S1" s="15"/>
      <c r="T1" s="15"/>
      <c r="U1" s="15"/>
      <c r="V1" s="15"/>
      <c r="W1" s="15"/>
      <c r="X1" s="15"/>
      <c r="Y1" s="15"/>
      <c r="Z1" s="15"/>
      <c r="AA1" s="15"/>
    </row>
    <row r="2" spans="1:27" ht="24" customHeight="1">
      <c r="A2" s="184"/>
      <c r="B2" s="132"/>
      <c r="C2" s="132"/>
      <c r="D2" s="133"/>
      <c r="E2" s="131" t="s">
        <v>72</v>
      </c>
      <c r="F2" s="132"/>
      <c r="G2" s="132"/>
      <c r="H2" s="132"/>
      <c r="I2" s="132"/>
      <c r="J2" s="132"/>
      <c r="K2" s="132"/>
      <c r="L2" s="132"/>
      <c r="M2" s="132"/>
      <c r="N2" s="133"/>
      <c r="O2" s="197" t="s">
        <v>1</v>
      </c>
      <c r="P2" s="16"/>
      <c r="Q2" s="27"/>
      <c r="R2" s="27"/>
      <c r="S2" s="27"/>
      <c r="T2" s="27"/>
      <c r="U2" s="27"/>
      <c r="V2" s="27"/>
      <c r="W2" s="27"/>
      <c r="X2" s="27"/>
      <c r="Y2" s="27"/>
      <c r="Z2" s="27"/>
      <c r="AA2" s="27"/>
    </row>
    <row r="3" spans="1:27" ht="20.25" customHeight="1">
      <c r="A3" s="134"/>
      <c r="B3" s="104"/>
      <c r="C3" s="104"/>
      <c r="D3" s="135"/>
      <c r="E3" s="134"/>
      <c r="F3" s="104"/>
      <c r="G3" s="104"/>
      <c r="H3" s="104"/>
      <c r="I3" s="104"/>
      <c r="J3" s="104"/>
      <c r="K3" s="104"/>
      <c r="L3" s="104"/>
      <c r="M3" s="104"/>
      <c r="N3" s="135"/>
      <c r="O3" s="198"/>
      <c r="P3" s="16"/>
      <c r="Q3" s="27"/>
      <c r="R3" s="27"/>
      <c r="S3" s="27"/>
      <c r="T3" s="27"/>
      <c r="U3" s="27"/>
      <c r="V3" s="27"/>
      <c r="W3" s="27"/>
      <c r="X3" s="27"/>
      <c r="Y3" s="27"/>
      <c r="Z3" s="27"/>
      <c r="AA3" s="27"/>
    </row>
    <row r="4" spans="1:27" ht="24.75" customHeight="1">
      <c r="A4" s="134"/>
      <c r="B4" s="104"/>
      <c r="C4" s="104"/>
      <c r="D4" s="135"/>
      <c r="E4" s="134"/>
      <c r="F4" s="104"/>
      <c r="G4" s="104"/>
      <c r="H4" s="104"/>
      <c r="I4" s="104"/>
      <c r="J4" s="104"/>
      <c r="K4" s="104"/>
      <c r="L4" s="104"/>
      <c r="M4" s="104"/>
      <c r="N4" s="135"/>
      <c r="O4" s="197" t="s">
        <v>2</v>
      </c>
      <c r="P4" s="16"/>
      <c r="Q4" s="27"/>
      <c r="R4" s="27"/>
      <c r="S4" s="27"/>
      <c r="T4" s="27"/>
      <c r="U4" s="27"/>
      <c r="V4" s="27"/>
      <c r="W4" s="27"/>
      <c r="X4" s="27"/>
      <c r="Y4" s="27"/>
      <c r="Z4" s="27"/>
      <c r="AA4" s="27"/>
    </row>
    <row r="5" spans="1:27" ht="27.75" customHeight="1">
      <c r="A5" s="136"/>
      <c r="B5" s="137"/>
      <c r="C5" s="137"/>
      <c r="D5" s="138"/>
      <c r="E5" s="136"/>
      <c r="F5" s="137"/>
      <c r="G5" s="137"/>
      <c r="H5" s="137"/>
      <c r="I5" s="137"/>
      <c r="J5" s="137"/>
      <c r="K5" s="137"/>
      <c r="L5" s="137"/>
      <c r="M5" s="137"/>
      <c r="N5" s="138"/>
      <c r="O5" s="198"/>
      <c r="P5" s="16"/>
      <c r="Q5" s="27"/>
      <c r="R5" s="27"/>
      <c r="S5" s="27"/>
      <c r="T5" s="27"/>
      <c r="U5" s="27"/>
      <c r="V5" s="27"/>
      <c r="W5" s="27"/>
      <c r="X5" s="27"/>
      <c r="Y5" s="27"/>
      <c r="Z5" s="27"/>
      <c r="AA5" s="27"/>
    </row>
    <row r="6" spans="1:27" ht="14.25" customHeight="1">
      <c r="A6" s="15"/>
      <c r="B6" s="15"/>
      <c r="C6" s="15"/>
      <c r="D6" s="57"/>
      <c r="E6" s="58"/>
      <c r="F6" s="58"/>
      <c r="G6" s="58"/>
      <c r="H6" s="58"/>
      <c r="I6" s="58"/>
      <c r="J6" s="58"/>
      <c r="K6" s="58"/>
      <c r="L6" s="58"/>
      <c r="M6" s="58"/>
      <c r="N6" s="202"/>
      <c r="O6" s="15"/>
      <c r="P6" s="15"/>
      <c r="Q6" s="27"/>
      <c r="R6" s="27"/>
      <c r="S6" s="27"/>
      <c r="T6" s="27"/>
      <c r="U6" s="27"/>
      <c r="V6" s="27"/>
      <c r="W6" s="27"/>
      <c r="X6" s="27"/>
      <c r="Y6" s="27"/>
      <c r="Z6" s="27"/>
      <c r="AA6" s="27"/>
    </row>
    <row r="7" spans="1:27" ht="14.25" customHeight="1"/>
    <row r="8" spans="1:27" ht="14.25" customHeight="1"/>
    <row r="9" spans="1:27" ht="14.25" customHeight="1"/>
    <row r="10" spans="1:27" ht="14.25" customHeight="1"/>
    <row r="11" spans="1:27" ht="14.25" customHeight="1"/>
    <row r="12" spans="1:27" ht="48" customHeight="1" thickBot="1">
      <c r="A12" s="196"/>
      <c r="B12" s="60"/>
      <c r="C12" s="60"/>
      <c r="D12" s="60"/>
      <c r="E12" s="60"/>
      <c r="F12" s="60"/>
      <c r="G12" s="60"/>
      <c r="H12" s="60"/>
      <c r="I12" s="60"/>
      <c r="J12" s="60"/>
      <c r="K12" s="60"/>
      <c r="L12" s="60"/>
      <c r="M12" s="60"/>
      <c r="N12" s="60"/>
      <c r="O12" s="61"/>
    </row>
    <row r="13" spans="1:27" ht="51.75" customHeight="1">
      <c r="A13" s="33" t="s">
        <v>118</v>
      </c>
      <c r="B13" s="33" t="s">
        <v>119</v>
      </c>
      <c r="C13" s="207"/>
      <c r="D13" s="21" t="s">
        <v>1075</v>
      </c>
      <c r="E13" s="21" t="s">
        <v>120</v>
      </c>
      <c r="F13" s="21" t="s">
        <v>121</v>
      </c>
      <c r="G13" s="21" t="s">
        <v>122</v>
      </c>
      <c r="H13" s="21" t="s">
        <v>123</v>
      </c>
      <c r="I13" s="21" t="s">
        <v>124</v>
      </c>
      <c r="J13" s="21" t="s">
        <v>125</v>
      </c>
      <c r="K13" s="21" t="s">
        <v>126</v>
      </c>
      <c r="L13" s="21" t="s">
        <v>127</v>
      </c>
      <c r="M13" s="204" t="s">
        <v>128</v>
      </c>
      <c r="N13" s="204" t="s">
        <v>129</v>
      </c>
      <c r="O13" s="35" t="s">
        <v>130</v>
      </c>
      <c r="P13" s="55"/>
    </row>
    <row r="14" spans="1:27" ht="81.75" customHeight="1">
      <c r="A14" s="34"/>
      <c r="B14" s="56"/>
      <c r="C14" s="208">
        <v>1</v>
      </c>
      <c r="D14" s="49" t="s">
        <v>821</v>
      </c>
      <c r="E14" s="49" t="s">
        <v>899</v>
      </c>
      <c r="F14" s="49"/>
      <c r="G14" s="49" t="s">
        <v>132</v>
      </c>
      <c r="H14" s="49" t="s">
        <v>138</v>
      </c>
      <c r="I14" s="49" t="s">
        <v>900</v>
      </c>
      <c r="J14" s="49" t="s">
        <v>901</v>
      </c>
      <c r="K14" s="49" t="s">
        <v>902</v>
      </c>
      <c r="L14" s="49" t="s">
        <v>139</v>
      </c>
      <c r="M14" s="205"/>
      <c r="N14" s="205"/>
      <c r="O14" s="49" t="s">
        <v>903</v>
      </c>
      <c r="P14" s="51"/>
    </row>
    <row r="15" spans="1:27" ht="67.5" customHeight="1">
      <c r="A15" s="34"/>
      <c r="B15" s="56"/>
      <c r="C15" s="208">
        <v>2</v>
      </c>
      <c r="D15" s="52" t="s">
        <v>133</v>
      </c>
      <c r="E15" s="52"/>
      <c r="F15" s="52"/>
      <c r="G15" s="52" t="s">
        <v>232</v>
      </c>
      <c r="H15" s="52" t="s">
        <v>904</v>
      </c>
      <c r="I15" s="52" t="s">
        <v>905</v>
      </c>
      <c r="J15" s="52" t="s">
        <v>906</v>
      </c>
      <c r="K15" s="52" t="s">
        <v>907</v>
      </c>
      <c r="L15" s="52" t="s">
        <v>908</v>
      </c>
      <c r="M15" s="206"/>
      <c r="N15" s="206"/>
      <c r="O15" s="52" t="s">
        <v>909</v>
      </c>
      <c r="P15" s="54"/>
    </row>
    <row r="16" spans="1:27" ht="97.8" customHeight="1">
      <c r="A16" s="34"/>
      <c r="B16" s="56"/>
      <c r="C16" s="209">
        <v>3</v>
      </c>
      <c r="D16" s="49" t="s">
        <v>823</v>
      </c>
      <c r="E16" s="49"/>
      <c r="F16" s="49"/>
      <c r="G16" s="49" t="s">
        <v>230</v>
      </c>
      <c r="H16" s="49" t="s">
        <v>910</v>
      </c>
      <c r="I16" s="49" t="s">
        <v>911</v>
      </c>
      <c r="J16" s="49" t="s">
        <v>912</v>
      </c>
      <c r="K16" s="49" t="s">
        <v>913</v>
      </c>
      <c r="L16" s="49" t="s">
        <v>914</v>
      </c>
      <c r="M16" s="205"/>
      <c r="N16" s="205"/>
      <c r="O16" s="49" t="s">
        <v>915</v>
      </c>
      <c r="P16" s="54"/>
    </row>
    <row r="17" spans="1:16" ht="135.6" customHeight="1">
      <c r="A17" s="34"/>
      <c r="B17" s="56"/>
      <c r="C17" s="208">
        <v>4</v>
      </c>
      <c r="D17" s="49" t="s">
        <v>831</v>
      </c>
      <c r="E17" s="49"/>
      <c r="F17" s="49"/>
      <c r="G17" s="49" t="s">
        <v>230</v>
      </c>
      <c r="H17" s="49" t="s">
        <v>916</v>
      </c>
      <c r="I17" s="49" t="s">
        <v>917</v>
      </c>
      <c r="J17" s="49" t="s">
        <v>918</v>
      </c>
      <c r="K17" s="49" t="s">
        <v>919</v>
      </c>
      <c r="L17" s="49" t="s">
        <v>920</v>
      </c>
      <c r="M17" s="205"/>
      <c r="N17" s="205"/>
      <c r="O17" s="49" t="s">
        <v>921</v>
      </c>
      <c r="P17" s="54"/>
    </row>
    <row r="18" spans="1:16" ht="44.4" customHeight="1">
      <c r="A18" s="34"/>
      <c r="B18" s="56"/>
      <c r="C18" s="208">
        <v>5</v>
      </c>
      <c r="D18" s="49" t="s">
        <v>826</v>
      </c>
      <c r="E18" s="49"/>
      <c r="F18" s="49"/>
      <c r="G18" s="49" t="s">
        <v>132</v>
      </c>
      <c r="H18" s="49" t="s">
        <v>922</v>
      </c>
      <c r="I18" s="49" t="s">
        <v>923</v>
      </c>
      <c r="J18" s="49" t="s">
        <v>924</v>
      </c>
      <c r="K18" s="49" t="s">
        <v>925</v>
      </c>
      <c r="L18" s="49" t="s">
        <v>925</v>
      </c>
      <c r="M18" s="205"/>
      <c r="N18" s="205"/>
      <c r="O18" s="49" t="s">
        <v>926</v>
      </c>
      <c r="P18" s="54"/>
    </row>
    <row r="19" spans="1:16" ht="44.25" customHeight="1">
      <c r="A19" s="34"/>
      <c r="B19" s="34"/>
      <c r="C19" s="208">
        <v>6</v>
      </c>
      <c r="D19" s="49" t="s">
        <v>826</v>
      </c>
      <c r="E19" s="49"/>
      <c r="F19" s="49"/>
      <c r="G19" s="49" t="s">
        <v>132</v>
      </c>
      <c r="H19" s="49" t="s">
        <v>922</v>
      </c>
      <c r="I19" s="49" t="s">
        <v>927</v>
      </c>
      <c r="J19" s="49" t="s">
        <v>928</v>
      </c>
      <c r="K19" s="49" t="s">
        <v>925</v>
      </c>
      <c r="L19" s="49" t="s">
        <v>925</v>
      </c>
      <c r="M19" s="205"/>
      <c r="N19" s="205"/>
      <c r="O19" s="49" t="s">
        <v>926</v>
      </c>
      <c r="P19" s="54"/>
    </row>
    <row r="20" spans="1:16" ht="78" customHeight="1">
      <c r="A20" s="34"/>
      <c r="B20" s="34"/>
      <c r="C20" s="208">
        <v>7</v>
      </c>
      <c r="D20" s="49" t="s">
        <v>826</v>
      </c>
      <c r="E20" s="49"/>
      <c r="F20" s="49"/>
      <c r="G20" s="49" t="s">
        <v>929</v>
      </c>
      <c r="H20" s="49" t="s">
        <v>922</v>
      </c>
      <c r="I20" s="49" t="s">
        <v>930</v>
      </c>
      <c r="J20" s="49" t="s">
        <v>924</v>
      </c>
      <c r="K20" s="49" t="s">
        <v>925</v>
      </c>
      <c r="L20" s="49" t="s">
        <v>925</v>
      </c>
      <c r="M20" s="205"/>
      <c r="N20" s="205"/>
      <c r="O20" s="49" t="s">
        <v>926</v>
      </c>
      <c r="P20" s="54"/>
    </row>
    <row r="21" spans="1:16" ht="78" customHeight="1">
      <c r="A21" s="34"/>
      <c r="B21" s="34"/>
      <c r="C21" s="209">
        <v>8</v>
      </c>
      <c r="D21" s="49" t="s">
        <v>823</v>
      </c>
      <c r="E21" s="49"/>
      <c r="F21" s="49"/>
      <c r="G21" s="49" t="s">
        <v>230</v>
      </c>
      <c r="H21" s="49" t="s">
        <v>931</v>
      </c>
      <c r="I21" s="49" t="s">
        <v>932</v>
      </c>
      <c r="J21" s="49" t="s">
        <v>933</v>
      </c>
      <c r="K21" s="49" t="s">
        <v>934</v>
      </c>
      <c r="L21" s="49" t="s">
        <v>935</v>
      </c>
      <c r="M21" s="205"/>
      <c r="N21" s="205"/>
      <c r="O21" s="49" t="s">
        <v>936</v>
      </c>
      <c r="P21" s="54"/>
    </row>
    <row r="22" spans="1:16" ht="78" customHeight="1">
      <c r="A22" s="34"/>
      <c r="B22" s="34"/>
      <c r="C22" s="208">
        <v>9</v>
      </c>
      <c r="D22" s="49" t="s">
        <v>823</v>
      </c>
      <c r="E22" s="49"/>
      <c r="F22" s="49"/>
      <c r="G22" s="49" t="s">
        <v>230</v>
      </c>
      <c r="H22" s="49" t="s">
        <v>910</v>
      </c>
      <c r="I22" s="49" t="s">
        <v>937</v>
      </c>
      <c r="J22" s="49" t="s">
        <v>933</v>
      </c>
      <c r="K22" s="49" t="s">
        <v>938</v>
      </c>
      <c r="L22" s="49" t="s">
        <v>920</v>
      </c>
      <c r="M22" s="205"/>
      <c r="N22" s="205"/>
      <c r="O22" s="49" t="s">
        <v>939</v>
      </c>
      <c r="P22" s="54"/>
    </row>
    <row r="23" spans="1:16" ht="78" customHeight="1">
      <c r="A23" s="34"/>
      <c r="B23" s="34"/>
      <c r="C23" s="208">
        <v>10</v>
      </c>
      <c r="D23" s="49" t="s">
        <v>823</v>
      </c>
      <c r="E23" s="49"/>
      <c r="F23" s="49"/>
      <c r="G23" s="49" t="s">
        <v>230</v>
      </c>
      <c r="H23" s="49" t="s">
        <v>910</v>
      </c>
      <c r="I23" s="49" t="s">
        <v>940</v>
      </c>
      <c r="J23" s="49" t="s">
        <v>933</v>
      </c>
      <c r="K23" s="49" t="s">
        <v>938</v>
      </c>
      <c r="L23" s="49" t="s">
        <v>920</v>
      </c>
      <c r="M23" s="205"/>
      <c r="N23" s="205"/>
      <c r="O23" s="49" t="s">
        <v>941</v>
      </c>
      <c r="P23" s="54"/>
    </row>
    <row r="24" spans="1:16" ht="78" customHeight="1">
      <c r="A24" s="34"/>
      <c r="B24" s="34"/>
      <c r="C24" s="208">
        <v>11</v>
      </c>
      <c r="D24" s="49" t="s">
        <v>855</v>
      </c>
      <c r="E24" s="49"/>
      <c r="F24" s="49"/>
      <c r="G24" s="49" t="s">
        <v>230</v>
      </c>
      <c r="H24" s="49" t="s">
        <v>942</v>
      </c>
      <c r="I24" s="49" t="s">
        <v>943</v>
      </c>
      <c r="J24" s="49" t="s">
        <v>944</v>
      </c>
      <c r="K24" s="49" t="s">
        <v>920</v>
      </c>
      <c r="L24" s="49" t="s">
        <v>920</v>
      </c>
      <c r="M24" s="205"/>
      <c r="N24" s="205"/>
      <c r="O24" s="49" t="s">
        <v>945</v>
      </c>
      <c r="P24" s="54"/>
    </row>
    <row r="25" spans="1:16" ht="78" customHeight="1">
      <c r="A25" s="34"/>
      <c r="B25" s="34"/>
      <c r="C25" s="208">
        <v>12</v>
      </c>
      <c r="D25" s="49" t="s">
        <v>855</v>
      </c>
      <c r="E25" s="49"/>
      <c r="F25" s="49"/>
      <c r="G25" s="49" t="s">
        <v>230</v>
      </c>
      <c r="H25" s="49" t="s">
        <v>942</v>
      </c>
      <c r="I25" s="49" t="s">
        <v>946</v>
      </c>
      <c r="J25" s="49" t="s">
        <v>944</v>
      </c>
      <c r="K25" s="49" t="s">
        <v>920</v>
      </c>
      <c r="L25" s="49" t="s">
        <v>920</v>
      </c>
      <c r="M25" s="205"/>
      <c r="N25" s="205"/>
      <c r="O25" s="49" t="s">
        <v>945</v>
      </c>
      <c r="P25" s="54"/>
    </row>
    <row r="26" spans="1:16" ht="78" customHeight="1">
      <c r="A26" s="34"/>
      <c r="B26" s="34"/>
      <c r="C26" s="209">
        <v>13</v>
      </c>
      <c r="D26" s="49" t="s">
        <v>828</v>
      </c>
      <c r="E26" s="49"/>
      <c r="F26" s="49"/>
      <c r="G26" s="49" t="s">
        <v>230</v>
      </c>
      <c r="H26" s="49" t="s">
        <v>947</v>
      </c>
      <c r="I26" s="49" t="s">
        <v>948</v>
      </c>
      <c r="J26" s="49" t="s">
        <v>949</v>
      </c>
      <c r="K26" s="49" t="s">
        <v>950</v>
      </c>
      <c r="L26" s="49" t="s">
        <v>951</v>
      </c>
      <c r="M26" s="205"/>
      <c r="N26" s="205"/>
      <c r="O26" s="49" t="s">
        <v>952</v>
      </c>
      <c r="P26" s="54"/>
    </row>
    <row r="27" spans="1:16" ht="78" customHeight="1">
      <c r="A27" s="34"/>
      <c r="B27" s="34"/>
      <c r="C27" s="208">
        <v>14</v>
      </c>
      <c r="D27" s="49" t="s">
        <v>828</v>
      </c>
      <c r="E27" s="49"/>
      <c r="F27" s="49"/>
      <c r="G27" s="49" t="s">
        <v>230</v>
      </c>
      <c r="H27" s="49" t="s">
        <v>947</v>
      </c>
      <c r="I27" s="49" t="s">
        <v>953</v>
      </c>
      <c r="J27" s="49" t="s">
        <v>949</v>
      </c>
      <c r="K27" s="49" t="s">
        <v>950</v>
      </c>
      <c r="L27" s="49" t="s">
        <v>951</v>
      </c>
      <c r="M27" s="205"/>
      <c r="N27" s="205"/>
      <c r="O27" s="49" t="s">
        <v>954</v>
      </c>
      <c r="P27" s="54"/>
    </row>
    <row r="28" spans="1:16" ht="78" customHeight="1">
      <c r="A28" s="34"/>
      <c r="B28" s="34"/>
      <c r="C28" s="208">
        <v>15</v>
      </c>
      <c r="D28" s="49" t="s">
        <v>828</v>
      </c>
      <c r="E28" s="49"/>
      <c r="F28" s="49"/>
      <c r="G28" s="49" t="s">
        <v>955</v>
      </c>
      <c r="H28" s="49" t="s">
        <v>947</v>
      </c>
      <c r="I28" s="49" t="s">
        <v>956</v>
      </c>
      <c r="J28" s="49" t="s">
        <v>949</v>
      </c>
      <c r="K28" s="49" t="s">
        <v>950</v>
      </c>
      <c r="L28" s="49" t="s">
        <v>957</v>
      </c>
      <c r="M28" s="205"/>
      <c r="N28" s="205"/>
      <c r="O28" s="49" t="s">
        <v>954</v>
      </c>
      <c r="P28" s="54"/>
    </row>
    <row r="29" spans="1:16" ht="78" customHeight="1">
      <c r="A29" s="34"/>
      <c r="B29" s="34"/>
      <c r="C29" s="208">
        <v>16</v>
      </c>
      <c r="D29" s="49" t="s">
        <v>828</v>
      </c>
      <c r="E29" s="49"/>
      <c r="F29" s="49"/>
      <c r="G29" s="49" t="s">
        <v>132</v>
      </c>
      <c r="H29" s="49" t="s">
        <v>958</v>
      </c>
      <c r="I29" s="49" t="s">
        <v>959</v>
      </c>
      <c r="J29" s="49" t="s">
        <v>960</v>
      </c>
      <c r="K29" s="49" t="s">
        <v>961</v>
      </c>
      <c r="L29" s="49" t="s">
        <v>957</v>
      </c>
      <c r="M29" s="205"/>
      <c r="N29" s="205"/>
      <c r="O29" s="49" t="s">
        <v>962</v>
      </c>
      <c r="P29" s="54"/>
    </row>
    <row r="30" spans="1:16" ht="78" customHeight="1">
      <c r="A30" s="34"/>
      <c r="B30" s="34"/>
      <c r="C30" s="208">
        <v>17</v>
      </c>
      <c r="D30" s="49" t="s">
        <v>828</v>
      </c>
      <c r="E30" s="49"/>
      <c r="F30" s="49"/>
      <c r="G30" s="49" t="s">
        <v>132</v>
      </c>
      <c r="H30" s="49" t="s">
        <v>958</v>
      </c>
      <c r="I30" s="49" t="s">
        <v>963</v>
      </c>
      <c r="J30" s="49" t="s">
        <v>964</v>
      </c>
      <c r="K30" s="49" t="s">
        <v>961</v>
      </c>
      <c r="L30" s="49" t="s">
        <v>957</v>
      </c>
      <c r="M30" s="205"/>
      <c r="N30" s="205"/>
      <c r="O30" s="49" t="s">
        <v>965</v>
      </c>
      <c r="P30" s="54"/>
    </row>
    <row r="31" spans="1:16" ht="78" customHeight="1">
      <c r="A31" s="34"/>
      <c r="B31" s="34"/>
      <c r="C31" s="209">
        <v>18</v>
      </c>
      <c r="D31" s="49" t="s">
        <v>828</v>
      </c>
      <c r="E31" s="49"/>
      <c r="F31" s="49"/>
      <c r="G31" s="49" t="s">
        <v>132</v>
      </c>
      <c r="H31" s="49" t="s">
        <v>958</v>
      </c>
      <c r="I31" s="49" t="s">
        <v>966</v>
      </c>
      <c r="J31" s="49" t="s">
        <v>960</v>
      </c>
      <c r="K31" s="49" t="s">
        <v>961</v>
      </c>
      <c r="L31" s="49" t="s">
        <v>957</v>
      </c>
      <c r="M31" s="205"/>
      <c r="N31" s="205"/>
      <c r="O31" s="49" t="s">
        <v>967</v>
      </c>
      <c r="P31" s="54"/>
    </row>
    <row r="32" spans="1:16" ht="78" customHeight="1">
      <c r="A32" s="34"/>
      <c r="B32" s="34"/>
      <c r="C32" s="208">
        <v>19</v>
      </c>
      <c r="D32" s="49" t="s">
        <v>828</v>
      </c>
      <c r="E32" s="49"/>
      <c r="F32" s="49"/>
      <c r="G32" s="49" t="s">
        <v>132</v>
      </c>
      <c r="H32" s="49" t="s">
        <v>958</v>
      </c>
      <c r="I32" s="49" t="s">
        <v>968</v>
      </c>
      <c r="J32" s="49" t="s">
        <v>964</v>
      </c>
      <c r="K32" s="49" t="s">
        <v>961</v>
      </c>
      <c r="L32" s="49" t="s">
        <v>957</v>
      </c>
      <c r="M32" s="205"/>
      <c r="N32" s="205"/>
      <c r="O32" s="49" t="s">
        <v>967</v>
      </c>
      <c r="P32" s="54"/>
    </row>
    <row r="33" spans="1:16" ht="78" customHeight="1">
      <c r="A33" s="34"/>
      <c r="B33" s="34"/>
      <c r="C33" s="208">
        <v>20</v>
      </c>
      <c r="D33" s="49" t="s">
        <v>832</v>
      </c>
      <c r="E33" s="49"/>
      <c r="F33" s="49"/>
      <c r="G33" s="49" t="s">
        <v>132</v>
      </c>
      <c r="H33" s="49" t="s">
        <v>969</v>
      </c>
      <c r="I33" s="49" t="s">
        <v>970</v>
      </c>
      <c r="J33" s="49" t="s">
        <v>971</v>
      </c>
      <c r="K33" s="49" t="s">
        <v>972</v>
      </c>
      <c r="L33" s="49" t="s">
        <v>972</v>
      </c>
      <c r="M33" s="205"/>
      <c r="N33" s="205"/>
      <c r="O33" s="49" t="s">
        <v>973</v>
      </c>
      <c r="P33" s="54"/>
    </row>
    <row r="34" spans="1:16" ht="78" customHeight="1">
      <c r="A34" s="34"/>
      <c r="B34" s="34"/>
      <c r="C34" s="208">
        <v>21</v>
      </c>
      <c r="D34" s="49" t="s">
        <v>832</v>
      </c>
      <c r="E34" s="49"/>
      <c r="F34" s="49"/>
      <c r="G34" s="49" t="s">
        <v>132</v>
      </c>
      <c r="H34" s="49" t="s">
        <v>969</v>
      </c>
      <c r="I34" s="49" t="s">
        <v>974</v>
      </c>
      <c r="J34" s="49" t="s">
        <v>971</v>
      </c>
      <c r="K34" s="49" t="s">
        <v>972</v>
      </c>
      <c r="L34" s="49" t="s">
        <v>972</v>
      </c>
      <c r="M34" s="205"/>
      <c r="N34" s="205"/>
      <c r="O34" s="49" t="s">
        <v>975</v>
      </c>
      <c r="P34" s="54"/>
    </row>
    <row r="35" spans="1:16" ht="78" customHeight="1">
      <c r="A35" s="34"/>
      <c r="B35" s="34"/>
      <c r="C35" s="208">
        <v>22</v>
      </c>
      <c r="D35" s="49" t="s">
        <v>832</v>
      </c>
      <c r="E35" s="49"/>
      <c r="F35" s="49"/>
      <c r="G35" s="49" t="s">
        <v>132</v>
      </c>
      <c r="H35" s="49" t="s">
        <v>969</v>
      </c>
      <c r="I35" s="49" t="s">
        <v>976</v>
      </c>
      <c r="J35" s="49" t="s">
        <v>971</v>
      </c>
      <c r="K35" s="49" t="s">
        <v>972</v>
      </c>
      <c r="L35" s="49" t="s">
        <v>972</v>
      </c>
      <c r="M35" s="205"/>
      <c r="N35" s="205"/>
      <c r="O35" s="49" t="s">
        <v>977</v>
      </c>
      <c r="P35" s="54"/>
    </row>
    <row r="36" spans="1:16" ht="78" customHeight="1">
      <c r="A36" s="34"/>
      <c r="B36" s="34"/>
      <c r="C36" s="209">
        <v>23</v>
      </c>
      <c r="D36" s="49" t="s">
        <v>832</v>
      </c>
      <c r="E36" s="49"/>
      <c r="F36" s="49"/>
      <c r="G36" s="49" t="s">
        <v>929</v>
      </c>
      <c r="H36" s="49" t="s">
        <v>969</v>
      </c>
      <c r="I36" s="49" t="s">
        <v>978</v>
      </c>
      <c r="J36" s="49" t="s">
        <v>979</v>
      </c>
      <c r="K36" s="49" t="s">
        <v>972</v>
      </c>
      <c r="L36" s="49" t="s">
        <v>972</v>
      </c>
      <c r="M36" s="205"/>
      <c r="N36" s="205"/>
      <c r="O36" s="49" t="s">
        <v>980</v>
      </c>
      <c r="P36" s="54"/>
    </row>
    <row r="37" spans="1:16" ht="78" customHeight="1">
      <c r="A37" s="34"/>
      <c r="B37" s="34"/>
      <c r="C37" s="208">
        <v>24</v>
      </c>
      <c r="D37" s="49" t="s">
        <v>823</v>
      </c>
      <c r="E37" s="49"/>
      <c r="F37" s="49"/>
      <c r="G37" s="49" t="s">
        <v>230</v>
      </c>
      <c r="H37" s="49" t="s">
        <v>981</v>
      </c>
      <c r="I37" s="49" t="s">
        <v>982</v>
      </c>
      <c r="J37" s="49" t="s">
        <v>983</v>
      </c>
      <c r="K37" s="49" t="s">
        <v>984</v>
      </c>
      <c r="L37" s="49" t="s">
        <v>985</v>
      </c>
      <c r="M37" s="205"/>
      <c r="N37" s="205"/>
      <c r="O37" s="49" t="s">
        <v>986</v>
      </c>
      <c r="P37" s="54"/>
    </row>
    <row r="38" spans="1:16" ht="78" customHeight="1">
      <c r="A38" s="34"/>
      <c r="B38" s="34"/>
      <c r="C38" s="208">
        <v>25</v>
      </c>
      <c r="D38" s="49" t="s">
        <v>828</v>
      </c>
      <c r="E38" s="49"/>
      <c r="F38" s="49"/>
      <c r="G38" s="49" t="s">
        <v>132</v>
      </c>
      <c r="H38" s="49" t="s">
        <v>987</v>
      </c>
      <c r="I38" s="49" t="s">
        <v>988</v>
      </c>
      <c r="J38" s="49" t="s">
        <v>989</v>
      </c>
      <c r="K38" s="49" t="s">
        <v>990</v>
      </c>
      <c r="L38" s="49" t="s">
        <v>957</v>
      </c>
      <c r="M38" s="205"/>
      <c r="N38" s="205"/>
      <c r="O38" s="49" t="s">
        <v>991</v>
      </c>
      <c r="P38" s="54"/>
    </row>
    <row r="39" spans="1:16" ht="78" customHeight="1">
      <c r="A39" s="34"/>
      <c r="B39" s="34"/>
      <c r="C39" s="208">
        <v>26</v>
      </c>
      <c r="D39" s="49" t="s">
        <v>828</v>
      </c>
      <c r="E39" s="49"/>
      <c r="F39" s="49"/>
      <c r="G39" s="49" t="s">
        <v>132</v>
      </c>
      <c r="H39" s="49" t="s">
        <v>987</v>
      </c>
      <c r="I39" s="49" t="s">
        <v>992</v>
      </c>
      <c r="J39" s="49" t="s">
        <v>989</v>
      </c>
      <c r="K39" s="49" t="s">
        <v>990</v>
      </c>
      <c r="L39" s="49" t="s">
        <v>957</v>
      </c>
      <c r="M39" s="205"/>
      <c r="N39" s="205"/>
      <c r="O39" s="49" t="s">
        <v>993</v>
      </c>
      <c r="P39" s="54"/>
    </row>
    <row r="40" spans="1:16" ht="78" customHeight="1">
      <c r="A40" s="34"/>
      <c r="B40" s="34"/>
      <c r="C40" s="208">
        <v>27</v>
      </c>
      <c r="D40" s="49" t="s">
        <v>828</v>
      </c>
      <c r="E40" s="49"/>
      <c r="F40" s="49"/>
      <c r="G40" s="49" t="s">
        <v>132</v>
      </c>
      <c r="H40" s="49" t="s">
        <v>987</v>
      </c>
      <c r="I40" s="49" t="s">
        <v>994</v>
      </c>
      <c r="J40" s="49" t="s">
        <v>989</v>
      </c>
      <c r="K40" s="49" t="s">
        <v>990</v>
      </c>
      <c r="L40" s="49" t="s">
        <v>957</v>
      </c>
      <c r="M40" s="205"/>
      <c r="N40" s="205"/>
      <c r="O40" s="49" t="s">
        <v>995</v>
      </c>
      <c r="P40" s="54"/>
    </row>
    <row r="41" spans="1:16" ht="78" customHeight="1">
      <c r="A41" s="34"/>
      <c r="B41" s="34"/>
      <c r="C41" s="209">
        <v>28</v>
      </c>
      <c r="D41" s="49" t="s">
        <v>855</v>
      </c>
      <c r="E41" s="49"/>
      <c r="F41" s="49"/>
      <c r="G41" s="49" t="s">
        <v>132</v>
      </c>
      <c r="H41" s="49" t="s">
        <v>996</v>
      </c>
      <c r="I41" s="49" t="s">
        <v>997</v>
      </c>
      <c r="J41" s="49" t="s">
        <v>998</v>
      </c>
      <c r="K41" s="49" t="s">
        <v>996</v>
      </c>
      <c r="L41" s="49" t="s">
        <v>957</v>
      </c>
      <c r="M41" s="205"/>
      <c r="N41" s="205"/>
      <c r="O41" s="49" t="s">
        <v>999</v>
      </c>
      <c r="P41" s="54"/>
    </row>
    <row r="42" spans="1:16" ht="78" customHeight="1">
      <c r="A42" s="34"/>
      <c r="B42" s="34"/>
      <c r="C42" s="208">
        <v>29</v>
      </c>
      <c r="D42" s="49" t="s">
        <v>855</v>
      </c>
      <c r="E42" s="49"/>
      <c r="F42" s="49"/>
      <c r="G42" s="49" t="s">
        <v>132</v>
      </c>
      <c r="H42" s="49" t="s">
        <v>1000</v>
      </c>
      <c r="I42" s="49" t="s">
        <v>1001</v>
      </c>
      <c r="J42" s="49" t="s">
        <v>1002</v>
      </c>
      <c r="K42" s="49" t="s">
        <v>1000</v>
      </c>
      <c r="L42" s="49" t="s">
        <v>957</v>
      </c>
      <c r="M42" s="205"/>
      <c r="N42" s="205"/>
      <c r="O42" s="49" t="s">
        <v>1003</v>
      </c>
      <c r="P42" s="54"/>
    </row>
    <row r="43" spans="1:16" ht="78" customHeight="1">
      <c r="A43" s="34"/>
      <c r="B43" s="34"/>
      <c r="C43" s="208">
        <v>30</v>
      </c>
      <c r="D43" s="49" t="s">
        <v>855</v>
      </c>
      <c r="E43" s="49"/>
      <c r="F43" s="49"/>
      <c r="G43" s="49" t="s">
        <v>132</v>
      </c>
      <c r="H43" s="49" t="s">
        <v>1000</v>
      </c>
      <c r="I43" s="49" t="s">
        <v>1004</v>
      </c>
      <c r="J43" s="49" t="s">
        <v>1002</v>
      </c>
      <c r="K43" s="49" t="s">
        <v>1000</v>
      </c>
      <c r="L43" s="49" t="s">
        <v>957</v>
      </c>
      <c r="M43" s="205"/>
      <c r="N43" s="205"/>
      <c r="O43" s="49" t="s">
        <v>1003</v>
      </c>
      <c r="P43" s="54"/>
    </row>
    <row r="44" spans="1:16" ht="78" customHeight="1">
      <c r="A44" s="34"/>
      <c r="B44" s="34"/>
      <c r="C44" s="208">
        <v>31</v>
      </c>
      <c r="D44" s="49" t="s">
        <v>860</v>
      </c>
      <c r="E44" s="49"/>
      <c r="F44" s="49"/>
      <c r="G44" s="49" t="s">
        <v>929</v>
      </c>
      <c r="H44" s="49" t="s">
        <v>1005</v>
      </c>
      <c r="I44" s="49" t="s">
        <v>1006</v>
      </c>
      <c r="J44" s="49" t="s">
        <v>1007</v>
      </c>
      <c r="K44" s="49" t="s">
        <v>1008</v>
      </c>
      <c r="L44" s="49" t="s">
        <v>951</v>
      </c>
      <c r="M44" s="205"/>
      <c r="N44" s="205"/>
      <c r="O44" s="49" t="s">
        <v>1009</v>
      </c>
      <c r="P44" s="54"/>
    </row>
    <row r="45" spans="1:16" ht="78" customHeight="1">
      <c r="A45" s="34"/>
      <c r="B45" s="34"/>
      <c r="C45" s="208">
        <v>32</v>
      </c>
      <c r="D45" s="49" t="s">
        <v>864</v>
      </c>
      <c r="E45" s="49"/>
      <c r="F45" s="49"/>
      <c r="G45" s="49" t="s">
        <v>929</v>
      </c>
      <c r="H45" s="49" t="s">
        <v>1010</v>
      </c>
      <c r="I45" s="49" t="s">
        <v>1011</v>
      </c>
      <c r="J45" s="49" t="s">
        <v>1012</v>
      </c>
      <c r="K45" s="49" t="s">
        <v>1013</v>
      </c>
      <c r="L45" s="49" t="s">
        <v>951</v>
      </c>
      <c r="M45" s="205"/>
      <c r="N45" s="205"/>
      <c r="O45" s="49" t="s">
        <v>1014</v>
      </c>
      <c r="P45" s="54"/>
    </row>
    <row r="46" spans="1:16" ht="78" customHeight="1">
      <c r="A46" s="34"/>
      <c r="B46" s="34"/>
      <c r="C46" s="209">
        <v>33</v>
      </c>
      <c r="D46" s="49" t="s">
        <v>823</v>
      </c>
      <c r="E46" s="49"/>
      <c r="F46" s="49"/>
      <c r="G46" s="49" t="s">
        <v>230</v>
      </c>
      <c r="H46" s="49" t="s">
        <v>1015</v>
      </c>
      <c r="I46" s="49" t="s">
        <v>1016</v>
      </c>
      <c r="J46" s="49" t="s">
        <v>1017</v>
      </c>
      <c r="K46" s="49" t="s">
        <v>1018</v>
      </c>
      <c r="L46" s="49" t="s">
        <v>951</v>
      </c>
      <c r="M46" s="205"/>
      <c r="N46" s="205"/>
      <c r="O46" s="49" t="s">
        <v>1019</v>
      </c>
      <c r="P46" s="54"/>
    </row>
    <row r="47" spans="1:16" ht="78" customHeight="1">
      <c r="A47" s="34"/>
      <c r="B47" s="34"/>
      <c r="C47" s="208">
        <v>34</v>
      </c>
      <c r="D47" s="49" t="s">
        <v>823</v>
      </c>
      <c r="E47" s="49"/>
      <c r="F47" s="49"/>
      <c r="G47" s="49" t="s">
        <v>230</v>
      </c>
      <c r="H47" s="49" t="s">
        <v>1015</v>
      </c>
      <c r="I47" s="49" t="s">
        <v>1020</v>
      </c>
      <c r="J47" s="49" t="s">
        <v>1017</v>
      </c>
      <c r="K47" s="49" t="s">
        <v>1018</v>
      </c>
      <c r="L47" s="49" t="s">
        <v>957</v>
      </c>
      <c r="M47" s="205"/>
      <c r="N47" s="205"/>
      <c r="O47" s="49" t="s">
        <v>1021</v>
      </c>
      <c r="P47" s="54"/>
    </row>
    <row r="48" spans="1:16" ht="78" customHeight="1">
      <c r="A48" s="34"/>
      <c r="B48" s="34"/>
      <c r="C48" s="208">
        <v>35</v>
      </c>
      <c r="D48" s="49" t="s">
        <v>133</v>
      </c>
      <c r="E48" s="49" t="s">
        <v>138</v>
      </c>
      <c r="F48" s="49"/>
      <c r="G48" s="49" t="s">
        <v>929</v>
      </c>
      <c r="H48" s="49" t="s">
        <v>134</v>
      </c>
      <c r="I48" s="49" t="s">
        <v>1022</v>
      </c>
      <c r="J48" s="49" t="s">
        <v>1023</v>
      </c>
      <c r="K48" s="49" t="s">
        <v>135</v>
      </c>
      <c r="L48" s="49" t="s">
        <v>1024</v>
      </c>
      <c r="M48" s="205"/>
      <c r="N48" s="205"/>
      <c r="O48" s="49" t="s">
        <v>136</v>
      </c>
      <c r="P48" s="54"/>
    </row>
    <row r="49" spans="1:16" ht="78" customHeight="1">
      <c r="A49" s="34"/>
      <c r="B49" s="34"/>
      <c r="C49" s="208">
        <v>36</v>
      </c>
      <c r="D49" s="49" t="s">
        <v>777</v>
      </c>
      <c r="E49" s="49" t="s">
        <v>1025</v>
      </c>
      <c r="F49" s="49"/>
      <c r="G49" s="49" t="s">
        <v>132</v>
      </c>
      <c r="H49" s="49" t="s">
        <v>1026</v>
      </c>
      <c r="I49" s="49" t="s">
        <v>1027</v>
      </c>
      <c r="J49" s="49" t="s">
        <v>1028</v>
      </c>
      <c r="K49" s="49" t="s">
        <v>1026</v>
      </c>
      <c r="L49" s="49" t="s">
        <v>1026</v>
      </c>
      <c r="M49" s="205"/>
      <c r="N49" s="205"/>
      <c r="O49" s="49" t="s">
        <v>1029</v>
      </c>
      <c r="P49" s="54"/>
    </row>
    <row r="50" spans="1:16" ht="78" customHeight="1">
      <c r="A50" s="34"/>
      <c r="B50" s="34"/>
      <c r="C50" s="208">
        <v>37</v>
      </c>
      <c r="D50" s="49" t="s">
        <v>784</v>
      </c>
      <c r="E50" s="49" t="s">
        <v>1030</v>
      </c>
      <c r="F50" s="49"/>
      <c r="G50" s="49" t="s">
        <v>929</v>
      </c>
      <c r="H50" s="49" t="s">
        <v>904</v>
      </c>
      <c r="I50" s="49" t="s">
        <v>1031</v>
      </c>
      <c r="J50" s="49" t="s">
        <v>1032</v>
      </c>
      <c r="K50" s="49" t="s">
        <v>904</v>
      </c>
      <c r="L50" s="49" t="s">
        <v>908</v>
      </c>
      <c r="M50" s="205"/>
      <c r="N50" s="205"/>
      <c r="O50" s="49" t="s">
        <v>1033</v>
      </c>
      <c r="P50" s="54"/>
    </row>
    <row r="51" spans="1:16" ht="78" customHeight="1">
      <c r="A51" s="34"/>
      <c r="B51" s="34"/>
      <c r="C51" s="209">
        <v>38</v>
      </c>
      <c r="D51" s="49" t="s">
        <v>784</v>
      </c>
      <c r="E51" s="49" t="s">
        <v>1030</v>
      </c>
      <c r="F51" s="49"/>
      <c r="G51" s="49" t="s">
        <v>132</v>
      </c>
      <c r="H51" s="49" t="s">
        <v>904</v>
      </c>
      <c r="I51" s="49" t="s">
        <v>1034</v>
      </c>
      <c r="J51" s="49" t="s">
        <v>1035</v>
      </c>
      <c r="K51" s="49" t="s">
        <v>904</v>
      </c>
      <c r="L51" s="49" t="s">
        <v>908</v>
      </c>
      <c r="M51" s="205"/>
      <c r="N51" s="205"/>
      <c r="O51" s="49" t="s">
        <v>1033</v>
      </c>
      <c r="P51" s="54"/>
    </row>
    <row r="52" spans="1:16" ht="78" customHeight="1">
      <c r="A52" s="34"/>
      <c r="B52" s="34"/>
      <c r="C52" s="208">
        <v>39</v>
      </c>
      <c r="D52" s="49" t="s">
        <v>784</v>
      </c>
      <c r="E52" s="49" t="s">
        <v>1030</v>
      </c>
      <c r="F52" s="49"/>
      <c r="G52" s="49" t="s">
        <v>929</v>
      </c>
      <c r="H52" s="49" t="s">
        <v>904</v>
      </c>
      <c r="I52" s="49" t="s">
        <v>1036</v>
      </c>
      <c r="J52" s="49" t="s">
        <v>1037</v>
      </c>
      <c r="K52" s="49" t="s">
        <v>904</v>
      </c>
      <c r="L52" s="49" t="s">
        <v>908</v>
      </c>
      <c r="M52" s="205"/>
      <c r="N52" s="205"/>
      <c r="O52" s="49" t="s">
        <v>1033</v>
      </c>
      <c r="P52" s="54"/>
    </row>
    <row r="53" spans="1:16" ht="78" customHeight="1">
      <c r="A53" s="34"/>
      <c r="B53" s="34"/>
      <c r="C53" s="208">
        <v>40</v>
      </c>
      <c r="D53" s="49" t="s">
        <v>131</v>
      </c>
      <c r="E53" s="49" t="s">
        <v>1038</v>
      </c>
      <c r="F53" s="49"/>
      <c r="G53" s="49" t="s">
        <v>929</v>
      </c>
      <c r="H53" s="49" t="s">
        <v>138</v>
      </c>
      <c r="I53" s="49" t="s">
        <v>1039</v>
      </c>
      <c r="J53" s="49" t="s">
        <v>1040</v>
      </c>
      <c r="K53" s="49" t="s">
        <v>1041</v>
      </c>
      <c r="L53" s="49" t="s">
        <v>1042</v>
      </c>
      <c r="M53" s="205"/>
      <c r="N53" s="205"/>
      <c r="O53" s="49" t="s">
        <v>1043</v>
      </c>
      <c r="P53" s="54"/>
    </row>
    <row r="54" spans="1:16" ht="78" customHeight="1">
      <c r="A54" s="34"/>
      <c r="B54" s="34"/>
      <c r="C54" s="208">
        <v>41</v>
      </c>
      <c r="D54" s="49" t="s">
        <v>794</v>
      </c>
      <c r="E54" s="49"/>
      <c r="F54" s="49"/>
      <c r="G54" s="49" t="s">
        <v>929</v>
      </c>
      <c r="H54" s="49" t="s">
        <v>1044</v>
      </c>
      <c r="I54" s="49" t="s">
        <v>1045</v>
      </c>
      <c r="J54" s="49" t="s">
        <v>1046</v>
      </c>
      <c r="K54" s="49" t="s">
        <v>1047</v>
      </c>
      <c r="L54" s="49" t="s">
        <v>1047</v>
      </c>
      <c r="M54" s="205"/>
      <c r="N54" s="205"/>
      <c r="O54" s="49" t="s">
        <v>1048</v>
      </c>
      <c r="P54" s="54"/>
    </row>
    <row r="55" spans="1:16" ht="78" customHeight="1">
      <c r="A55" s="34"/>
      <c r="B55" s="34"/>
      <c r="C55" s="208">
        <v>42</v>
      </c>
      <c r="D55" s="49"/>
      <c r="E55" s="49" t="s">
        <v>794</v>
      </c>
      <c r="F55" s="49"/>
      <c r="G55" s="49">
        <v>3</v>
      </c>
      <c r="H55" s="49" t="s">
        <v>132</v>
      </c>
      <c r="I55" s="49" t="s">
        <v>1044</v>
      </c>
      <c r="J55" s="49" t="s">
        <v>1049</v>
      </c>
      <c r="K55" s="49" t="s">
        <v>1050</v>
      </c>
      <c r="L55" s="49" t="s">
        <v>1047</v>
      </c>
      <c r="M55" s="205"/>
      <c r="N55" s="205"/>
      <c r="O55" s="49" t="s">
        <v>1047</v>
      </c>
      <c r="P55" s="54"/>
    </row>
    <row r="56" spans="1:16" ht="78" customHeight="1">
      <c r="A56" s="34"/>
      <c r="B56" s="34"/>
      <c r="C56" s="209">
        <v>43</v>
      </c>
      <c r="D56" s="49"/>
      <c r="E56" s="49" t="s">
        <v>780</v>
      </c>
      <c r="F56" s="49"/>
      <c r="G56" s="49">
        <v>2</v>
      </c>
      <c r="H56" s="49" t="s">
        <v>929</v>
      </c>
      <c r="I56" s="49" t="s">
        <v>1051</v>
      </c>
      <c r="J56" s="49" t="s">
        <v>1052</v>
      </c>
      <c r="K56" s="49" t="s">
        <v>1053</v>
      </c>
      <c r="L56" s="49" t="s">
        <v>1054</v>
      </c>
      <c r="M56" s="205"/>
      <c r="N56" s="205"/>
      <c r="O56" s="49" t="s">
        <v>1055</v>
      </c>
      <c r="P56" s="54"/>
    </row>
    <row r="57" spans="1:16" ht="78" customHeight="1">
      <c r="A57" s="34"/>
      <c r="B57" s="34"/>
      <c r="C57" s="208">
        <v>44</v>
      </c>
      <c r="D57" s="49"/>
      <c r="E57" s="49" t="s">
        <v>823</v>
      </c>
      <c r="F57" s="49"/>
      <c r="G57" s="49">
        <v>750</v>
      </c>
      <c r="H57" s="49" t="s">
        <v>1056</v>
      </c>
      <c r="I57" s="49" t="s">
        <v>931</v>
      </c>
      <c r="J57" s="49" t="s">
        <v>1057</v>
      </c>
      <c r="K57" s="49" t="s">
        <v>1058</v>
      </c>
      <c r="L57" s="49" t="s">
        <v>934</v>
      </c>
      <c r="M57" s="205"/>
      <c r="N57" s="205"/>
      <c r="O57" s="49" t="s">
        <v>920</v>
      </c>
      <c r="P57" s="54"/>
    </row>
    <row r="58" spans="1:16" ht="78" customHeight="1">
      <c r="A58" s="34"/>
      <c r="B58" s="34"/>
      <c r="C58" s="208">
        <v>45</v>
      </c>
      <c r="D58" s="49"/>
      <c r="E58" s="49" t="s">
        <v>818</v>
      </c>
      <c r="F58" s="49"/>
      <c r="G58" s="49">
        <v>1</v>
      </c>
      <c r="H58" s="49" t="s">
        <v>232</v>
      </c>
      <c r="I58" s="49" t="s">
        <v>1059</v>
      </c>
      <c r="J58" s="49" t="s">
        <v>1060</v>
      </c>
      <c r="K58" s="49" t="s">
        <v>1061</v>
      </c>
      <c r="L58" s="49" t="s">
        <v>1059</v>
      </c>
      <c r="M58" s="205"/>
      <c r="N58" s="205"/>
      <c r="O58" s="49" t="s">
        <v>1062</v>
      </c>
      <c r="P58" s="54"/>
    </row>
    <row r="59" spans="1:16" ht="78" customHeight="1">
      <c r="A59" s="34"/>
      <c r="B59" s="34"/>
      <c r="C59" s="208">
        <v>46</v>
      </c>
      <c r="D59" s="49"/>
      <c r="E59" s="49" t="s">
        <v>845</v>
      </c>
      <c r="F59" s="49"/>
      <c r="G59" s="49">
        <v>1</v>
      </c>
      <c r="H59" s="49" t="s">
        <v>1063</v>
      </c>
      <c r="I59" s="49" t="s">
        <v>1064</v>
      </c>
      <c r="J59" s="49" t="s">
        <v>1065</v>
      </c>
      <c r="K59" s="49" t="s">
        <v>1066</v>
      </c>
      <c r="L59" s="49" t="s">
        <v>1067</v>
      </c>
      <c r="M59" s="205"/>
      <c r="N59" s="205"/>
      <c r="O59" s="49" t="s">
        <v>1068</v>
      </c>
      <c r="P59" s="54"/>
    </row>
    <row r="60" spans="1:16" ht="78" customHeight="1">
      <c r="A60" s="34"/>
      <c r="B60" s="34"/>
      <c r="C60" s="208">
        <v>47</v>
      </c>
      <c r="D60" s="49"/>
      <c r="E60" s="49" t="s">
        <v>826</v>
      </c>
      <c r="F60" s="49"/>
      <c r="G60" s="49">
        <v>180</v>
      </c>
      <c r="H60" s="49" t="s">
        <v>132</v>
      </c>
      <c r="I60" s="49" t="s">
        <v>922</v>
      </c>
      <c r="J60" s="49" t="s">
        <v>1069</v>
      </c>
      <c r="K60" s="49" t="s">
        <v>928</v>
      </c>
      <c r="L60" s="49" t="s">
        <v>925</v>
      </c>
      <c r="M60" s="205"/>
      <c r="N60" s="205"/>
      <c r="O60" s="49" t="s">
        <v>925</v>
      </c>
      <c r="P60" s="54"/>
    </row>
    <row r="61" spans="1:16" ht="78" customHeight="1">
      <c r="A61" s="34"/>
      <c r="B61" s="34"/>
      <c r="C61" s="209">
        <v>48</v>
      </c>
      <c r="D61" s="49"/>
      <c r="E61" s="49" t="s">
        <v>828</v>
      </c>
      <c r="F61" s="49"/>
      <c r="G61" s="49">
        <v>160</v>
      </c>
      <c r="H61" s="49" t="s">
        <v>132</v>
      </c>
      <c r="I61" s="49" t="s">
        <v>1070</v>
      </c>
      <c r="J61" s="49" t="s">
        <v>1071</v>
      </c>
      <c r="K61" s="49" t="s">
        <v>1072</v>
      </c>
      <c r="L61" s="49" t="s">
        <v>1073</v>
      </c>
      <c r="M61" s="205"/>
      <c r="N61" s="205"/>
      <c r="O61" s="49" t="s">
        <v>957</v>
      </c>
      <c r="P61" s="54"/>
    </row>
    <row r="62" spans="1:16" ht="78" customHeight="1">
      <c r="A62" s="34"/>
      <c r="B62" s="34"/>
      <c r="C62" s="208">
        <v>49</v>
      </c>
      <c r="D62" s="49"/>
      <c r="E62" s="49" t="s">
        <v>855</v>
      </c>
      <c r="F62" s="49"/>
      <c r="G62" s="49">
        <v>2</v>
      </c>
      <c r="H62" s="49" t="s">
        <v>132</v>
      </c>
      <c r="I62" s="49" t="s">
        <v>1000</v>
      </c>
      <c r="J62" s="49" t="s">
        <v>1074</v>
      </c>
      <c r="K62" s="49" t="s">
        <v>1002</v>
      </c>
      <c r="L62" s="49" t="s">
        <v>1000</v>
      </c>
      <c r="M62" s="205"/>
      <c r="N62" s="205"/>
      <c r="O62" s="49" t="s">
        <v>957</v>
      </c>
      <c r="P62" s="54"/>
    </row>
    <row r="63" spans="1:16" ht="14.25" customHeight="1"/>
    <row r="64" spans="1: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sheetData>
  <mergeCells count="6">
    <mergeCell ref="D6:M6"/>
    <mergeCell ref="A12:O12"/>
    <mergeCell ref="O2:O3"/>
    <mergeCell ref="O4:O5"/>
    <mergeCell ref="A2:D5"/>
    <mergeCell ref="E2:N5"/>
  </mergeCells>
  <dataValidations count="2">
    <dataValidation type="custom" allowBlank="1" showErrorMessage="1" sqref="O50 O19:O24 O28:O32 O37:O38 O40:O44 O14" xr:uid="{00000000-0002-0000-0200-000000000000}">
      <formula1>LT(LEN(O14),(450))</formula1>
    </dataValidation>
    <dataValidation type="decimal" allowBlank="1" showErrorMessage="1" sqref="M35:N50 M14:N33" xr:uid="{00000000-0002-0000-0200-000003000000}">
      <formula1>0</formula1>
      <formula2>1E+21</formula2>
    </dataValidation>
  </dataValidations>
  <pageMargins left="0.70866141732283505" right="0.70866141732283505" top="1.1811023622047201" bottom="1.1811023622047201" header="0" footer="0"/>
  <pageSetup fitToHeight="0" orientation="landscape"/>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INDIRECT(Bienes!$A$1)</xm:f>
          </x14:formula1>
          <xm:sqref>D14:D15 D18:D33 D35:D50</xm:sqref>
        </x14:dataValidation>
        <x14:dataValidation type="list" allowBlank="1" showErrorMessage="1" xr:uid="{00000000-0002-0000-0200-000002000000}">
          <x14:formula1>
            <xm:f>Listas2!$D$37:$D$41</xm:f>
          </x14:formula1>
          <xm:sqref>G14:G15 G18:G33 G35:G50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topLeftCell="A24" zoomScale="85" zoomScaleNormal="85" workbookViewId="0">
      <selection activeCell="E13" sqref="E13"/>
    </sheetView>
  </sheetViews>
  <sheetFormatPr baseColWidth="10" defaultColWidth="14.44140625" defaultRowHeight="15" customHeight="1"/>
  <cols>
    <col min="1" max="1" width="7.6640625" customWidth="1"/>
    <col min="2" max="2" width="34.44140625" customWidth="1"/>
    <col min="3" max="3" width="23.109375" customWidth="1"/>
    <col min="4" max="4" width="44.88671875" customWidth="1"/>
    <col min="5" max="5" width="18.109375" customWidth="1"/>
    <col min="6" max="6" width="20.33203125" customWidth="1"/>
    <col min="7" max="7" width="5.109375" customWidth="1"/>
    <col min="8" max="26" width="11.44140625" customWidth="1"/>
  </cols>
  <sheetData>
    <row r="1" spans="1:26"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24" customHeight="1">
      <c r="A2" s="184"/>
      <c r="B2" s="133"/>
      <c r="C2" s="131" t="s">
        <v>0</v>
      </c>
      <c r="D2" s="132"/>
      <c r="E2" s="133"/>
      <c r="F2" s="197" t="s">
        <v>1</v>
      </c>
      <c r="G2" s="16"/>
      <c r="H2" s="17"/>
      <c r="I2" s="17"/>
      <c r="J2" s="17"/>
      <c r="K2" s="17"/>
      <c r="L2" s="17"/>
      <c r="M2" s="17"/>
      <c r="N2" s="17"/>
      <c r="O2" s="17"/>
      <c r="P2" s="17"/>
      <c r="Q2" s="17"/>
      <c r="R2" s="17"/>
      <c r="S2" s="17"/>
      <c r="T2" s="17"/>
      <c r="U2" s="17"/>
      <c r="V2" s="27"/>
      <c r="W2" s="28"/>
      <c r="X2" s="28"/>
      <c r="Y2" s="28"/>
      <c r="Z2" s="27"/>
    </row>
    <row r="3" spans="1:26" ht="20.25" customHeight="1">
      <c r="A3" s="134"/>
      <c r="B3" s="135"/>
      <c r="C3" s="134"/>
      <c r="D3" s="104"/>
      <c r="E3" s="135"/>
      <c r="F3" s="198"/>
      <c r="G3" s="16"/>
      <c r="H3" s="17"/>
      <c r="I3" s="17"/>
      <c r="J3" s="17"/>
      <c r="K3" s="17"/>
      <c r="L3" s="17"/>
      <c r="M3" s="17"/>
      <c r="N3" s="17"/>
      <c r="O3" s="17"/>
      <c r="P3" s="17"/>
      <c r="Q3" s="17"/>
      <c r="R3" s="17"/>
      <c r="S3" s="17"/>
      <c r="T3" s="17"/>
      <c r="U3" s="17"/>
      <c r="V3" s="27"/>
      <c r="W3" s="28"/>
      <c r="X3" s="28"/>
      <c r="Y3" s="28"/>
      <c r="Z3" s="27"/>
    </row>
    <row r="4" spans="1:26" ht="24.75" customHeight="1">
      <c r="A4" s="134"/>
      <c r="B4" s="135"/>
      <c r="C4" s="134"/>
      <c r="D4" s="104"/>
      <c r="E4" s="135"/>
      <c r="F4" s="197" t="s">
        <v>2</v>
      </c>
      <c r="G4" s="16"/>
      <c r="H4" s="17"/>
      <c r="I4" s="17"/>
      <c r="J4" s="17"/>
      <c r="K4" s="17"/>
      <c r="L4" s="17"/>
      <c r="M4" s="17"/>
      <c r="N4" s="17"/>
      <c r="O4" s="17"/>
      <c r="P4" s="17"/>
      <c r="Q4" s="17"/>
      <c r="R4" s="17"/>
      <c r="S4" s="17"/>
      <c r="T4" s="17"/>
      <c r="U4" s="17"/>
      <c r="V4" s="27"/>
      <c r="W4" s="28"/>
      <c r="X4" s="28"/>
      <c r="Y4" s="28"/>
      <c r="Z4" s="27"/>
    </row>
    <row r="5" spans="1:26" ht="27.75" customHeight="1">
      <c r="A5" s="136"/>
      <c r="B5" s="138"/>
      <c r="C5" s="136"/>
      <c r="D5" s="137"/>
      <c r="E5" s="138"/>
      <c r="F5" s="198"/>
      <c r="G5" s="16"/>
      <c r="H5" s="17"/>
      <c r="I5" s="17"/>
      <c r="J5" s="17"/>
      <c r="K5" s="17"/>
      <c r="L5" s="17"/>
      <c r="M5" s="17"/>
      <c r="N5" s="17"/>
      <c r="O5" s="17"/>
      <c r="P5" s="17"/>
      <c r="Q5" s="17"/>
      <c r="R5" s="17"/>
      <c r="S5" s="17"/>
      <c r="T5" s="17"/>
      <c r="U5" s="17"/>
      <c r="V5" s="27"/>
      <c r="W5" s="28"/>
      <c r="X5" s="28"/>
      <c r="Y5" s="28"/>
      <c r="Z5" s="27"/>
    </row>
    <row r="6" spans="1:26" ht="14.25" customHeight="1">
      <c r="A6" s="15"/>
      <c r="B6" s="57"/>
      <c r="C6" s="58"/>
      <c r="D6" s="58"/>
      <c r="E6" s="58"/>
      <c r="F6" s="58"/>
      <c r="G6" s="58"/>
      <c r="H6" s="58"/>
      <c r="I6" s="58"/>
      <c r="J6" s="58"/>
      <c r="K6" s="58"/>
      <c r="L6" s="15"/>
      <c r="M6" s="15"/>
      <c r="N6" s="15"/>
      <c r="O6" s="15"/>
      <c r="P6" s="15"/>
      <c r="Q6" s="15"/>
      <c r="R6" s="15"/>
      <c r="S6" s="15"/>
      <c r="T6" s="15"/>
      <c r="U6" s="15"/>
      <c r="V6" s="15"/>
      <c r="W6" s="15"/>
      <c r="X6" s="15"/>
      <c r="Y6" s="15"/>
      <c r="Z6" s="15"/>
    </row>
    <row r="7" spans="1:26" ht="14.25" customHeight="1"/>
    <row r="8" spans="1:26" ht="14.25" customHeight="1"/>
    <row r="9" spans="1:26" ht="14.25" customHeight="1"/>
    <row r="10" spans="1:26" ht="30" customHeight="1"/>
    <row r="11" spans="1:26" ht="59.25" customHeight="1">
      <c r="A11" s="59" t="s">
        <v>140</v>
      </c>
      <c r="B11" s="60"/>
      <c r="C11" s="60"/>
      <c r="D11" s="60"/>
      <c r="E11" s="60"/>
      <c r="F11" s="61"/>
    </row>
    <row r="12" spans="1:26" ht="14.25" customHeight="1">
      <c r="A12" s="18" t="s">
        <v>141</v>
      </c>
      <c r="B12" s="18" t="s">
        <v>142</v>
      </c>
      <c r="C12" s="19" t="s">
        <v>127</v>
      </c>
      <c r="D12" s="19" t="s">
        <v>143</v>
      </c>
      <c r="E12" s="19" t="s">
        <v>128</v>
      </c>
      <c r="F12" s="20" t="s">
        <v>129</v>
      </c>
    </row>
    <row r="13" spans="1:26" ht="267.60000000000002" customHeight="1">
      <c r="A13" s="201"/>
      <c r="B13" s="49" t="s">
        <v>897</v>
      </c>
      <c r="C13" s="49" t="s">
        <v>1076</v>
      </c>
      <c r="D13" s="49" t="s">
        <v>1077</v>
      </c>
      <c r="E13" s="50">
        <v>5920000</v>
      </c>
      <c r="F13" s="50">
        <v>1124800</v>
      </c>
    </row>
    <row r="14" spans="1:26" ht="78" customHeight="1">
      <c r="A14" s="199"/>
      <c r="B14" s="49" t="s">
        <v>1078</v>
      </c>
      <c r="C14" s="49" t="s">
        <v>1079</v>
      </c>
      <c r="D14" s="49" t="s">
        <v>1080</v>
      </c>
      <c r="E14" s="50">
        <v>5000000</v>
      </c>
      <c r="F14" s="50">
        <v>950000</v>
      </c>
    </row>
    <row r="15" spans="1:26" ht="135" customHeight="1">
      <c r="A15" s="199"/>
      <c r="B15" s="49" t="s">
        <v>881</v>
      </c>
      <c r="C15" s="49" t="s">
        <v>1081</v>
      </c>
      <c r="D15" s="49" t="s">
        <v>1082</v>
      </c>
      <c r="E15" s="50">
        <v>4600000</v>
      </c>
      <c r="F15" s="50">
        <v>874000</v>
      </c>
    </row>
    <row r="16" spans="1:26" ht="68.400000000000006" customHeight="1">
      <c r="A16" s="199"/>
      <c r="B16" s="49" t="s">
        <v>1078</v>
      </c>
      <c r="C16" s="49" t="s">
        <v>1083</v>
      </c>
      <c r="D16" s="49" t="s">
        <v>1084</v>
      </c>
      <c r="E16" s="50">
        <v>140675000</v>
      </c>
      <c r="F16" s="50">
        <v>26728250</v>
      </c>
    </row>
    <row r="17" spans="1:6" ht="94.2" customHeight="1">
      <c r="A17" s="199"/>
      <c r="B17" s="49" t="s">
        <v>889</v>
      </c>
      <c r="C17" s="49" t="s">
        <v>1085</v>
      </c>
      <c r="D17" s="49" t="s">
        <v>1086</v>
      </c>
      <c r="E17" s="50">
        <v>207359264</v>
      </c>
      <c r="F17" s="50">
        <v>39398260</v>
      </c>
    </row>
    <row r="18" spans="1:6" ht="112.2" customHeight="1">
      <c r="A18" s="199"/>
      <c r="B18" s="49" t="s">
        <v>1078</v>
      </c>
      <c r="C18" s="49" t="s">
        <v>1087</v>
      </c>
      <c r="D18" s="49" t="s">
        <v>1088</v>
      </c>
      <c r="E18" s="50">
        <v>3200000</v>
      </c>
      <c r="F18" s="50">
        <v>608000</v>
      </c>
    </row>
    <row r="19" spans="1:6" ht="79.2" customHeight="1">
      <c r="A19" s="199"/>
      <c r="B19" s="49" t="s">
        <v>886</v>
      </c>
      <c r="C19" s="49" t="s">
        <v>9</v>
      </c>
      <c r="D19" s="49" t="s">
        <v>1089</v>
      </c>
      <c r="E19" s="50">
        <v>280000000</v>
      </c>
      <c r="F19" s="50">
        <v>53200000</v>
      </c>
    </row>
    <row r="20" spans="1:6" ht="105" customHeight="1">
      <c r="A20" s="199"/>
      <c r="B20" s="49" t="s">
        <v>889</v>
      </c>
      <c r="C20" s="49" t="s">
        <v>9</v>
      </c>
      <c r="D20" s="49" t="s">
        <v>1090</v>
      </c>
      <c r="E20" s="50">
        <v>166000000</v>
      </c>
      <c r="F20" s="50">
        <v>31540000</v>
      </c>
    </row>
    <row r="21" spans="1:6" ht="93.6" customHeight="1">
      <c r="A21" s="199"/>
      <c r="B21" s="49" t="s">
        <v>881</v>
      </c>
      <c r="C21" s="49" t="s">
        <v>1091</v>
      </c>
      <c r="D21" s="49" t="s">
        <v>1092</v>
      </c>
      <c r="E21" s="50">
        <v>8749797</v>
      </c>
      <c r="F21" s="50">
        <v>1662461.43</v>
      </c>
    </row>
    <row r="22" spans="1:6" ht="117.6" customHeight="1">
      <c r="A22" s="199"/>
      <c r="B22" s="49" t="s">
        <v>882</v>
      </c>
      <c r="C22" s="49" t="s">
        <v>1091</v>
      </c>
      <c r="D22" s="49" t="s">
        <v>1093</v>
      </c>
      <c r="E22" s="50">
        <v>8843806</v>
      </c>
      <c r="F22" s="50">
        <v>1680323.14</v>
      </c>
    </row>
    <row r="23" spans="1:6" ht="104.4" customHeight="1">
      <c r="A23" s="199"/>
      <c r="B23" s="49" t="s">
        <v>881</v>
      </c>
      <c r="C23" s="49" t="s">
        <v>1091</v>
      </c>
      <c r="D23" s="49" t="s">
        <v>1094</v>
      </c>
      <c r="E23" s="50">
        <v>4484577</v>
      </c>
      <c r="F23" s="50">
        <v>852069.63</v>
      </c>
    </row>
    <row r="24" spans="1:6" ht="58.2" customHeight="1">
      <c r="A24" s="199"/>
      <c r="B24" s="49" t="s">
        <v>879</v>
      </c>
      <c r="C24" s="49" t="s">
        <v>1091</v>
      </c>
      <c r="D24" s="49" t="s">
        <v>1095</v>
      </c>
      <c r="E24" s="50">
        <v>23885239</v>
      </c>
      <c r="F24" s="50">
        <v>4538195.43</v>
      </c>
    </row>
    <row r="25" spans="1:6" ht="68.400000000000006" customHeight="1">
      <c r="A25" s="199"/>
      <c r="B25" s="49" t="s">
        <v>876</v>
      </c>
      <c r="C25" s="49" t="s">
        <v>1091</v>
      </c>
      <c r="D25" s="49" t="s">
        <v>1096</v>
      </c>
      <c r="E25" s="50">
        <v>9783895</v>
      </c>
      <c r="F25" s="50">
        <v>1858940.05</v>
      </c>
    </row>
    <row r="26" spans="1:6" ht="61.8" customHeight="1">
      <c r="A26" s="199"/>
      <c r="B26" s="49" t="s">
        <v>886</v>
      </c>
      <c r="C26" s="49" t="s">
        <v>1091</v>
      </c>
      <c r="D26" s="49" t="s">
        <v>1097</v>
      </c>
      <c r="E26" s="50">
        <v>15173742</v>
      </c>
      <c r="F26" s="50">
        <v>2883010.98</v>
      </c>
    </row>
    <row r="27" spans="1:6" ht="64.8" customHeight="1">
      <c r="A27" s="199"/>
      <c r="B27" s="49" t="s">
        <v>881</v>
      </c>
      <c r="C27" s="49" t="s">
        <v>1091</v>
      </c>
      <c r="D27" s="49" t="s">
        <v>1098</v>
      </c>
      <c r="E27" s="50">
        <v>4078944</v>
      </c>
      <c r="F27" s="50">
        <v>774999.36</v>
      </c>
    </row>
    <row r="28" spans="1:6" ht="86.4" customHeight="1">
      <c r="A28" s="200"/>
      <c r="B28" s="52" t="s">
        <v>1078</v>
      </c>
      <c r="C28" s="52" t="s">
        <v>9</v>
      </c>
      <c r="D28" s="52" t="s">
        <v>1099</v>
      </c>
      <c r="E28" s="53">
        <v>229992989</v>
      </c>
      <c r="F28" s="53">
        <v>43698667.899999999</v>
      </c>
    </row>
    <row r="29" spans="1:6" ht="14.25" customHeight="1">
      <c r="A29" s="22">
        <v>17</v>
      </c>
      <c r="B29" s="23"/>
      <c r="C29" s="23"/>
      <c r="D29" s="23"/>
      <c r="E29" s="24"/>
      <c r="F29" s="25"/>
    </row>
    <row r="30" spans="1:6" ht="14.25" customHeight="1">
      <c r="A30" s="22">
        <v>18</v>
      </c>
      <c r="B30" s="26"/>
      <c r="C30" s="26"/>
      <c r="D30" s="23"/>
      <c r="E30" s="24"/>
      <c r="F30" s="25"/>
    </row>
    <row r="31" spans="1:6" ht="14.25" customHeight="1">
      <c r="A31" s="22">
        <v>19</v>
      </c>
      <c r="B31" s="23"/>
      <c r="C31" s="23"/>
      <c r="D31" s="23"/>
      <c r="E31" s="24"/>
      <c r="F31" s="25"/>
    </row>
    <row r="32" spans="1:6" ht="14.25" customHeight="1">
      <c r="A32" s="22">
        <v>20</v>
      </c>
      <c r="B32" s="23"/>
      <c r="C32" s="23"/>
      <c r="D32" s="23"/>
      <c r="E32" s="24"/>
      <c r="F32" s="25"/>
    </row>
    <row r="33" spans="1:6" ht="14.25" customHeight="1">
      <c r="A33" s="22">
        <v>21</v>
      </c>
      <c r="B33" s="23"/>
      <c r="C33" s="23"/>
      <c r="D33" s="23"/>
      <c r="E33" s="24"/>
      <c r="F33" s="25"/>
    </row>
    <row r="34" spans="1:6" ht="14.25" customHeight="1">
      <c r="A34" s="22">
        <v>22</v>
      </c>
      <c r="B34" s="23"/>
      <c r="C34" s="23"/>
      <c r="D34" s="23"/>
      <c r="E34" s="24"/>
      <c r="F34" s="25"/>
    </row>
    <row r="35" spans="1:6" ht="14.25" customHeight="1">
      <c r="A35" s="22">
        <v>23</v>
      </c>
      <c r="B35" s="23"/>
      <c r="C35" s="23"/>
      <c r="D35" s="23"/>
      <c r="E35" s="24"/>
      <c r="F35" s="25"/>
    </row>
    <row r="36" spans="1:6" ht="14.25" customHeight="1">
      <c r="A36" s="22">
        <v>24</v>
      </c>
      <c r="B36" s="23"/>
      <c r="C36" s="23"/>
      <c r="D36" s="23"/>
      <c r="E36" s="24"/>
      <c r="F36" s="25"/>
    </row>
    <row r="37" spans="1:6" ht="14.25" customHeight="1">
      <c r="A37" s="22">
        <v>25</v>
      </c>
      <c r="B37" s="23"/>
      <c r="C37" s="23"/>
      <c r="D37" s="23"/>
      <c r="E37" s="24"/>
      <c r="F37" s="25"/>
    </row>
    <row r="38" spans="1:6" ht="14.25" customHeight="1">
      <c r="A38" s="22">
        <v>26</v>
      </c>
      <c r="B38" s="23"/>
      <c r="C38" s="23"/>
      <c r="D38" s="23"/>
      <c r="E38" s="24"/>
      <c r="F38" s="25"/>
    </row>
    <row r="39" spans="1:6" ht="14.25" customHeight="1">
      <c r="A39" s="22">
        <v>27</v>
      </c>
      <c r="B39" s="23"/>
      <c r="C39" s="23"/>
      <c r="D39" s="23"/>
      <c r="E39" s="24"/>
      <c r="F39" s="25"/>
    </row>
    <row r="40" spans="1:6" ht="14.25" customHeight="1">
      <c r="A40" s="22">
        <v>28</v>
      </c>
      <c r="B40" s="23"/>
      <c r="C40" s="23"/>
      <c r="D40" s="23"/>
      <c r="E40" s="24"/>
      <c r="F40" s="25"/>
    </row>
    <row r="41" spans="1:6" ht="14.25" customHeight="1">
      <c r="A41" s="22">
        <v>29</v>
      </c>
      <c r="B41" s="26"/>
      <c r="C41" s="26"/>
      <c r="D41" s="23"/>
      <c r="E41" s="24"/>
      <c r="F41" s="25"/>
    </row>
    <row r="42" spans="1:6" ht="14.25" customHeight="1">
      <c r="A42" s="22">
        <v>30</v>
      </c>
      <c r="B42" s="23"/>
      <c r="C42" s="23"/>
      <c r="D42" s="23"/>
      <c r="E42" s="24"/>
      <c r="F42" s="25"/>
    </row>
    <row r="43" spans="1:6" ht="14.25" customHeight="1">
      <c r="A43" s="22">
        <v>31</v>
      </c>
      <c r="B43" s="23"/>
      <c r="C43" s="23"/>
      <c r="D43" s="23"/>
      <c r="E43" s="24"/>
      <c r="F43" s="25"/>
    </row>
    <row r="44" spans="1:6" ht="14.25" customHeight="1">
      <c r="A44" s="22">
        <v>32</v>
      </c>
      <c r="B44" s="23"/>
      <c r="C44" s="23"/>
      <c r="D44" s="23"/>
      <c r="E44" s="24"/>
      <c r="F44" s="25"/>
    </row>
    <row r="45" spans="1:6" ht="14.25" customHeight="1">
      <c r="A45" s="22">
        <v>33</v>
      </c>
      <c r="B45" s="23"/>
      <c r="C45" s="23"/>
      <c r="D45" s="23"/>
      <c r="E45" s="24"/>
      <c r="F45" s="25"/>
    </row>
    <row r="46" spans="1:6" ht="14.25" customHeight="1">
      <c r="A46" s="22">
        <v>34</v>
      </c>
      <c r="B46" s="23"/>
      <c r="C46" s="23"/>
      <c r="D46" s="23"/>
      <c r="E46" s="24"/>
      <c r="F46" s="25"/>
    </row>
    <row r="47" spans="1:6" ht="14.25" customHeight="1">
      <c r="A47" s="22">
        <v>35</v>
      </c>
      <c r="B47" s="23"/>
      <c r="C47" s="23"/>
      <c r="D47" s="23"/>
      <c r="E47" s="24"/>
      <c r="F47" s="25"/>
    </row>
    <row r="48" spans="1:6" ht="14.25" customHeight="1">
      <c r="A48" s="22">
        <v>36</v>
      </c>
      <c r="B48" s="23"/>
      <c r="C48" s="23"/>
      <c r="D48" s="23"/>
      <c r="E48" s="24"/>
      <c r="F48" s="25"/>
    </row>
    <row r="49" spans="1:6" ht="14.25" customHeight="1">
      <c r="A49" s="22">
        <v>37</v>
      </c>
      <c r="B49" s="23"/>
      <c r="C49" s="23"/>
      <c r="D49" s="23"/>
      <c r="E49" s="24"/>
      <c r="F49" s="25"/>
    </row>
    <row r="50" spans="1:6" ht="14.25" customHeight="1">
      <c r="A50" s="22">
        <v>38</v>
      </c>
      <c r="B50" s="26"/>
      <c r="C50" s="26"/>
      <c r="D50" s="23"/>
      <c r="E50" s="24"/>
      <c r="F50" s="25"/>
    </row>
    <row r="51" spans="1:6" ht="14.25" customHeight="1">
      <c r="A51" s="22">
        <v>39</v>
      </c>
      <c r="B51" s="23"/>
      <c r="C51" s="23"/>
      <c r="D51" s="23"/>
      <c r="E51" s="24"/>
      <c r="F51" s="25"/>
    </row>
    <row r="52" spans="1:6" ht="14.25" customHeight="1">
      <c r="A52" s="22">
        <v>40</v>
      </c>
      <c r="B52" s="23"/>
      <c r="C52" s="23"/>
      <c r="D52" s="23"/>
      <c r="E52" s="24"/>
      <c r="F52" s="25"/>
    </row>
    <row r="53" spans="1:6" ht="14.25" customHeight="1">
      <c r="A53" s="22">
        <v>41</v>
      </c>
      <c r="B53" s="23"/>
      <c r="C53" s="23"/>
      <c r="D53" s="23"/>
      <c r="E53" s="24"/>
      <c r="F53" s="25"/>
    </row>
    <row r="54" spans="1:6" ht="14.25" customHeight="1">
      <c r="A54" s="22">
        <v>42</v>
      </c>
      <c r="B54" s="23"/>
      <c r="C54" s="23"/>
      <c r="D54" s="23"/>
      <c r="E54" s="24"/>
      <c r="F54" s="25"/>
    </row>
    <row r="55" spans="1:6" ht="14.25" customHeight="1">
      <c r="A55" s="22">
        <v>43</v>
      </c>
      <c r="B55" s="23"/>
      <c r="C55" s="23"/>
      <c r="D55" s="23"/>
      <c r="E55" s="24"/>
      <c r="F55" s="25"/>
    </row>
    <row r="56" spans="1:6" ht="14.25" customHeight="1">
      <c r="A56" s="22">
        <v>44</v>
      </c>
      <c r="B56" s="23"/>
      <c r="C56" s="23"/>
      <c r="D56" s="23"/>
      <c r="E56" s="24"/>
      <c r="F56" s="25"/>
    </row>
    <row r="57" spans="1:6" ht="14.25" customHeight="1">
      <c r="A57" s="22">
        <v>45</v>
      </c>
      <c r="B57" s="23"/>
      <c r="C57" s="23"/>
      <c r="D57" s="23"/>
      <c r="E57" s="24"/>
      <c r="F57" s="25"/>
    </row>
    <row r="58" spans="1:6" ht="14.25" customHeight="1">
      <c r="A58" s="22">
        <v>46</v>
      </c>
      <c r="B58" s="23"/>
      <c r="C58" s="23"/>
      <c r="D58" s="23"/>
      <c r="E58" s="24"/>
      <c r="F58" s="25"/>
    </row>
    <row r="59" spans="1:6" ht="14.25" customHeight="1">
      <c r="A59" s="22">
        <v>47</v>
      </c>
      <c r="B59" s="23"/>
      <c r="C59" s="23"/>
      <c r="D59" s="23"/>
      <c r="E59" s="24"/>
      <c r="F59" s="25"/>
    </row>
    <row r="60" spans="1:6" ht="14.25" customHeight="1">
      <c r="A60" s="22">
        <v>48</v>
      </c>
      <c r="B60" s="23"/>
      <c r="C60" s="23"/>
      <c r="D60" s="23"/>
      <c r="E60" s="24"/>
      <c r="F60" s="25"/>
    </row>
    <row r="61" spans="1:6" ht="14.25" customHeight="1">
      <c r="A61" s="22">
        <v>49</v>
      </c>
      <c r="B61" s="26"/>
      <c r="C61" s="26"/>
      <c r="D61" s="23"/>
      <c r="E61" s="24"/>
      <c r="F61" s="25"/>
    </row>
    <row r="62" spans="1:6" ht="14.25" customHeight="1">
      <c r="A62" s="22">
        <v>50</v>
      </c>
      <c r="B62" s="23"/>
      <c r="C62" s="23"/>
      <c r="D62" s="23"/>
      <c r="E62" s="24"/>
      <c r="F62" s="25"/>
    </row>
    <row r="63" spans="1:6" ht="14.25" customHeight="1">
      <c r="A63" s="22">
        <v>51</v>
      </c>
      <c r="B63" s="23"/>
      <c r="C63" s="23"/>
      <c r="D63" s="23"/>
      <c r="E63" s="24"/>
      <c r="F63" s="25"/>
    </row>
    <row r="64" spans="1:6" ht="14.25" customHeight="1">
      <c r="A64" s="22">
        <v>52</v>
      </c>
      <c r="B64" s="23"/>
      <c r="C64" s="23"/>
      <c r="D64" s="23"/>
      <c r="E64" s="24"/>
      <c r="F64" s="25"/>
    </row>
    <row r="65" spans="1:6" ht="14.25" customHeight="1">
      <c r="A65" s="22">
        <v>53</v>
      </c>
      <c r="B65" s="23"/>
      <c r="C65" s="23"/>
      <c r="D65" s="23"/>
      <c r="E65" s="24"/>
      <c r="F65" s="25"/>
    </row>
    <row r="66" spans="1:6" ht="14.25" customHeight="1">
      <c r="A66" s="22">
        <v>54</v>
      </c>
      <c r="B66" s="23"/>
      <c r="C66" s="23"/>
      <c r="D66" s="23"/>
      <c r="E66" s="24"/>
      <c r="F66" s="25"/>
    </row>
    <row r="67" spans="1:6" ht="14.25" customHeight="1">
      <c r="A67" s="22">
        <v>55</v>
      </c>
      <c r="B67" s="23"/>
      <c r="C67" s="23"/>
      <c r="D67" s="23"/>
      <c r="E67" s="24"/>
      <c r="F67" s="25"/>
    </row>
    <row r="68" spans="1:6" ht="14.25" customHeight="1">
      <c r="A68" s="22">
        <v>56</v>
      </c>
      <c r="B68" s="23"/>
      <c r="C68" s="23"/>
      <c r="D68" s="23"/>
      <c r="E68" s="24"/>
      <c r="F68" s="25"/>
    </row>
    <row r="69" spans="1:6" ht="14.25" customHeight="1">
      <c r="A69" s="22">
        <v>57</v>
      </c>
      <c r="B69" s="23"/>
      <c r="C69" s="23"/>
      <c r="D69" s="23"/>
      <c r="E69" s="24"/>
      <c r="F69" s="25"/>
    </row>
    <row r="70" spans="1:6" ht="14.25" customHeight="1">
      <c r="A70" s="22">
        <v>58</v>
      </c>
      <c r="B70" s="26"/>
      <c r="C70" s="26"/>
      <c r="D70" s="23"/>
      <c r="E70" s="24"/>
      <c r="F70" s="25"/>
    </row>
    <row r="71" spans="1:6" ht="14.25" customHeight="1">
      <c r="A71" s="22">
        <v>59</v>
      </c>
      <c r="B71" s="23"/>
      <c r="C71" s="23"/>
      <c r="D71" s="23"/>
      <c r="E71" s="24"/>
      <c r="F71" s="25"/>
    </row>
    <row r="72" spans="1:6" ht="14.25" customHeight="1">
      <c r="A72" s="22">
        <v>60</v>
      </c>
      <c r="B72" s="23"/>
      <c r="C72" s="23"/>
      <c r="D72" s="23"/>
      <c r="E72" s="24"/>
      <c r="F72" s="25"/>
    </row>
    <row r="73" spans="1:6" ht="14.25" customHeight="1">
      <c r="A73" s="22">
        <v>61</v>
      </c>
      <c r="B73" s="23"/>
      <c r="C73" s="23"/>
      <c r="D73" s="23"/>
      <c r="E73" s="24"/>
      <c r="F73" s="25"/>
    </row>
    <row r="74" spans="1:6" ht="14.25" customHeight="1">
      <c r="A74" s="22">
        <v>62</v>
      </c>
      <c r="B74" s="23"/>
      <c r="C74" s="23"/>
      <c r="D74" s="23"/>
      <c r="E74" s="24"/>
      <c r="F74" s="25"/>
    </row>
    <row r="75" spans="1:6" ht="14.25" customHeight="1">
      <c r="A75" s="22">
        <v>63</v>
      </c>
      <c r="B75" s="23"/>
      <c r="C75" s="23"/>
      <c r="D75" s="23"/>
      <c r="E75" s="24"/>
      <c r="F75" s="25"/>
    </row>
    <row r="76" spans="1:6" ht="14.25" customHeight="1">
      <c r="A76" s="22">
        <v>64</v>
      </c>
      <c r="B76" s="23"/>
      <c r="C76" s="23"/>
      <c r="D76" s="23"/>
      <c r="E76" s="24"/>
      <c r="F76" s="25"/>
    </row>
    <row r="77" spans="1:6" ht="14.25" customHeight="1">
      <c r="A77" s="22">
        <v>65</v>
      </c>
      <c r="B77" s="23"/>
      <c r="C77" s="23"/>
      <c r="D77" s="23"/>
      <c r="E77" s="24"/>
      <c r="F77" s="25"/>
    </row>
    <row r="78" spans="1:6" ht="14.25" customHeight="1">
      <c r="A78" s="22">
        <v>66</v>
      </c>
      <c r="B78" s="23"/>
      <c r="C78" s="23"/>
      <c r="D78" s="23"/>
      <c r="E78" s="24"/>
      <c r="F78" s="25"/>
    </row>
    <row r="79" spans="1:6" ht="14.25" customHeight="1">
      <c r="A79" s="22">
        <v>67</v>
      </c>
      <c r="B79" s="23"/>
      <c r="C79" s="23"/>
      <c r="D79" s="23"/>
      <c r="E79" s="24"/>
      <c r="F79" s="25"/>
    </row>
    <row r="80" spans="1:6" ht="14.25" customHeight="1">
      <c r="A80" s="22">
        <v>68</v>
      </c>
      <c r="B80" s="23"/>
      <c r="C80" s="23"/>
      <c r="D80" s="23"/>
      <c r="E80" s="24"/>
      <c r="F80" s="25"/>
    </row>
    <row r="81" spans="1:6" ht="14.25" customHeight="1">
      <c r="A81" s="22">
        <v>69</v>
      </c>
      <c r="B81" s="26"/>
      <c r="C81" s="26"/>
      <c r="D81" s="23"/>
      <c r="E81" s="24"/>
      <c r="F81" s="25"/>
    </row>
    <row r="82" spans="1:6" ht="14.25" customHeight="1">
      <c r="A82" s="29">
        <v>70</v>
      </c>
      <c r="B82" s="30"/>
      <c r="C82" s="30"/>
      <c r="D82" s="30"/>
      <c r="E82" s="31"/>
      <c r="F82" s="32"/>
    </row>
    <row r="83" spans="1:6" ht="14.25" customHeight="1"/>
    <row r="84" spans="1:6" ht="14.25" customHeight="1"/>
    <row r="85" spans="1:6" ht="14.25" customHeight="1"/>
    <row r="86" spans="1:6" ht="14.25" customHeight="1"/>
    <row r="87" spans="1:6" ht="14.25" customHeight="1"/>
    <row r="88" spans="1:6" ht="14.25" customHeight="1"/>
    <row r="89" spans="1:6" ht="14.25" customHeight="1"/>
    <row r="90" spans="1:6" ht="14.25" customHeight="1"/>
    <row r="91" spans="1:6" ht="14.25" customHeight="1"/>
    <row r="92" spans="1:6" ht="14.25" customHeight="1"/>
    <row r="93" spans="1:6" ht="14.25" customHeight="1"/>
    <row r="94" spans="1:6" ht="14.25" customHeight="1"/>
    <row r="95" spans="1:6" ht="14.25" customHeight="1"/>
    <row r="96" spans="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6:K6"/>
    <mergeCell ref="A11:F11"/>
    <mergeCell ref="F2:F3"/>
    <mergeCell ref="F4:F5"/>
    <mergeCell ref="A2:B5"/>
    <mergeCell ref="C2:E5"/>
  </mergeCells>
  <dataValidations count="1">
    <dataValidation type="decimal" allowBlank="1" showInputMessage="1" showErrorMessage="1" prompt="Sólo se admiten números" sqref="E13:F82" xr:uid="{00000000-0002-0000-0300-000001000000}">
      <formula1>0</formula1>
      <formula2>1E+21</formula2>
    </dataValidation>
  </dataValidations>
  <pageMargins left="0.70866141732283505" right="0.70866141732283505" top="1.3720000000000001" bottom="1.1811023622047201" header="0" footer="0"/>
  <pageSetup fitToHeight="0" orientation="landscape"/>
  <headerFooter>
    <oddFooter>&amp;LPág. &amp;P &amp;CUPME - Av. Calle 26 # 69 D-91 Torre 1, Piso 9° Bogotá D.C. Colombia PBX: +57 601 222 06 01 Línea Gratuita Nacional: 01 8000 91 17 29 Sede electrónica 0070C0http://www.upme.gov.co&amp;RF-MC-01</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INDIRECT(Servicios!$A$1)</xm:f>
          </x14:formula1>
          <xm:sqref>B13:B82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1000"/>
  <sheetViews>
    <sheetView workbookViewId="0"/>
  </sheetViews>
  <sheetFormatPr baseColWidth="10" defaultColWidth="14.44140625" defaultRowHeight="15" customHeight="1"/>
  <cols>
    <col min="1" max="1" width="15.5546875" customWidth="1"/>
    <col min="2" max="2" width="31.5546875" customWidth="1"/>
    <col min="3" max="3" width="12.5546875" customWidth="1"/>
    <col min="4" max="4" width="45.6640625" customWidth="1"/>
    <col min="5" max="5" width="11.5546875" customWidth="1"/>
    <col min="6" max="6" width="45.5546875" customWidth="1"/>
    <col min="7" max="7" width="11.5546875" customWidth="1"/>
    <col min="8" max="8" width="32.6640625" customWidth="1"/>
    <col min="9" max="9" width="26.44140625" customWidth="1"/>
    <col min="10" max="10" width="59.5546875" customWidth="1"/>
    <col min="11" max="26" width="11.5546875" customWidth="1"/>
  </cols>
  <sheetData>
    <row r="1" spans="2:10" ht="14.25" customHeight="1"/>
    <row r="2" spans="2:10" ht="14.25" customHeight="1"/>
    <row r="3" spans="2:10" ht="14.25" customHeight="1"/>
    <row r="4" spans="2:10" ht="14.25" customHeight="1">
      <c r="B4" s="9" t="s">
        <v>144</v>
      </c>
      <c r="D4" s="9" t="s">
        <v>145</v>
      </c>
      <c r="F4" s="9" t="s">
        <v>146</v>
      </c>
      <c r="H4" s="9" t="s">
        <v>147</v>
      </c>
      <c r="J4" s="9" t="s">
        <v>148</v>
      </c>
    </row>
    <row r="5" spans="2:10" ht="14.25" customHeight="1">
      <c r="B5" s="4" t="s">
        <v>16</v>
      </c>
      <c r="D5" s="4" t="s">
        <v>149</v>
      </c>
      <c r="F5" s="4" t="s">
        <v>150</v>
      </c>
      <c r="H5" s="4" t="s">
        <v>151</v>
      </c>
      <c r="J5" s="14"/>
    </row>
    <row r="6" spans="2:10" ht="14.25" customHeight="1">
      <c r="D6" s="4" t="s">
        <v>17</v>
      </c>
      <c r="F6" s="4" t="s">
        <v>151</v>
      </c>
      <c r="H6" s="4" t="s">
        <v>152</v>
      </c>
      <c r="J6" s="4" t="s">
        <v>153</v>
      </c>
    </row>
    <row r="7" spans="2:10" ht="14.25" customHeight="1">
      <c r="D7" s="4" t="s">
        <v>154</v>
      </c>
      <c r="F7" s="4" t="s">
        <v>155</v>
      </c>
      <c r="H7" s="4" t="s">
        <v>156</v>
      </c>
      <c r="J7" s="4" t="s">
        <v>22</v>
      </c>
    </row>
    <row r="8" spans="2:10" ht="14.25" customHeight="1">
      <c r="D8" s="4" t="s">
        <v>157</v>
      </c>
      <c r="F8" s="4" t="s">
        <v>158</v>
      </c>
      <c r="H8" s="4" t="s">
        <v>159</v>
      </c>
      <c r="J8" s="4" t="s">
        <v>160</v>
      </c>
    </row>
    <row r="9" spans="2:10" ht="14.25" customHeight="1">
      <c r="F9" s="4" t="s">
        <v>161</v>
      </c>
      <c r="H9" s="4" t="s">
        <v>162</v>
      </c>
      <c r="J9" s="4" t="s">
        <v>163</v>
      </c>
    </row>
    <row r="10" spans="2:10" ht="14.25" customHeight="1">
      <c r="B10" s="9" t="s">
        <v>164</v>
      </c>
      <c r="F10" s="4" t="s">
        <v>165</v>
      </c>
      <c r="J10" s="4" t="s">
        <v>166</v>
      </c>
    </row>
    <row r="11" spans="2:10" ht="14.25" customHeight="1">
      <c r="B11" s="4" t="s">
        <v>167</v>
      </c>
      <c r="D11" s="9" t="s">
        <v>168</v>
      </c>
      <c r="F11" s="4" t="s">
        <v>169</v>
      </c>
      <c r="H11" s="10"/>
      <c r="J11" s="4" t="s">
        <v>170</v>
      </c>
    </row>
    <row r="12" spans="2:10" ht="14.25" customHeight="1">
      <c r="B12" s="4" t="s">
        <v>171</v>
      </c>
      <c r="D12" s="11" t="s">
        <v>172</v>
      </c>
      <c r="F12" s="4" t="s">
        <v>173</v>
      </c>
      <c r="H12" s="9"/>
      <c r="J12" s="4" t="s">
        <v>174</v>
      </c>
    </row>
    <row r="13" spans="2:10" ht="14.25" customHeight="1">
      <c r="B13" s="4" t="s">
        <v>79</v>
      </c>
      <c r="D13" s="12" t="s">
        <v>175</v>
      </c>
      <c r="F13" s="4" t="s">
        <v>157</v>
      </c>
      <c r="H13" s="4"/>
      <c r="J13" s="4" t="s">
        <v>176</v>
      </c>
    </row>
    <row r="14" spans="2:10" ht="14.25" customHeight="1">
      <c r="D14" s="12" t="s">
        <v>177</v>
      </c>
      <c r="F14" s="10"/>
      <c r="J14" s="4" t="s">
        <v>178</v>
      </c>
    </row>
    <row r="15" spans="2:10" ht="14.25" customHeight="1">
      <c r="B15" s="10"/>
      <c r="D15" s="12" t="s">
        <v>103</v>
      </c>
      <c r="F15" s="9"/>
      <c r="H15" s="10"/>
      <c r="J15" s="4" t="s">
        <v>179</v>
      </c>
    </row>
    <row r="16" spans="2:10" ht="14.25" customHeight="1">
      <c r="D16" s="12" t="s">
        <v>180</v>
      </c>
      <c r="F16" s="4"/>
      <c r="H16" s="9" t="s">
        <v>181</v>
      </c>
      <c r="J16" s="4" t="s">
        <v>182</v>
      </c>
    </row>
    <row r="17" spans="2:10" ht="14.25" customHeight="1">
      <c r="H17" s="4" t="s">
        <v>183</v>
      </c>
      <c r="J17" s="4" t="s">
        <v>184</v>
      </c>
    </row>
    <row r="18" spans="2:10" ht="14.25" customHeight="1">
      <c r="B18" s="9" t="s">
        <v>80</v>
      </c>
      <c r="F18" s="10"/>
      <c r="H18" s="4"/>
      <c r="J18" s="4" t="s">
        <v>185</v>
      </c>
    </row>
    <row r="19" spans="2:10" ht="14.25" customHeight="1">
      <c r="B19" s="4" t="s">
        <v>186</v>
      </c>
      <c r="D19" s="9" t="s">
        <v>187</v>
      </c>
      <c r="F19" s="9" t="s">
        <v>188</v>
      </c>
      <c r="J19" s="4" t="s">
        <v>189</v>
      </c>
    </row>
    <row r="20" spans="2:10" ht="14.25" customHeight="1">
      <c r="B20" s="4" t="s">
        <v>183</v>
      </c>
      <c r="D20" s="4" t="s">
        <v>186</v>
      </c>
      <c r="F20" s="4" t="s">
        <v>190</v>
      </c>
      <c r="H20" s="10"/>
      <c r="J20" s="4" t="s">
        <v>191</v>
      </c>
    </row>
    <row r="21" spans="2:10" ht="14.25" customHeight="1">
      <c r="B21" s="4" t="s">
        <v>192</v>
      </c>
      <c r="D21" s="4" t="s">
        <v>183</v>
      </c>
      <c r="H21" s="9" t="s">
        <v>193</v>
      </c>
      <c r="J21" s="4" t="s">
        <v>194</v>
      </c>
    </row>
    <row r="22" spans="2:10" ht="14.25" customHeight="1">
      <c r="B22" s="4" t="s">
        <v>195</v>
      </c>
      <c r="D22" s="4" t="s">
        <v>192</v>
      </c>
      <c r="F22" s="10"/>
      <c r="H22" s="4" t="s">
        <v>196</v>
      </c>
      <c r="J22" s="4" t="s">
        <v>197</v>
      </c>
    </row>
    <row r="23" spans="2:10" ht="14.25" customHeight="1">
      <c r="B23" s="4" t="s">
        <v>81</v>
      </c>
      <c r="D23" s="4" t="s">
        <v>195</v>
      </c>
      <c r="F23" s="9" t="s">
        <v>198</v>
      </c>
      <c r="H23" s="4" t="s">
        <v>199</v>
      </c>
      <c r="J23" s="4" t="s">
        <v>200</v>
      </c>
    </row>
    <row r="24" spans="2:10" ht="14.25" customHeight="1">
      <c r="D24" s="4" t="s">
        <v>81</v>
      </c>
      <c r="F24" s="4" t="s">
        <v>201</v>
      </c>
      <c r="H24" s="4" t="s">
        <v>202</v>
      </c>
      <c r="J24" s="4" t="s">
        <v>203</v>
      </c>
    </row>
    <row r="25" spans="2:10" ht="14.25" customHeight="1">
      <c r="H25" s="4"/>
      <c r="J25" s="4" t="s">
        <v>204</v>
      </c>
    </row>
    <row r="26" spans="2:10" ht="14.25" customHeight="1">
      <c r="B26" t="str">
        <f>CONCATENATE("TEC_",'FORMATO 2'!$F$20)</f>
        <v>TEC_Solar</v>
      </c>
      <c r="F26" s="10"/>
      <c r="J26" s="4" t="s">
        <v>205</v>
      </c>
    </row>
    <row r="27" spans="2:10" ht="14.25" customHeight="1">
      <c r="B27" t="str">
        <f>CONCATENATE("REC_",'FORMATO 2'!$F$20)</f>
        <v>REC_Solar</v>
      </c>
      <c r="F27" s="9" t="s">
        <v>206</v>
      </c>
      <c r="H27" s="10"/>
      <c r="J27" s="4" t="s">
        <v>207</v>
      </c>
    </row>
    <row r="28" spans="2:10" ht="14.25" customHeight="1">
      <c r="D28" s="9" t="s">
        <v>208</v>
      </c>
      <c r="F28" s="4" t="s">
        <v>209</v>
      </c>
      <c r="H28" s="9" t="s">
        <v>210</v>
      </c>
      <c r="J28" s="4" t="s">
        <v>211</v>
      </c>
    </row>
    <row r="29" spans="2:10" ht="14.25" customHeight="1">
      <c r="D29" s="13" t="s">
        <v>212</v>
      </c>
      <c r="H29" s="4" t="s">
        <v>213</v>
      </c>
      <c r="J29" s="4" t="s">
        <v>214</v>
      </c>
    </row>
    <row r="30" spans="2:10" ht="14.25" customHeight="1">
      <c r="D30" s="13" t="s">
        <v>215</v>
      </c>
      <c r="F30" s="10"/>
      <c r="H30" s="4" t="s">
        <v>216</v>
      </c>
      <c r="J30" s="4" t="s">
        <v>217</v>
      </c>
    </row>
    <row r="31" spans="2:10" ht="14.25" customHeight="1">
      <c r="D31" s="13" t="s">
        <v>218</v>
      </c>
      <c r="F31" s="9" t="s">
        <v>219</v>
      </c>
      <c r="H31" s="4"/>
      <c r="J31" s="4" t="s">
        <v>220</v>
      </c>
    </row>
    <row r="32" spans="2:10" ht="14.25" customHeight="1">
      <c r="D32" s="13" t="s">
        <v>221</v>
      </c>
      <c r="F32" s="4" t="s">
        <v>83</v>
      </c>
      <c r="J32" s="4" t="s">
        <v>222</v>
      </c>
    </row>
    <row r="33" spans="4:22" ht="14.25" customHeight="1">
      <c r="D33" s="13" t="s">
        <v>77</v>
      </c>
      <c r="H33" s="10"/>
      <c r="J33" s="4" t="s">
        <v>223</v>
      </c>
    </row>
    <row r="34" spans="4:22" ht="14.25" customHeight="1">
      <c r="H34" s="9" t="s">
        <v>224</v>
      </c>
      <c r="J34" s="4" t="s">
        <v>225</v>
      </c>
    </row>
    <row r="35" spans="4:22" ht="14.25" customHeight="1">
      <c r="F35" s="9" t="s">
        <v>226</v>
      </c>
      <c r="H35" s="4" t="s">
        <v>86</v>
      </c>
      <c r="J35" s="4" t="s">
        <v>227</v>
      </c>
    </row>
    <row r="36" spans="4:22" ht="14.25" customHeight="1">
      <c r="D36" s="9" t="s">
        <v>122</v>
      </c>
      <c r="F36" s="4"/>
      <c r="J36" s="4" t="s">
        <v>228</v>
      </c>
    </row>
    <row r="37" spans="4:22" ht="14.25" customHeight="1">
      <c r="D37" s="4"/>
      <c r="F37" s="4" t="s">
        <v>54</v>
      </c>
      <c r="J37" s="4" t="s">
        <v>229</v>
      </c>
    </row>
    <row r="38" spans="4:22" ht="14.25" customHeight="1">
      <c r="D38" s="13" t="s">
        <v>230</v>
      </c>
      <c r="J38" s="4" t="s">
        <v>231</v>
      </c>
    </row>
    <row r="39" spans="4:22" ht="14.25" customHeight="1">
      <c r="D39" s="13" t="s">
        <v>232</v>
      </c>
      <c r="F39" t="str">
        <f t="array" ref="F39:V39">'FORMATO 2'!F20:V20</f>
        <v>Solar</v>
      </c>
      <c r="G39">
        <v>0</v>
      </c>
      <c r="H39">
        <v>0</v>
      </c>
      <c r="I39">
        <v>0</v>
      </c>
      <c r="J39">
        <v>0</v>
      </c>
      <c r="K39">
        <v>0</v>
      </c>
      <c r="L39">
        <v>0</v>
      </c>
      <c r="M39">
        <v>0</v>
      </c>
      <c r="N39">
        <v>0</v>
      </c>
      <c r="O39">
        <v>0</v>
      </c>
      <c r="P39">
        <v>0</v>
      </c>
      <c r="Q39">
        <v>0</v>
      </c>
      <c r="R39">
        <v>0</v>
      </c>
      <c r="S39">
        <v>0</v>
      </c>
      <c r="T39">
        <v>0</v>
      </c>
      <c r="U39">
        <v>0</v>
      </c>
      <c r="V39">
        <v>0</v>
      </c>
    </row>
    <row r="40" spans="4:22" ht="14.25" customHeight="1">
      <c r="D40" s="13" t="s">
        <v>132</v>
      </c>
    </row>
    <row r="41" spans="4:22" ht="14.25" customHeight="1">
      <c r="D41" s="13" t="s">
        <v>233</v>
      </c>
    </row>
    <row r="42" spans="4:22" ht="14.25" customHeight="1">
      <c r="D42" s="13"/>
    </row>
    <row r="43" spans="4:22" ht="14.25" customHeight="1"/>
    <row r="44" spans="4:22" ht="14.25" customHeight="1">
      <c r="F44" t="e">
        <f t="array" ref="F44">IF(G12=Listas!$B$20,tecbio,IF(G12=Listas!$B$21,Listas!H$13:H$14,IF(G12=Listas!$B$22,teceol,IF(G12=Listas!$B$23,tecgeo,IF(G12=Listas!$B$24,tecpch,IF(G12=Listas!$B$25,tecsol,"Seleccionar tipo de tecnología"))))))</f>
        <v>#NAME?</v>
      </c>
    </row>
    <row r="45" spans="4:22" ht="14.25" customHeight="1"/>
    <row r="46" spans="4:22" ht="14.25" customHeight="1"/>
    <row r="47" spans="4:22" ht="14.25" customHeight="1"/>
    <row r="48" spans="4:2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00"/>
  <sheetViews>
    <sheetView workbookViewId="0"/>
  </sheetViews>
  <sheetFormatPr baseColWidth="10" defaultColWidth="14.44140625" defaultRowHeight="15" customHeight="1"/>
  <cols>
    <col min="1" max="1" width="11.5546875" customWidth="1"/>
    <col min="2" max="2" width="30.6640625" customWidth="1"/>
    <col min="3" max="26" width="11.5546875" customWidth="1"/>
  </cols>
  <sheetData>
    <row r="1" spans="2:7" ht="14.25" customHeight="1"/>
    <row r="2" spans="2:7" ht="14.25" customHeight="1">
      <c r="G2" s="2" t="s">
        <v>234</v>
      </c>
    </row>
    <row r="3" spans="2:7" ht="14.25" customHeight="1">
      <c r="B3" s="3" t="s">
        <v>235</v>
      </c>
    </row>
    <row r="4" spans="2:7" ht="14.25" customHeight="1">
      <c r="B4" s="4"/>
      <c r="D4" t="s">
        <v>236</v>
      </c>
      <c r="G4" s="5" t="s">
        <v>237</v>
      </c>
    </row>
    <row r="5" spans="2:7" ht="14.25" customHeight="1">
      <c r="B5" s="4" t="s">
        <v>235</v>
      </c>
      <c r="D5" t="s">
        <v>48</v>
      </c>
      <c r="G5" s="5" t="s">
        <v>238</v>
      </c>
    </row>
    <row r="6" spans="2:7" ht="14.25" customHeight="1">
      <c r="B6" s="4" t="s">
        <v>239</v>
      </c>
      <c r="D6" t="s">
        <v>240</v>
      </c>
      <c r="G6" s="5" t="s">
        <v>241</v>
      </c>
    </row>
    <row r="7" spans="2:7" ht="14.25" customHeight="1">
      <c r="B7" s="4" t="s">
        <v>116</v>
      </c>
      <c r="G7" s="5" t="s">
        <v>242</v>
      </c>
    </row>
    <row r="8" spans="2:7" ht="14.25" customHeight="1">
      <c r="G8" s="5" t="s">
        <v>243</v>
      </c>
    </row>
    <row r="9" spans="2:7" ht="14.25" customHeight="1">
      <c r="B9" s="3" t="s">
        <v>244</v>
      </c>
      <c r="G9" s="5" t="s">
        <v>245</v>
      </c>
    </row>
    <row r="10" spans="2:7" ht="14.25" customHeight="1">
      <c r="B10" s="4"/>
      <c r="D10" t="s">
        <v>90</v>
      </c>
      <c r="G10" s="5" t="s">
        <v>246</v>
      </c>
    </row>
    <row r="11" spans="2:7" ht="14.25" customHeight="1">
      <c r="B11" s="4" t="s">
        <v>247</v>
      </c>
      <c r="D11" t="s">
        <v>248</v>
      </c>
      <c r="G11" s="5" t="s">
        <v>249</v>
      </c>
    </row>
    <row r="12" spans="2:7" ht="14.25" customHeight="1">
      <c r="B12" s="4" t="s">
        <v>250</v>
      </c>
      <c r="G12" s="5" t="s">
        <v>251</v>
      </c>
    </row>
    <row r="13" spans="2:7" ht="14.25" customHeight="1">
      <c r="B13" s="4" t="s">
        <v>252</v>
      </c>
      <c r="D13" t="s">
        <v>101</v>
      </c>
      <c r="G13" s="5" t="s">
        <v>253</v>
      </c>
    </row>
    <row r="14" spans="2:7" ht="14.25" customHeight="1">
      <c r="D14" t="s">
        <v>254</v>
      </c>
      <c r="G14" s="5" t="s">
        <v>255</v>
      </c>
    </row>
    <row r="15" spans="2:7" ht="14.25" customHeight="1">
      <c r="B15" s="3" t="s">
        <v>235</v>
      </c>
      <c r="G15" s="5" t="s">
        <v>256</v>
      </c>
    </row>
    <row r="16" spans="2:7" ht="14.25" customHeight="1">
      <c r="B16" s="4"/>
      <c r="G16" s="5" t="s">
        <v>257</v>
      </c>
    </row>
    <row r="17" spans="2:7" ht="14.25" customHeight="1">
      <c r="B17" s="4" t="s">
        <v>101</v>
      </c>
      <c r="G17" s="5" t="s">
        <v>258</v>
      </c>
    </row>
    <row r="18" spans="2:7" ht="14.25" customHeight="1">
      <c r="B18" s="4" t="s">
        <v>254</v>
      </c>
      <c r="G18" s="5" t="s">
        <v>259</v>
      </c>
    </row>
    <row r="19" spans="2:7" ht="14.25" customHeight="1">
      <c r="B19" s="4" t="s">
        <v>116</v>
      </c>
      <c r="G19" s="5" t="s">
        <v>260</v>
      </c>
    </row>
    <row r="20" spans="2:7" ht="14.25" customHeight="1">
      <c r="G20" s="5" t="s">
        <v>261</v>
      </c>
    </row>
    <row r="21" spans="2:7" ht="14.25" customHeight="1">
      <c r="G21" s="5" t="s">
        <v>262</v>
      </c>
    </row>
    <row r="22" spans="2:7" ht="14.25" customHeight="1">
      <c r="G22" s="5" t="s">
        <v>263</v>
      </c>
    </row>
    <row r="23" spans="2:7" ht="14.25" customHeight="1">
      <c r="G23" s="5" t="s">
        <v>264</v>
      </c>
    </row>
    <row r="24" spans="2:7" ht="14.25" customHeight="1">
      <c r="G24" s="5" t="s">
        <v>265</v>
      </c>
    </row>
    <row r="25" spans="2:7" ht="14.25" customHeight="1">
      <c r="G25" s="5" t="s">
        <v>266</v>
      </c>
    </row>
    <row r="26" spans="2:7" ht="14.25" customHeight="1">
      <c r="G26" s="5" t="s">
        <v>267</v>
      </c>
    </row>
    <row r="27" spans="2:7" ht="14.25" customHeight="1">
      <c r="G27" s="5" t="s">
        <v>268</v>
      </c>
    </row>
    <row r="28" spans="2:7" ht="14.25" customHeight="1">
      <c r="G28" s="5" t="s">
        <v>269</v>
      </c>
    </row>
    <row r="29" spans="2:7" ht="14.25" customHeight="1">
      <c r="G29" s="5" t="s">
        <v>270</v>
      </c>
    </row>
    <row r="30" spans="2:7" ht="14.25" customHeight="1">
      <c r="G30" s="5" t="s">
        <v>271</v>
      </c>
    </row>
    <row r="31" spans="2:7" ht="14.25" customHeight="1">
      <c r="G31" s="5" t="s">
        <v>272</v>
      </c>
    </row>
    <row r="32" spans="2:7" ht="14.25" customHeight="1">
      <c r="G32" s="5" t="s">
        <v>273</v>
      </c>
    </row>
    <row r="33" spans="7:12" ht="14.25" customHeight="1">
      <c r="G33" s="5" t="s">
        <v>274</v>
      </c>
    </row>
    <row r="34" spans="7:12" ht="14.25" customHeight="1">
      <c r="G34" s="5" t="s">
        <v>275</v>
      </c>
    </row>
    <row r="35" spans="7:12" ht="14.25" customHeight="1">
      <c r="G35" s="5" t="s">
        <v>276</v>
      </c>
    </row>
    <row r="36" spans="7:12" ht="14.25" customHeight="1">
      <c r="G36" s="5" t="s">
        <v>277</v>
      </c>
    </row>
    <row r="37" spans="7:12" ht="14.25" customHeight="1">
      <c r="G37" s="5" t="s">
        <v>278</v>
      </c>
    </row>
    <row r="38" spans="7:12" ht="14.25" customHeight="1">
      <c r="G38" s="5" t="s">
        <v>279</v>
      </c>
      <c r="H38" s="6"/>
      <c r="I38" s="6"/>
      <c r="J38" s="6"/>
      <c r="K38" s="6"/>
      <c r="L38" s="6"/>
    </row>
    <row r="39" spans="7:12" ht="14.25" customHeight="1">
      <c r="G39" s="5" t="s">
        <v>280</v>
      </c>
    </row>
    <row r="40" spans="7:12" ht="14.25" customHeight="1">
      <c r="G40" s="5" t="s">
        <v>281</v>
      </c>
    </row>
    <row r="41" spans="7:12" ht="14.25" customHeight="1">
      <c r="G41" s="5" t="s">
        <v>282</v>
      </c>
    </row>
    <row r="42" spans="7:12" ht="14.25" customHeight="1">
      <c r="G42" s="5" t="s">
        <v>283</v>
      </c>
    </row>
    <row r="43" spans="7:12" ht="14.25" customHeight="1">
      <c r="G43" s="5" t="s">
        <v>284</v>
      </c>
    </row>
    <row r="44" spans="7:12" ht="14.25" customHeight="1">
      <c r="G44" s="5" t="s">
        <v>285</v>
      </c>
    </row>
    <row r="45" spans="7:12" ht="14.25" customHeight="1">
      <c r="G45" s="5" t="s">
        <v>286</v>
      </c>
    </row>
    <row r="46" spans="7:12" ht="14.25" customHeight="1">
      <c r="G46" s="5" t="s">
        <v>287</v>
      </c>
    </row>
    <row r="47" spans="7:12" ht="14.25" customHeight="1">
      <c r="G47" s="5" t="s">
        <v>288</v>
      </c>
    </row>
    <row r="48" spans="7:12" ht="14.25" customHeight="1">
      <c r="G48" s="5" t="s">
        <v>289</v>
      </c>
    </row>
    <row r="49" spans="7:7" ht="14.25" customHeight="1">
      <c r="G49" s="5" t="s">
        <v>290</v>
      </c>
    </row>
    <row r="50" spans="7:7" ht="14.25" customHeight="1">
      <c r="G50" s="5" t="s">
        <v>291</v>
      </c>
    </row>
    <row r="51" spans="7:7" ht="14.25" customHeight="1">
      <c r="G51" s="5" t="s">
        <v>292</v>
      </c>
    </row>
    <row r="52" spans="7:7" ht="14.25" customHeight="1">
      <c r="G52" s="5" t="s">
        <v>293</v>
      </c>
    </row>
    <row r="53" spans="7:7" ht="14.25" customHeight="1">
      <c r="G53" s="5" t="s">
        <v>294</v>
      </c>
    </row>
    <row r="54" spans="7:7" ht="14.25" customHeight="1">
      <c r="G54" s="5" t="s">
        <v>295</v>
      </c>
    </row>
    <row r="55" spans="7:7" ht="14.25" customHeight="1">
      <c r="G55" s="5" t="s">
        <v>296</v>
      </c>
    </row>
    <row r="56" spans="7:7" ht="14.25" customHeight="1">
      <c r="G56" s="5" t="s">
        <v>297</v>
      </c>
    </row>
    <row r="57" spans="7:7" ht="14.25" customHeight="1">
      <c r="G57" s="5" t="s">
        <v>298</v>
      </c>
    </row>
    <row r="58" spans="7:7" ht="14.25" customHeight="1">
      <c r="G58" s="5" t="s">
        <v>299</v>
      </c>
    </row>
    <row r="59" spans="7:7" ht="14.25" customHeight="1">
      <c r="G59" s="5" t="s">
        <v>300</v>
      </c>
    </row>
    <row r="60" spans="7:7" ht="14.25" customHeight="1">
      <c r="G60" s="5" t="s">
        <v>301</v>
      </c>
    </row>
    <row r="61" spans="7:7" ht="14.25" customHeight="1">
      <c r="G61" s="5" t="s">
        <v>302</v>
      </c>
    </row>
    <row r="62" spans="7:7" ht="14.25" customHeight="1">
      <c r="G62" s="5" t="s">
        <v>303</v>
      </c>
    </row>
    <row r="63" spans="7:7" ht="14.25" customHeight="1">
      <c r="G63" s="5" t="s">
        <v>304</v>
      </c>
    </row>
    <row r="64" spans="7:7" ht="14.25" customHeight="1">
      <c r="G64" s="5" t="s">
        <v>305</v>
      </c>
    </row>
    <row r="65" spans="7:7" ht="14.25" customHeight="1">
      <c r="G65" s="5" t="s">
        <v>306</v>
      </c>
    </row>
    <row r="66" spans="7:7" ht="14.25" customHeight="1">
      <c r="G66" s="5" t="s">
        <v>307</v>
      </c>
    </row>
    <row r="67" spans="7:7" ht="14.25" customHeight="1">
      <c r="G67" s="5" t="s">
        <v>308</v>
      </c>
    </row>
    <row r="68" spans="7:7" ht="14.25" customHeight="1">
      <c r="G68" s="5" t="s">
        <v>309</v>
      </c>
    </row>
    <row r="69" spans="7:7" ht="14.25" customHeight="1">
      <c r="G69" s="5" t="s">
        <v>310</v>
      </c>
    </row>
    <row r="70" spans="7:7" ht="14.25" customHeight="1">
      <c r="G70" s="5" t="s">
        <v>311</v>
      </c>
    </row>
    <row r="71" spans="7:7" ht="14.25" customHeight="1">
      <c r="G71" s="5" t="s">
        <v>312</v>
      </c>
    </row>
    <row r="72" spans="7:7" ht="14.25" customHeight="1">
      <c r="G72" s="5" t="s">
        <v>313</v>
      </c>
    </row>
    <row r="73" spans="7:7" ht="14.25" customHeight="1">
      <c r="G73" s="5" t="s">
        <v>314</v>
      </c>
    </row>
    <row r="74" spans="7:7" ht="14.25" customHeight="1">
      <c r="G74" s="5" t="s">
        <v>315</v>
      </c>
    </row>
    <row r="75" spans="7:7" ht="14.25" customHeight="1">
      <c r="G75" s="5" t="s">
        <v>316</v>
      </c>
    </row>
    <row r="76" spans="7:7" ht="14.25" customHeight="1">
      <c r="G76" s="5" t="s">
        <v>317</v>
      </c>
    </row>
    <row r="77" spans="7:7" ht="14.25" customHeight="1">
      <c r="G77" s="5" t="s">
        <v>318</v>
      </c>
    </row>
    <row r="78" spans="7:7" ht="14.25" customHeight="1">
      <c r="G78" s="5" t="s">
        <v>319</v>
      </c>
    </row>
    <row r="79" spans="7:7" ht="14.25" customHeight="1">
      <c r="G79" s="5" t="s">
        <v>320</v>
      </c>
    </row>
    <row r="80" spans="7:7" ht="14.25" customHeight="1">
      <c r="G80" s="5" t="s">
        <v>321</v>
      </c>
    </row>
    <row r="81" spans="7:7" ht="14.25" customHeight="1">
      <c r="G81" s="5" t="s">
        <v>322</v>
      </c>
    </row>
    <row r="82" spans="7:7" ht="14.25" customHeight="1">
      <c r="G82" s="5" t="s">
        <v>323</v>
      </c>
    </row>
    <row r="83" spans="7:7" ht="14.25" customHeight="1">
      <c r="G83" s="5" t="s">
        <v>324</v>
      </c>
    </row>
    <row r="84" spans="7:7" ht="14.25" customHeight="1">
      <c r="G84" s="5" t="s">
        <v>325</v>
      </c>
    </row>
    <row r="85" spans="7:7" ht="14.25" customHeight="1">
      <c r="G85" s="5" t="s">
        <v>326</v>
      </c>
    </row>
    <row r="86" spans="7:7" ht="14.25" customHeight="1">
      <c r="G86" s="5" t="s">
        <v>327</v>
      </c>
    </row>
    <row r="87" spans="7:7" ht="14.25" customHeight="1">
      <c r="G87" s="5" t="s">
        <v>328</v>
      </c>
    </row>
    <row r="88" spans="7:7" ht="14.25" customHeight="1">
      <c r="G88" s="5" t="s">
        <v>329</v>
      </c>
    </row>
    <row r="89" spans="7:7" ht="14.25" customHeight="1">
      <c r="G89" s="5" t="s">
        <v>330</v>
      </c>
    </row>
    <row r="90" spans="7:7" ht="14.25" customHeight="1">
      <c r="G90" s="5" t="s">
        <v>331</v>
      </c>
    </row>
    <row r="91" spans="7:7" ht="14.25" customHeight="1">
      <c r="G91" s="5" t="s">
        <v>332</v>
      </c>
    </row>
    <row r="92" spans="7:7" ht="14.25" customHeight="1">
      <c r="G92" s="5" t="s">
        <v>333</v>
      </c>
    </row>
    <row r="93" spans="7:7" ht="14.25" customHeight="1">
      <c r="G93" s="5" t="s">
        <v>334</v>
      </c>
    </row>
    <row r="94" spans="7:7" ht="14.25" customHeight="1">
      <c r="G94" s="5" t="s">
        <v>335</v>
      </c>
    </row>
    <row r="95" spans="7:7" ht="14.25" customHeight="1">
      <c r="G95" s="5" t="s">
        <v>336</v>
      </c>
    </row>
    <row r="96" spans="7:7" ht="14.25" customHeight="1">
      <c r="G96" s="5" t="s">
        <v>337</v>
      </c>
    </row>
    <row r="97" spans="7:7" ht="14.25" customHeight="1">
      <c r="G97" s="5" t="s">
        <v>338</v>
      </c>
    </row>
    <row r="98" spans="7:7" ht="14.25" customHeight="1">
      <c r="G98" s="5" t="s">
        <v>339</v>
      </c>
    </row>
    <row r="99" spans="7:7" ht="14.25" customHeight="1">
      <c r="G99" s="5" t="s">
        <v>340</v>
      </c>
    </row>
    <row r="100" spans="7:7" ht="14.25" customHeight="1">
      <c r="G100" s="5" t="s">
        <v>341</v>
      </c>
    </row>
    <row r="101" spans="7:7" ht="14.25" customHeight="1">
      <c r="G101" s="5" t="s">
        <v>342</v>
      </c>
    </row>
    <row r="102" spans="7:7" ht="14.25" customHeight="1">
      <c r="G102" s="5" t="s">
        <v>343</v>
      </c>
    </row>
    <row r="103" spans="7:7" ht="14.25" customHeight="1">
      <c r="G103" s="5" t="s">
        <v>344</v>
      </c>
    </row>
    <row r="104" spans="7:7" ht="14.25" customHeight="1">
      <c r="G104" s="5" t="s">
        <v>345</v>
      </c>
    </row>
    <row r="105" spans="7:7" ht="14.25" customHeight="1">
      <c r="G105" s="5" t="s">
        <v>346</v>
      </c>
    </row>
    <row r="106" spans="7:7" ht="14.25" customHeight="1">
      <c r="G106" s="5" t="s">
        <v>347</v>
      </c>
    </row>
    <row r="107" spans="7:7" ht="14.25" customHeight="1">
      <c r="G107" s="5" t="s">
        <v>348</v>
      </c>
    </row>
    <row r="108" spans="7:7" ht="14.25" customHeight="1">
      <c r="G108" s="5" t="s">
        <v>349</v>
      </c>
    </row>
    <row r="109" spans="7:7" ht="14.25" customHeight="1">
      <c r="G109" s="5" t="s">
        <v>350</v>
      </c>
    </row>
    <row r="110" spans="7:7" ht="14.25" customHeight="1">
      <c r="G110" s="5" t="s">
        <v>351</v>
      </c>
    </row>
    <row r="111" spans="7:7" ht="14.25" customHeight="1">
      <c r="G111" s="5" t="s">
        <v>352</v>
      </c>
    </row>
    <row r="112" spans="7:7" ht="14.25" customHeight="1">
      <c r="G112" s="5" t="s">
        <v>353</v>
      </c>
    </row>
    <row r="113" spans="7:7" ht="14.25" customHeight="1">
      <c r="G113" s="5" t="s">
        <v>354</v>
      </c>
    </row>
    <row r="114" spans="7:7" ht="14.25" customHeight="1">
      <c r="G114" s="5"/>
    </row>
    <row r="115" spans="7:7" ht="14.25" customHeight="1">
      <c r="G115" s="5" t="s">
        <v>355</v>
      </c>
    </row>
    <row r="116" spans="7:7" ht="14.25" customHeight="1">
      <c r="G116" s="5" t="s">
        <v>356</v>
      </c>
    </row>
    <row r="117" spans="7:7" ht="14.25" customHeight="1">
      <c r="G117" s="5" t="s">
        <v>357</v>
      </c>
    </row>
    <row r="118" spans="7:7" ht="14.25" customHeight="1">
      <c r="G118" s="5" t="s">
        <v>358</v>
      </c>
    </row>
    <row r="119" spans="7:7" ht="14.25" customHeight="1">
      <c r="G119" s="5" t="s">
        <v>359</v>
      </c>
    </row>
    <row r="120" spans="7:7" ht="14.25" customHeight="1">
      <c r="G120" s="5" t="s">
        <v>360</v>
      </c>
    </row>
    <row r="121" spans="7:7" ht="14.25" customHeight="1">
      <c r="G121" s="5" t="s">
        <v>361</v>
      </c>
    </row>
    <row r="122" spans="7:7" ht="14.25" customHeight="1">
      <c r="G122" s="5" t="s">
        <v>362</v>
      </c>
    </row>
    <row r="123" spans="7:7" ht="14.25" customHeight="1">
      <c r="G123" s="5" t="s">
        <v>363</v>
      </c>
    </row>
    <row r="124" spans="7:7" ht="14.25" customHeight="1">
      <c r="G124" s="5" t="s">
        <v>364</v>
      </c>
    </row>
    <row r="125" spans="7:7" ht="14.25" customHeight="1">
      <c r="G125" s="5" t="s">
        <v>365</v>
      </c>
    </row>
    <row r="126" spans="7:7" ht="14.25" customHeight="1">
      <c r="G126" s="5" t="s">
        <v>366</v>
      </c>
    </row>
    <row r="127" spans="7:7" ht="14.25" customHeight="1">
      <c r="G127" s="5" t="s">
        <v>367</v>
      </c>
    </row>
    <row r="128" spans="7:7" ht="14.25" customHeight="1">
      <c r="G128" s="5" t="s">
        <v>368</v>
      </c>
    </row>
    <row r="129" spans="7:7" ht="14.25" customHeight="1">
      <c r="G129" s="5" t="s">
        <v>369</v>
      </c>
    </row>
    <row r="130" spans="7:7" ht="14.25" customHeight="1">
      <c r="G130" s="5" t="s">
        <v>370</v>
      </c>
    </row>
    <row r="131" spans="7:7" ht="14.25" customHeight="1">
      <c r="G131" s="5" t="s">
        <v>371</v>
      </c>
    </row>
    <row r="132" spans="7:7" ht="14.25" customHeight="1">
      <c r="G132" s="5" t="s">
        <v>372</v>
      </c>
    </row>
    <row r="133" spans="7:7" ht="14.25" customHeight="1">
      <c r="G133" s="5" t="s">
        <v>373</v>
      </c>
    </row>
    <row r="134" spans="7:7" ht="14.25" customHeight="1">
      <c r="G134" s="5" t="s">
        <v>374</v>
      </c>
    </row>
    <row r="135" spans="7:7" ht="14.25" customHeight="1">
      <c r="G135" s="5" t="s">
        <v>375</v>
      </c>
    </row>
    <row r="136" spans="7:7" ht="14.25" customHeight="1">
      <c r="G136" s="5" t="s">
        <v>376</v>
      </c>
    </row>
    <row r="137" spans="7:7" ht="14.25" customHeight="1">
      <c r="G137" s="5" t="s">
        <v>377</v>
      </c>
    </row>
    <row r="138" spans="7:7" ht="14.25" customHeight="1">
      <c r="G138" s="5" t="s">
        <v>378</v>
      </c>
    </row>
    <row r="139" spans="7:7" ht="14.25" customHeight="1">
      <c r="G139" s="5" t="s">
        <v>379</v>
      </c>
    </row>
    <row r="140" spans="7:7" ht="14.25" customHeight="1">
      <c r="G140" s="5" t="s">
        <v>380</v>
      </c>
    </row>
    <row r="141" spans="7:7" ht="14.25" customHeight="1">
      <c r="G141" s="5" t="s">
        <v>381</v>
      </c>
    </row>
    <row r="142" spans="7:7" ht="14.25" customHeight="1">
      <c r="G142" s="5" t="s">
        <v>382</v>
      </c>
    </row>
    <row r="143" spans="7:7" ht="14.25" customHeight="1">
      <c r="G143" s="5" t="s">
        <v>383</v>
      </c>
    </row>
    <row r="144" spans="7:7" ht="14.25" customHeight="1">
      <c r="G144" s="5" t="s">
        <v>384</v>
      </c>
    </row>
    <row r="145" spans="7:7" ht="14.25" customHeight="1">
      <c r="G145" s="5" t="s">
        <v>385</v>
      </c>
    </row>
    <row r="146" spans="7:7" ht="14.25" customHeight="1">
      <c r="G146" s="5" t="s">
        <v>386</v>
      </c>
    </row>
    <row r="147" spans="7:7" ht="14.25" customHeight="1">
      <c r="G147" s="5" t="s">
        <v>387</v>
      </c>
    </row>
    <row r="148" spans="7:7" ht="14.25" customHeight="1">
      <c r="G148" s="5" t="s">
        <v>388</v>
      </c>
    </row>
    <row r="149" spans="7:7" ht="14.25" customHeight="1">
      <c r="G149" s="5"/>
    </row>
    <row r="150" spans="7:7" ht="14.25" customHeight="1">
      <c r="G150" s="5" t="s">
        <v>389</v>
      </c>
    </row>
    <row r="151" spans="7:7" ht="14.25" customHeight="1">
      <c r="G151" s="5" t="s">
        <v>390</v>
      </c>
    </row>
    <row r="152" spans="7:7" ht="14.25" customHeight="1">
      <c r="G152" s="5" t="s">
        <v>391</v>
      </c>
    </row>
    <row r="153" spans="7:7" ht="14.25" customHeight="1">
      <c r="G153" s="5" t="s">
        <v>392</v>
      </c>
    </row>
    <row r="154" spans="7:7" ht="14.25" customHeight="1">
      <c r="G154" s="5" t="s">
        <v>393</v>
      </c>
    </row>
    <row r="155" spans="7:7" ht="14.25" customHeight="1">
      <c r="G155" s="5"/>
    </row>
    <row r="156" spans="7:7" ht="14.25" customHeight="1">
      <c r="G156" s="5" t="s">
        <v>394</v>
      </c>
    </row>
    <row r="157" spans="7:7" ht="14.25" customHeight="1">
      <c r="G157" s="5" t="s">
        <v>395</v>
      </c>
    </row>
    <row r="158" spans="7:7" ht="14.25" customHeight="1">
      <c r="G158" s="5" t="s">
        <v>396</v>
      </c>
    </row>
    <row r="159" spans="7:7" ht="14.25" customHeight="1">
      <c r="G159" s="5" t="s">
        <v>397</v>
      </c>
    </row>
    <row r="160" spans="7:7" ht="14.25" customHeight="1">
      <c r="G160" s="5" t="s">
        <v>398</v>
      </c>
    </row>
    <row r="161" spans="7:7" ht="14.25" customHeight="1">
      <c r="G161" s="5" t="s">
        <v>399</v>
      </c>
    </row>
    <row r="162" spans="7:7" ht="14.25" customHeight="1">
      <c r="G162" s="5" t="s">
        <v>400</v>
      </c>
    </row>
    <row r="163" spans="7:7" ht="14.25" customHeight="1">
      <c r="G163" s="5" t="s">
        <v>401</v>
      </c>
    </row>
    <row r="164" spans="7:7" ht="14.25" customHeight="1">
      <c r="G164" s="5"/>
    </row>
    <row r="165" spans="7:7" ht="14.25" customHeight="1">
      <c r="G165" s="5" t="s">
        <v>402</v>
      </c>
    </row>
    <row r="166" spans="7:7" ht="14.25" customHeight="1">
      <c r="G166" s="5" t="s">
        <v>403</v>
      </c>
    </row>
    <row r="167" spans="7:7" ht="14.25" customHeight="1">
      <c r="G167" s="5" t="s">
        <v>404</v>
      </c>
    </row>
    <row r="168" spans="7:7" ht="14.25" customHeight="1">
      <c r="G168" s="5" t="s">
        <v>405</v>
      </c>
    </row>
    <row r="169" spans="7:7" ht="14.25" customHeight="1">
      <c r="G169" s="5" t="s">
        <v>406</v>
      </c>
    </row>
    <row r="170" spans="7:7" ht="14.25" customHeight="1">
      <c r="G170" s="5" t="s">
        <v>407</v>
      </c>
    </row>
    <row r="171" spans="7:7" ht="14.25" customHeight="1">
      <c r="G171" s="5" t="s">
        <v>408</v>
      </c>
    </row>
    <row r="172" spans="7:7" ht="14.25" customHeight="1">
      <c r="G172" s="5" t="s">
        <v>409</v>
      </c>
    </row>
    <row r="173" spans="7:7" ht="14.25" customHeight="1">
      <c r="G173" s="5" t="s">
        <v>410</v>
      </c>
    </row>
    <row r="174" spans="7:7" ht="14.25" customHeight="1">
      <c r="G174" s="5" t="s">
        <v>411</v>
      </c>
    </row>
    <row r="175" spans="7:7" ht="14.25" customHeight="1">
      <c r="G175" s="5"/>
    </row>
    <row r="176" spans="7:7" ht="14.25" customHeight="1">
      <c r="G176" s="5" t="s">
        <v>412</v>
      </c>
    </row>
    <row r="177" spans="7:7" ht="14.25" customHeight="1">
      <c r="G177" s="5" t="s">
        <v>413</v>
      </c>
    </row>
    <row r="178" spans="7:7" ht="14.25" customHeight="1">
      <c r="G178" s="5" t="s">
        <v>414</v>
      </c>
    </row>
    <row r="179" spans="7:7" ht="14.25" customHeight="1">
      <c r="G179" s="5" t="s">
        <v>415</v>
      </c>
    </row>
    <row r="180" spans="7:7" ht="14.25" customHeight="1">
      <c r="G180" s="5" t="s">
        <v>416</v>
      </c>
    </row>
    <row r="181" spans="7:7" ht="14.25" customHeight="1">
      <c r="G181" s="5" t="s">
        <v>417</v>
      </c>
    </row>
    <row r="182" spans="7:7" ht="14.25" customHeight="1">
      <c r="G182" s="5" t="s">
        <v>418</v>
      </c>
    </row>
    <row r="183" spans="7:7" ht="14.25" customHeight="1">
      <c r="G183" s="5" t="s">
        <v>419</v>
      </c>
    </row>
    <row r="184" spans="7:7" ht="14.25" customHeight="1">
      <c r="G184" s="5" t="s">
        <v>420</v>
      </c>
    </row>
    <row r="185" spans="7:7" ht="14.25" customHeight="1">
      <c r="G185" s="5" t="s">
        <v>421</v>
      </c>
    </row>
    <row r="186" spans="7:7" ht="14.25" customHeight="1">
      <c r="G186" s="5" t="s">
        <v>422</v>
      </c>
    </row>
    <row r="187" spans="7:7" ht="14.25" customHeight="1">
      <c r="G187" s="5" t="s">
        <v>423</v>
      </c>
    </row>
    <row r="188" spans="7:7" ht="14.25" customHeight="1">
      <c r="G188" s="5" t="s">
        <v>424</v>
      </c>
    </row>
    <row r="189" spans="7:7" ht="14.25" customHeight="1">
      <c r="G189" s="5" t="s">
        <v>425</v>
      </c>
    </row>
    <row r="190" spans="7:7" ht="14.25" customHeight="1">
      <c r="G190" s="5" t="s">
        <v>426</v>
      </c>
    </row>
    <row r="191" spans="7:7" ht="14.25" customHeight="1">
      <c r="G191" s="5" t="s">
        <v>427</v>
      </c>
    </row>
    <row r="192" spans="7:7" ht="14.25" customHeight="1">
      <c r="G192" s="5" t="s">
        <v>428</v>
      </c>
    </row>
    <row r="193" spans="7:12" ht="14.25" customHeight="1">
      <c r="G193" s="5" t="s">
        <v>11</v>
      </c>
    </row>
    <row r="194" spans="7:12" ht="14.25" customHeight="1">
      <c r="G194" s="5" t="s">
        <v>429</v>
      </c>
    </row>
    <row r="195" spans="7:12" ht="14.25" customHeight="1">
      <c r="G195" s="5" t="s">
        <v>430</v>
      </c>
    </row>
    <row r="196" spans="7:12" ht="14.25" customHeight="1">
      <c r="G196" s="5"/>
    </row>
    <row r="197" spans="7:12" ht="14.25" customHeight="1">
      <c r="G197" s="5" t="s">
        <v>431</v>
      </c>
    </row>
    <row r="198" spans="7:12" ht="14.25" customHeight="1">
      <c r="G198" s="5" t="s">
        <v>432</v>
      </c>
    </row>
    <row r="199" spans="7:12" ht="14.25" customHeight="1">
      <c r="G199" s="5"/>
    </row>
    <row r="200" spans="7:12" ht="14.25" customHeight="1">
      <c r="G200" s="5" t="s">
        <v>433</v>
      </c>
    </row>
    <row r="201" spans="7:12" ht="14.25" customHeight="1">
      <c r="G201" s="5" t="s">
        <v>434</v>
      </c>
    </row>
    <row r="202" spans="7:12" ht="14.25" customHeight="1">
      <c r="G202" s="5" t="s">
        <v>435</v>
      </c>
    </row>
    <row r="203" spans="7:12" ht="14.25" customHeight="1">
      <c r="G203" s="7" t="s">
        <v>436</v>
      </c>
      <c r="H203" s="8"/>
      <c r="I203" s="8"/>
      <c r="J203" s="8"/>
      <c r="K203" s="8"/>
      <c r="L203" s="8"/>
    </row>
    <row r="204" spans="7:12" ht="14.25" customHeight="1">
      <c r="G204" s="7" t="s">
        <v>437</v>
      </c>
      <c r="H204" s="8"/>
      <c r="I204" s="8"/>
      <c r="J204" s="8"/>
      <c r="K204" s="8"/>
      <c r="L204" s="8"/>
    </row>
    <row r="205" spans="7:12" ht="14.25" customHeight="1">
      <c r="G205" s="7" t="s">
        <v>438</v>
      </c>
      <c r="H205" s="8"/>
      <c r="I205" s="8"/>
      <c r="J205" s="8"/>
      <c r="K205" s="8"/>
      <c r="L205" s="8"/>
    </row>
    <row r="206" spans="7:12" ht="14.25" customHeight="1">
      <c r="G206" s="7" t="s">
        <v>439</v>
      </c>
      <c r="H206" s="8"/>
      <c r="I206" s="8"/>
      <c r="J206" s="8"/>
      <c r="K206" s="8"/>
      <c r="L206" s="8"/>
    </row>
    <row r="207" spans="7:12" ht="14.25" customHeight="1">
      <c r="G207" s="7" t="s">
        <v>440</v>
      </c>
      <c r="H207" s="8"/>
      <c r="I207" s="8"/>
      <c r="J207" s="8"/>
      <c r="K207" s="8"/>
      <c r="L207" s="8"/>
    </row>
    <row r="208" spans="7:12" ht="14.25" customHeight="1">
      <c r="G208" s="7" t="s">
        <v>441</v>
      </c>
      <c r="H208" s="8"/>
      <c r="I208" s="8"/>
      <c r="J208" s="8"/>
      <c r="K208" s="8"/>
      <c r="L208" s="8"/>
    </row>
    <row r="209" spans="7:12" ht="14.25" customHeight="1">
      <c r="G209" s="7" t="s">
        <v>442</v>
      </c>
      <c r="H209" s="8"/>
      <c r="I209" s="8"/>
      <c r="J209" s="8"/>
      <c r="K209" s="8"/>
      <c r="L209" s="8"/>
    </row>
    <row r="210" spans="7:12" ht="14.25" customHeight="1">
      <c r="G210" s="7" t="s">
        <v>443</v>
      </c>
      <c r="H210" s="8"/>
      <c r="I210" s="8"/>
      <c r="J210" s="8"/>
      <c r="K210" s="8"/>
      <c r="L210" s="8"/>
    </row>
    <row r="211" spans="7:12" ht="14.25" customHeight="1">
      <c r="G211" s="7" t="s">
        <v>444</v>
      </c>
      <c r="H211" s="8"/>
      <c r="I211" s="8"/>
      <c r="J211" s="8"/>
      <c r="K211" s="8"/>
      <c r="L211" s="8"/>
    </row>
    <row r="212" spans="7:12" ht="14.25" customHeight="1">
      <c r="G212" s="7" t="s">
        <v>445</v>
      </c>
      <c r="H212" s="8"/>
      <c r="I212" s="8"/>
      <c r="J212" s="8"/>
      <c r="K212" s="8"/>
      <c r="L212" s="8"/>
    </row>
    <row r="213" spans="7:12" ht="14.25" customHeight="1">
      <c r="G213" s="7" t="s">
        <v>446</v>
      </c>
      <c r="H213" s="8"/>
      <c r="I213" s="8"/>
      <c r="J213" s="8"/>
      <c r="K213" s="8"/>
      <c r="L213" s="8"/>
    </row>
    <row r="214" spans="7:12" ht="14.25" customHeight="1">
      <c r="G214" s="7" t="s">
        <v>447</v>
      </c>
      <c r="H214" s="8"/>
      <c r="I214" s="8"/>
      <c r="J214" s="8"/>
      <c r="K214" s="8"/>
      <c r="L214" s="8"/>
    </row>
    <row r="215" spans="7:12" ht="14.25" customHeight="1">
      <c r="G215" s="7" t="s">
        <v>448</v>
      </c>
      <c r="H215" s="8"/>
      <c r="I215" s="8"/>
      <c r="J215" s="8"/>
      <c r="K215" s="8"/>
      <c r="L215" s="8"/>
    </row>
    <row r="216" spans="7:12" ht="14.25" customHeight="1">
      <c r="G216" s="7" t="s">
        <v>14</v>
      </c>
      <c r="H216" s="8"/>
      <c r="I216" s="8"/>
      <c r="J216" s="8"/>
      <c r="K216" s="8"/>
      <c r="L216" s="8"/>
    </row>
    <row r="217" spans="7:12" ht="14.25" customHeight="1">
      <c r="G217" s="7" t="s">
        <v>449</v>
      </c>
      <c r="H217" s="8"/>
      <c r="I217" s="8"/>
      <c r="J217" s="8"/>
      <c r="K217" s="8"/>
      <c r="L217" s="8"/>
    </row>
    <row r="218" spans="7:12" ht="14.25" customHeight="1">
      <c r="G218" s="7" t="s">
        <v>450</v>
      </c>
      <c r="H218" s="8"/>
      <c r="I218" s="8"/>
      <c r="J218" s="8"/>
      <c r="K218" s="8"/>
      <c r="L218" s="8"/>
    </row>
    <row r="219" spans="7:12" ht="14.25" customHeight="1">
      <c r="G219" s="7" t="s">
        <v>451</v>
      </c>
      <c r="H219" s="8"/>
      <c r="I219" s="8"/>
      <c r="J219" s="8"/>
      <c r="K219" s="8"/>
      <c r="L219" s="8"/>
    </row>
    <row r="220" spans="7:12" ht="14.25" customHeight="1">
      <c r="G220" s="7" t="s">
        <v>452</v>
      </c>
      <c r="H220" s="8"/>
      <c r="I220" s="8"/>
      <c r="J220" s="8"/>
      <c r="K220" s="8"/>
      <c r="L220" s="8"/>
    </row>
    <row r="221" spans="7:12" ht="14.25" customHeight="1">
      <c r="G221" s="7" t="s">
        <v>453</v>
      </c>
      <c r="H221" s="8"/>
      <c r="I221" s="8"/>
      <c r="J221" s="8"/>
      <c r="K221" s="8"/>
      <c r="L221" s="8"/>
    </row>
    <row r="222" spans="7:12" ht="14.25" customHeight="1">
      <c r="G222" s="7" t="s">
        <v>454</v>
      </c>
      <c r="H222" s="8"/>
      <c r="I222" s="8"/>
      <c r="J222" s="8"/>
      <c r="K222" s="8"/>
      <c r="L222" s="8"/>
    </row>
    <row r="223" spans="7:12" ht="14.25" customHeight="1">
      <c r="G223" s="7" t="s">
        <v>455</v>
      </c>
      <c r="H223" s="8"/>
      <c r="I223" s="8"/>
      <c r="J223" s="8"/>
      <c r="K223" s="8"/>
      <c r="L223" s="8"/>
    </row>
    <row r="224" spans="7:12" ht="14.25" customHeight="1">
      <c r="G224" s="7" t="s">
        <v>456</v>
      </c>
      <c r="H224" s="8"/>
      <c r="I224" s="8"/>
      <c r="J224" s="8"/>
      <c r="K224" s="8"/>
      <c r="L224" s="8"/>
    </row>
    <row r="225" spans="7:12" ht="14.25" customHeight="1">
      <c r="G225" s="7" t="s">
        <v>457</v>
      </c>
      <c r="H225" s="8"/>
      <c r="I225" s="8"/>
      <c r="J225" s="8"/>
      <c r="K225" s="8"/>
      <c r="L225" s="8"/>
    </row>
    <row r="226" spans="7:12" ht="14.25" customHeight="1">
      <c r="G226" s="7" t="s">
        <v>458</v>
      </c>
      <c r="H226" s="8"/>
      <c r="I226" s="8"/>
      <c r="J226" s="8"/>
      <c r="K226" s="8"/>
      <c r="L226" s="8"/>
    </row>
    <row r="227" spans="7:12" ht="14.25" customHeight="1">
      <c r="G227" s="7" t="s">
        <v>459</v>
      </c>
      <c r="H227" s="8"/>
      <c r="I227" s="8"/>
      <c r="J227" s="8"/>
      <c r="K227" s="8"/>
      <c r="L227" s="8"/>
    </row>
    <row r="228" spans="7:12" ht="14.25" customHeight="1">
      <c r="G228" s="7" t="s">
        <v>460</v>
      </c>
      <c r="H228" s="8"/>
      <c r="I228" s="8"/>
      <c r="J228" s="8"/>
      <c r="K228" s="8"/>
      <c r="L228" s="8"/>
    </row>
    <row r="229" spans="7:12" ht="14.25" customHeight="1">
      <c r="G229" s="7" t="s">
        <v>461</v>
      </c>
      <c r="H229" s="8"/>
      <c r="I229" s="8"/>
      <c r="J229" s="8"/>
      <c r="K229" s="8"/>
      <c r="L229" s="8"/>
    </row>
    <row r="230" spans="7:12" ht="14.25" customHeight="1">
      <c r="G230" s="7" t="s">
        <v>462</v>
      </c>
      <c r="H230" s="8"/>
      <c r="I230" s="8"/>
      <c r="J230" s="8"/>
      <c r="K230" s="8"/>
      <c r="L230" s="8"/>
    </row>
    <row r="231" spans="7:12" ht="14.25" customHeight="1">
      <c r="G231" s="7" t="s">
        <v>463</v>
      </c>
      <c r="H231" s="8"/>
      <c r="I231" s="8"/>
      <c r="J231" s="8"/>
      <c r="K231" s="8"/>
      <c r="L231" s="8"/>
    </row>
    <row r="232" spans="7:12" ht="14.25" customHeight="1">
      <c r="G232" s="7" t="s">
        <v>464</v>
      </c>
      <c r="H232" s="8"/>
      <c r="I232" s="8"/>
      <c r="J232" s="8"/>
      <c r="K232" s="8"/>
      <c r="L232" s="8"/>
    </row>
    <row r="233" spans="7:12" ht="14.25" customHeight="1">
      <c r="G233" s="7" t="s">
        <v>465</v>
      </c>
      <c r="H233" s="8"/>
      <c r="I233" s="8"/>
      <c r="J233" s="8"/>
      <c r="K233" s="8"/>
      <c r="L233" s="8"/>
    </row>
    <row r="234" spans="7:12" ht="14.25" customHeight="1">
      <c r="G234" s="7" t="s">
        <v>466</v>
      </c>
      <c r="H234" s="8"/>
      <c r="I234" s="8"/>
      <c r="J234" s="8"/>
      <c r="K234" s="8"/>
      <c r="L234" s="8"/>
    </row>
    <row r="235" spans="7:12" ht="14.25" customHeight="1">
      <c r="G235" s="7" t="s">
        <v>467</v>
      </c>
      <c r="H235" s="8"/>
      <c r="I235" s="8"/>
      <c r="J235" s="8"/>
      <c r="K235" s="8"/>
      <c r="L235" s="8"/>
    </row>
    <row r="236" spans="7:12" ht="14.25" customHeight="1">
      <c r="G236" s="7" t="s">
        <v>468</v>
      </c>
      <c r="H236" s="8"/>
      <c r="I236" s="8"/>
      <c r="J236" s="8"/>
      <c r="K236" s="8"/>
      <c r="L236" s="8"/>
    </row>
    <row r="237" spans="7:12" ht="14.25" customHeight="1">
      <c r="G237" s="7" t="s">
        <v>469</v>
      </c>
      <c r="H237" s="8"/>
      <c r="I237" s="8"/>
      <c r="J237" s="8"/>
      <c r="K237" s="8"/>
      <c r="L237" s="8"/>
    </row>
    <row r="238" spans="7:12" ht="14.25" customHeight="1">
      <c r="G238" s="7" t="s">
        <v>470</v>
      </c>
      <c r="H238" s="8"/>
      <c r="I238" s="8"/>
      <c r="J238" s="8"/>
      <c r="K238" s="8"/>
      <c r="L238" s="8"/>
    </row>
    <row r="239" spans="7:12" ht="14.25" customHeight="1">
      <c r="G239" s="7" t="s">
        <v>471</v>
      </c>
      <c r="H239" s="8"/>
      <c r="I239" s="8"/>
      <c r="J239" s="8"/>
      <c r="K239" s="8"/>
      <c r="L239" s="8"/>
    </row>
    <row r="240" spans="7:12" ht="14.25" customHeight="1">
      <c r="G240" s="7" t="s">
        <v>472</v>
      </c>
      <c r="H240" s="8"/>
      <c r="I240" s="8"/>
      <c r="J240" s="8"/>
      <c r="K240" s="8"/>
      <c r="L240" s="8"/>
    </row>
    <row r="241" spans="7:12" ht="14.25" customHeight="1">
      <c r="G241" s="7" t="s">
        <v>473</v>
      </c>
      <c r="H241" s="8"/>
      <c r="I241" s="8"/>
      <c r="J241" s="8"/>
      <c r="K241" s="8"/>
      <c r="L241" s="8"/>
    </row>
    <row r="242" spans="7:12" ht="14.25" customHeight="1">
      <c r="G242" s="7" t="s">
        <v>474</v>
      </c>
      <c r="H242" s="8"/>
      <c r="I242" s="8"/>
      <c r="J242" s="8"/>
      <c r="K242" s="8"/>
      <c r="L242" s="8"/>
    </row>
    <row r="243" spans="7:12" ht="14.25" customHeight="1">
      <c r="G243" s="7" t="s">
        <v>475</v>
      </c>
      <c r="H243" s="8"/>
      <c r="I243" s="8"/>
      <c r="J243" s="8"/>
      <c r="K243" s="8"/>
      <c r="L243" s="8"/>
    </row>
    <row r="244" spans="7:12" ht="14.25" customHeight="1">
      <c r="G244" s="7" t="s">
        <v>476</v>
      </c>
      <c r="H244" s="8"/>
      <c r="I244" s="8"/>
      <c r="J244" s="8"/>
      <c r="K244" s="8"/>
      <c r="L244" s="8"/>
    </row>
    <row r="245" spans="7:12" ht="14.25" customHeight="1">
      <c r="G245" s="7" t="s">
        <v>477</v>
      </c>
      <c r="H245" s="8"/>
      <c r="I245" s="8"/>
      <c r="J245" s="8"/>
      <c r="K245" s="8"/>
      <c r="L245" s="8"/>
    </row>
    <row r="246" spans="7:12" ht="14.25" customHeight="1">
      <c r="G246" s="7" t="s">
        <v>478</v>
      </c>
      <c r="H246" s="8"/>
      <c r="I246" s="8"/>
      <c r="J246" s="8"/>
      <c r="K246" s="8"/>
      <c r="L246" s="8"/>
    </row>
    <row r="247" spans="7:12" ht="14.25" customHeight="1">
      <c r="G247" s="7" t="s">
        <v>479</v>
      </c>
      <c r="H247" s="8"/>
      <c r="I247" s="8"/>
      <c r="J247" s="8"/>
      <c r="K247" s="8"/>
      <c r="L247" s="8"/>
    </row>
    <row r="248" spans="7:12" ht="14.25" customHeight="1">
      <c r="G248" s="7" t="s">
        <v>480</v>
      </c>
      <c r="H248" s="8"/>
      <c r="I248" s="8"/>
      <c r="J248" s="8"/>
      <c r="K248" s="8"/>
      <c r="L248" s="8"/>
    </row>
    <row r="249" spans="7:12" ht="14.25" customHeight="1">
      <c r="G249" s="7" t="s">
        <v>481</v>
      </c>
      <c r="H249" s="8"/>
      <c r="I249" s="8"/>
      <c r="J249" s="8"/>
      <c r="K249" s="8"/>
      <c r="L249" s="8"/>
    </row>
    <row r="250" spans="7:12" ht="14.25" customHeight="1">
      <c r="G250" s="7" t="s">
        <v>482</v>
      </c>
      <c r="H250" s="8"/>
      <c r="I250" s="8"/>
      <c r="J250" s="8"/>
      <c r="K250" s="8"/>
      <c r="L250" s="8"/>
    </row>
    <row r="251" spans="7:12" ht="14.25" customHeight="1">
      <c r="G251" s="7" t="s">
        <v>483</v>
      </c>
      <c r="H251" s="8"/>
      <c r="I251" s="8"/>
      <c r="J251" s="8"/>
      <c r="K251" s="8"/>
      <c r="L251" s="8"/>
    </row>
    <row r="252" spans="7:12" ht="14.25" customHeight="1">
      <c r="G252" s="7" t="s">
        <v>484</v>
      </c>
      <c r="H252" s="8"/>
      <c r="I252" s="8"/>
      <c r="J252" s="8"/>
      <c r="K252" s="8"/>
      <c r="L252" s="8"/>
    </row>
    <row r="253" spans="7:12" ht="14.25" customHeight="1">
      <c r="G253" s="7" t="s">
        <v>485</v>
      </c>
      <c r="H253" s="8"/>
      <c r="I253" s="8"/>
      <c r="J253" s="8"/>
      <c r="K253" s="8"/>
      <c r="L253" s="8"/>
    </row>
    <row r="254" spans="7:12" ht="14.25" customHeight="1">
      <c r="G254" s="7" t="s">
        <v>486</v>
      </c>
      <c r="H254" s="8"/>
      <c r="I254" s="8"/>
      <c r="J254" s="8"/>
      <c r="K254" s="8"/>
      <c r="L254" s="8"/>
    </row>
    <row r="255" spans="7:12" ht="14.25" customHeight="1">
      <c r="G255" s="7" t="s">
        <v>487</v>
      </c>
      <c r="H255" s="8"/>
      <c r="I255" s="8"/>
      <c r="J255" s="8"/>
      <c r="K255" s="8"/>
      <c r="L255" s="8"/>
    </row>
    <row r="256" spans="7:12" ht="14.25" customHeight="1">
      <c r="G256" s="7" t="s">
        <v>488</v>
      </c>
      <c r="H256" s="8"/>
      <c r="I256" s="8"/>
      <c r="J256" s="8"/>
      <c r="K256" s="8"/>
      <c r="L256" s="8"/>
    </row>
    <row r="257" spans="7:12" ht="14.25" customHeight="1">
      <c r="G257" s="7" t="s">
        <v>489</v>
      </c>
      <c r="H257" s="8"/>
      <c r="I257" s="8"/>
      <c r="J257" s="8"/>
      <c r="K257" s="8"/>
      <c r="L257" s="8"/>
    </row>
    <row r="258" spans="7:12" ht="14.25" customHeight="1">
      <c r="G258" s="7" t="s">
        <v>490</v>
      </c>
      <c r="H258" s="8"/>
      <c r="I258" s="8"/>
      <c r="J258" s="8"/>
      <c r="K258" s="8"/>
      <c r="L258" s="8"/>
    </row>
    <row r="259" spans="7:12" ht="14.25" customHeight="1">
      <c r="G259" s="7" t="s">
        <v>491</v>
      </c>
      <c r="H259" s="8"/>
      <c r="I259" s="8"/>
      <c r="J259" s="8"/>
      <c r="K259" s="8"/>
      <c r="L259" s="8"/>
    </row>
    <row r="260" spans="7:12" ht="14.25" customHeight="1">
      <c r="G260" s="7" t="s">
        <v>492</v>
      </c>
      <c r="H260" s="8"/>
      <c r="I260" s="8"/>
      <c r="J260" s="8"/>
      <c r="K260" s="8"/>
      <c r="L260" s="8"/>
    </row>
    <row r="261" spans="7:12" ht="14.25" customHeight="1">
      <c r="G261" s="7" t="s">
        <v>493</v>
      </c>
      <c r="H261" s="8"/>
      <c r="I261" s="8"/>
      <c r="J261" s="8"/>
      <c r="K261" s="8"/>
      <c r="L261" s="8"/>
    </row>
    <row r="262" spans="7:12" ht="14.25" customHeight="1">
      <c r="G262" s="7" t="s">
        <v>494</v>
      </c>
      <c r="H262" s="8"/>
      <c r="I262" s="8"/>
      <c r="J262" s="8"/>
      <c r="K262" s="8"/>
      <c r="L262" s="8"/>
    </row>
    <row r="263" spans="7:12" ht="14.25" customHeight="1">
      <c r="G263" s="7" t="s">
        <v>495</v>
      </c>
      <c r="H263" s="8"/>
      <c r="I263" s="8"/>
      <c r="J263" s="8"/>
      <c r="K263" s="8"/>
      <c r="L263" s="8"/>
    </row>
    <row r="264" spans="7:12" ht="14.25" customHeight="1">
      <c r="G264" s="7" t="s">
        <v>496</v>
      </c>
      <c r="H264" s="8"/>
      <c r="I264" s="8"/>
      <c r="J264" s="8"/>
      <c r="K264" s="8"/>
      <c r="L264" s="8"/>
    </row>
    <row r="265" spans="7:12" ht="14.25" customHeight="1">
      <c r="G265" s="7" t="s">
        <v>497</v>
      </c>
      <c r="H265" s="8"/>
      <c r="I265" s="8"/>
      <c r="J265" s="8"/>
      <c r="K265" s="8"/>
      <c r="L265" s="8"/>
    </row>
    <row r="266" spans="7:12" ht="14.25" customHeight="1">
      <c r="G266" s="7" t="s">
        <v>498</v>
      </c>
      <c r="H266" s="8"/>
      <c r="I266" s="8"/>
      <c r="J266" s="8"/>
      <c r="K266" s="8"/>
      <c r="L266" s="8"/>
    </row>
    <row r="267" spans="7:12" ht="14.25" customHeight="1">
      <c r="G267" s="7" t="s">
        <v>499</v>
      </c>
      <c r="H267" s="8"/>
      <c r="I267" s="8"/>
      <c r="J267" s="8"/>
      <c r="K267" s="8"/>
      <c r="L267" s="8"/>
    </row>
    <row r="268" spans="7:12" ht="14.25" customHeight="1">
      <c r="G268" s="7" t="s">
        <v>500</v>
      </c>
      <c r="H268" s="8"/>
      <c r="I268" s="8"/>
      <c r="J268" s="8"/>
      <c r="K268" s="8"/>
      <c r="L268" s="8"/>
    </row>
    <row r="269" spans="7:12" ht="14.25" customHeight="1">
      <c r="G269" s="7" t="s">
        <v>501</v>
      </c>
      <c r="H269" s="8"/>
      <c r="I269" s="8"/>
      <c r="J269" s="8"/>
      <c r="K269" s="8"/>
      <c r="L269" s="8"/>
    </row>
    <row r="270" spans="7:12" ht="14.25" customHeight="1">
      <c r="G270" s="7" t="s">
        <v>502</v>
      </c>
      <c r="H270" s="8"/>
      <c r="I270" s="8"/>
      <c r="J270" s="8"/>
      <c r="K270" s="8"/>
      <c r="L270" s="8"/>
    </row>
    <row r="271" spans="7:12" ht="14.25" customHeight="1">
      <c r="G271" s="7" t="s">
        <v>503</v>
      </c>
      <c r="H271" s="8"/>
      <c r="I271" s="8"/>
      <c r="J271" s="8"/>
      <c r="K271" s="8"/>
      <c r="L271" s="8"/>
    </row>
    <row r="272" spans="7:12" ht="14.25" customHeight="1">
      <c r="G272" s="7" t="s">
        <v>504</v>
      </c>
      <c r="H272" s="8"/>
      <c r="I272" s="8"/>
      <c r="J272" s="8"/>
      <c r="K272" s="8"/>
      <c r="L272" s="8"/>
    </row>
    <row r="273" spans="7:12" ht="14.25" customHeight="1">
      <c r="G273" s="7" t="s">
        <v>505</v>
      </c>
      <c r="H273" s="8"/>
      <c r="I273" s="8"/>
      <c r="J273" s="8"/>
      <c r="K273" s="8"/>
      <c r="L273" s="8"/>
    </row>
    <row r="274" spans="7:12" ht="14.25" customHeight="1">
      <c r="G274" s="7" t="s">
        <v>506</v>
      </c>
      <c r="H274" s="8"/>
      <c r="I274" s="8"/>
      <c r="J274" s="8"/>
      <c r="K274" s="8"/>
      <c r="L274" s="8"/>
    </row>
    <row r="275" spans="7:12" ht="14.25" customHeight="1">
      <c r="G275" s="7" t="s">
        <v>507</v>
      </c>
      <c r="H275" s="8"/>
      <c r="I275" s="8"/>
      <c r="J275" s="8"/>
      <c r="K275" s="8"/>
      <c r="L275" s="8"/>
    </row>
    <row r="276" spans="7:12" ht="14.25" customHeight="1">
      <c r="G276" s="7" t="s">
        <v>508</v>
      </c>
      <c r="H276" s="8"/>
      <c r="I276" s="8"/>
      <c r="J276" s="8"/>
      <c r="K276" s="8"/>
      <c r="L276" s="8"/>
    </row>
    <row r="277" spans="7:12" ht="14.25" customHeight="1">
      <c r="G277" s="7" t="s">
        <v>509</v>
      </c>
      <c r="H277" s="8"/>
      <c r="I277" s="8"/>
      <c r="J277" s="8"/>
      <c r="K277" s="8"/>
      <c r="L277" s="8"/>
    </row>
    <row r="278" spans="7:12" ht="14.25" customHeight="1">
      <c r="G278" s="7" t="s">
        <v>510</v>
      </c>
      <c r="H278" s="8"/>
      <c r="I278" s="8"/>
      <c r="J278" s="8"/>
      <c r="K278" s="8"/>
      <c r="L278" s="8"/>
    </row>
    <row r="279" spans="7:12" ht="14.25" customHeight="1">
      <c r="G279" s="7" t="s">
        <v>511</v>
      </c>
      <c r="H279" s="8"/>
      <c r="I279" s="8"/>
      <c r="J279" s="8"/>
      <c r="K279" s="8"/>
      <c r="L279" s="8"/>
    </row>
    <row r="280" spans="7:12" ht="14.25" customHeight="1">
      <c r="G280" s="7" t="s">
        <v>512</v>
      </c>
      <c r="H280" s="8"/>
      <c r="I280" s="8"/>
      <c r="J280" s="8"/>
      <c r="K280" s="8"/>
      <c r="L280" s="8"/>
    </row>
    <row r="281" spans="7:12" ht="14.25" customHeight="1">
      <c r="G281" s="7" t="s">
        <v>513</v>
      </c>
      <c r="H281" s="8"/>
      <c r="I281" s="8"/>
      <c r="J281" s="8"/>
      <c r="K281" s="8"/>
      <c r="L281" s="8"/>
    </row>
    <row r="282" spans="7:12" ht="14.25" customHeight="1">
      <c r="G282" s="7" t="s">
        <v>514</v>
      </c>
      <c r="H282" s="8"/>
      <c r="I282" s="8"/>
      <c r="J282" s="8"/>
      <c r="K282" s="8"/>
      <c r="L282" s="8"/>
    </row>
    <row r="283" spans="7:12" ht="14.25" customHeight="1">
      <c r="G283" s="7" t="s">
        <v>515</v>
      </c>
      <c r="H283" s="8"/>
      <c r="I283" s="8"/>
      <c r="J283" s="8"/>
      <c r="K283" s="8"/>
      <c r="L283" s="8"/>
    </row>
    <row r="284" spans="7:12" ht="14.25" customHeight="1">
      <c r="G284" s="7" t="s">
        <v>516</v>
      </c>
      <c r="H284" s="8"/>
      <c r="I284" s="8"/>
      <c r="J284" s="8"/>
      <c r="K284" s="8"/>
      <c r="L284" s="8"/>
    </row>
    <row r="285" spans="7:12" ht="14.25" customHeight="1">
      <c r="G285" s="7" t="s">
        <v>517</v>
      </c>
      <c r="H285" s="8"/>
      <c r="I285" s="8"/>
      <c r="J285" s="8"/>
      <c r="K285" s="8"/>
      <c r="L285" s="8"/>
    </row>
    <row r="286" spans="7:12" ht="14.25" customHeight="1">
      <c r="G286" s="7" t="s">
        <v>518</v>
      </c>
      <c r="H286" s="8"/>
      <c r="I286" s="8"/>
      <c r="J286" s="8"/>
      <c r="K286" s="8"/>
      <c r="L286" s="8"/>
    </row>
    <row r="287" spans="7:12" ht="14.25" customHeight="1">
      <c r="G287" s="7" t="s">
        <v>519</v>
      </c>
      <c r="H287" s="8"/>
      <c r="I287" s="8"/>
      <c r="J287" s="8"/>
      <c r="K287" s="8"/>
      <c r="L287" s="8"/>
    </row>
    <row r="288" spans="7:12" ht="14.25" customHeight="1">
      <c r="G288" s="7" t="s">
        <v>520</v>
      </c>
      <c r="H288" s="8"/>
      <c r="I288" s="8"/>
      <c r="J288" s="8"/>
      <c r="K288" s="8"/>
      <c r="L288" s="8"/>
    </row>
    <row r="289" spans="7:12" ht="14.25" customHeight="1">
      <c r="G289" s="7" t="s">
        <v>521</v>
      </c>
      <c r="H289" s="8"/>
      <c r="I289" s="8"/>
      <c r="J289" s="8"/>
      <c r="K289" s="8"/>
      <c r="L289" s="8"/>
    </row>
    <row r="290" spans="7:12" ht="14.25" customHeight="1">
      <c r="G290" s="7" t="s">
        <v>522</v>
      </c>
      <c r="H290" s="8"/>
      <c r="I290" s="8"/>
      <c r="J290" s="8"/>
      <c r="K290" s="8"/>
      <c r="L290" s="8"/>
    </row>
    <row r="291" spans="7:12" ht="14.25" customHeight="1">
      <c r="G291" s="5" t="s">
        <v>523</v>
      </c>
    </row>
    <row r="292" spans="7:12" ht="14.25" customHeight="1">
      <c r="G292" s="5" t="s">
        <v>524</v>
      </c>
    </row>
    <row r="293" spans="7:12" ht="14.25" customHeight="1">
      <c r="G293" s="5" t="s">
        <v>525</v>
      </c>
    </row>
    <row r="294" spans="7:12" ht="14.25" customHeight="1">
      <c r="G294" s="5" t="s">
        <v>526</v>
      </c>
    </row>
    <row r="295" spans="7:12" ht="14.25" customHeight="1">
      <c r="G295" s="5" t="s">
        <v>527</v>
      </c>
    </row>
    <row r="296" spans="7:12" ht="14.25" customHeight="1">
      <c r="G296" s="5" t="s">
        <v>528</v>
      </c>
    </row>
    <row r="297" spans="7:12" ht="14.25" customHeight="1">
      <c r="G297" s="5" t="s">
        <v>529</v>
      </c>
    </row>
    <row r="298" spans="7:12" ht="14.25" customHeight="1">
      <c r="G298" s="5" t="s">
        <v>530</v>
      </c>
    </row>
    <row r="299" spans="7:12" ht="14.25" customHeight="1">
      <c r="G299" s="5" t="s">
        <v>531</v>
      </c>
    </row>
    <row r="300" spans="7:12" ht="14.25" customHeight="1">
      <c r="G300" s="5" t="s">
        <v>532</v>
      </c>
    </row>
    <row r="301" spans="7:12" ht="14.25" customHeight="1">
      <c r="G301" s="5" t="s">
        <v>533</v>
      </c>
    </row>
    <row r="302" spans="7:12" ht="14.25" customHeight="1">
      <c r="G302" s="5" t="s">
        <v>534</v>
      </c>
    </row>
    <row r="303" spans="7:12" ht="14.25" customHeight="1">
      <c r="G303" s="5" t="s">
        <v>535</v>
      </c>
    </row>
    <row r="304" spans="7:12" ht="14.25" customHeight="1">
      <c r="G304" s="5" t="s">
        <v>536</v>
      </c>
    </row>
    <row r="305" spans="7:7" ht="14.25" customHeight="1">
      <c r="G305" s="5" t="s">
        <v>537</v>
      </c>
    </row>
    <row r="306" spans="7:7" ht="14.25" customHeight="1">
      <c r="G306" s="5" t="s">
        <v>538</v>
      </c>
    </row>
    <row r="307" spans="7:7" ht="14.25" customHeight="1">
      <c r="G307" s="5" t="s">
        <v>539</v>
      </c>
    </row>
    <row r="308" spans="7:7" ht="14.25" customHeight="1">
      <c r="G308" s="5" t="s">
        <v>540</v>
      </c>
    </row>
    <row r="309" spans="7:7" ht="14.25" customHeight="1">
      <c r="G309" s="5" t="s">
        <v>541</v>
      </c>
    </row>
    <row r="310" spans="7:7" ht="14.25" customHeight="1">
      <c r="G310" s="5" t="s">
        <v>542</v>
      </c>
    </row>
    <row r="311" spans="7:7" ht="14.25" customHeight="1">
      <c r="G311" s="5" t="s">
        <v>543</v>
      </c>
    </row>
    <row r="312" spans="7:7" ht="14.25" customHeight="1">
      <c r="G312" s="5" t="s">
        <v>544</v>
      </c>
    </row>
    <row r="313" spans="7:7" ht="14.25" customHeight="1">
      <c r="G313" s="5" t="s">
        <v>545</v>
      </c>
    </row>
    <row r="314" spans="7:7" ht="14.25" customHeight="1">
      <c r="G314" s="5" t="s">
        <v>546</v>
      </c>
    </row>
    <row r="315" spans="7:7" ht="14.25" customHeight="1">
      <c r="G315" s="5" t="s">
        <v>547</v>
      </c>
    </row>
    <row r="316" spans="7:7" ht="14.25" customHeight="1">
      <c r="G316" s="5" t="s">
        <v>548</v>
      </c>
    </row>
    <row r="317" spans="7:7" ht="14.25" customHeight="1">
      <c r="G317" s="5" t="s">
        <v>549</v>
      </c>
    </row>
    <row r="318" spans="7:7" ht="14.25" customHeight="1">
      <c r="G318" s="5" t="s">
        <v>550</v>
      </c>
    </row>
    <row r="319" spans="7:7" ht="14.25" customHeight="1">
      <c r="G319" s="5" t="s">
        <v>551</v>
      </c>
    </row>
    <row r="320" spans="7:7" ht="14.25" customHeight="1">
      <c r="G320" s="5" t="s">
        <v>552</v>
      </c>
    </row>
    <row r="321" spans="7:7" ht="14.25" customHeight="1">
      <c r="G321" s="5" t="s">
        <v>553</v>
      </c>
    </row>
    <row r="322" spans="7:7" ht="14.25" customHeight="1">
      <c r="G322" s="5" t="s">
        <v>554</v>
      </c>
    </row>
    <row r="323" spans="7:7" ht="14.25" customHeight="1">
      <c r="G323" s="5" t="s">
        <v>555</v>
      </c>
    </row>
    <row r="324" spans="7:7" ht="14.25" customHeight="1">
      <c r="G324" s="5" t="s">
        <v>556</v>
      </c>
    </row>
    <row r="325" spans="7:7" ht="14.25" customHeight="1">
      <c r="G325" s="5" t="s">
        <v>557</v>
      </c>
    </row>
    <row r="326" spans="7:7" ht="14.25" customHeight="1">
      <c r="G326" s="5" t="s">
        <v>558</v>
      </c>
    </row>
    <row r="327" spans="7:7" ht="14.25" customHeight="1">
      <c r="G327" s="5" t="s">
        <v>559</v>
      </c>
    </row>
    <row r="328" spans="7:7" ht="14.25" customHeight="1">
      <c r="G328" s="5" t="s">
        <v>560</v>
      </c>
    </row>
    <row r="329" spans="7:7" ht="14.25" customHeight="1">
      <c r="G329" s="5" t="s">
        <v>561</v>
      </c>
    </row>
    <row r="330" spans="7:7" ht="14.25" customHeight="1">
      <c r="G330" s="5" t="s">
        <v>562</v>
      </c>
    </row>
    <row r="331" spans="7:7" ht="14.25" customHeight="1">
      <c r="G331" s="5" t="s">
        <v>563</v>
      </c>
    </row>
    <row r="332" spans="7:7" ht="14.25" customHeight="1">
      <c r="G332" s="5" t="s">
        <v>564</v>
      </c>
    </row>
    <row r="333" spans="7:7" ht="14.25" customHeight="1">
      <c r="G333" s="5" t="s">
        <v>565</v>
      </c>
    </row>
    <row r="334" spans="7:7" ht="14.25" customHeight="1">
      <c r="G334" s="5" t="s">
        <v>566</v>
      </c>
    </row>
    <row r="335" spans="7:7" ht="14.25" customHeight="1">
      <c r="G335" s="5" t="s">
        <v>567</v>
      </c>
    </row>
    <row r="336" spans="7:7" ht="14.25" customHeight="1">
      <c r="G336" s="5" t="s">
        <v>568</v>
      </c>
    </row>
    <row r="337" spans="7:7" ht="14.25" customHeight="1">
      <c r="G337" s="5" t="s">
        <v>569</v>
      </c>
    </row>
    <row r="338" spans="7:7" ht="14.25" customHeight="1">
      <c r="G338" s="5" t="s">
        <v>570</v>
      </c>
    </row>
    <row r="339" spans="7:7" ht="14.25" customHeight="1">
      <c r="G339" s="5" t="s">
        <v>571</v>
      </c>
    </row>
    <row r="340" spans="7:7" ht="14.25" customHeight="1">
      <c r="G340" s="5" t="s">
        <v>572</v>
      </c>
    </row>
    <row r="341" spans="7:7" ht="14.25" customHeight="1">
      <c r="G341" s="5" t="s">
        <v>573</v>
      </c>
    </row>
    <row r="342" spans="7:7" ht="14.25" customHeight="1">
      <c r="G342" s="5" t="s">
        <v>574</v>
      </c>
    </row>
    <row r="343" spans="7:7" ht="14.25" customHeight="1">
      <c r="G343" s="5" t="s">
        <v>575</v>
      </c>
    </row>
    <row r="344" spans="7:7" ht="14.25" customHeight="1">
      <c r="G344" s="5" t="s">
        <v>576</v>
      </c>
    </row>
    <row r="345" spans="7:7" ht="14.25" customHeight="1">
      <c r="G345" s="5" t="s">
        <v>577</v>
      </c>
    </row>
    <row r="346" spans="7:7" ht="14.25" customHeight="1">
      <c r="G346" s="5" t="s">
        <v>578</v>
      </c>
    </row>
    <row r="347" spans="7:7" ht="14.25" customHeight="1">
      <c r="G347" s="5" t="s">
        <v>579</v>
      </c>
    </row>
    <row r="348" spans="7:7" ht="14.25" customHeight="1">
      <c r="G348" s="5" t="s">
        <v>580</v>
      </c>
    </row>
    <row r="349" spans="7:7" ht="14.25" customHeight="1">
      <c r="G349" s="5" t="s">
        <v>581</v>
      </c>
    </row>
    <row r="350" spans="7:7" ht="14.25" customHeight="1">
      <c r="G350" s="5" t="s">
        <v>582</v>
      </c>
    </row>
    <row r="351" spans="7:7" ht="14.25" customHeight="1">
      <c r="G351" s="5" t="s">
        <v>583</v>
      </c>
    </row>
    <row r="352" spans="7:7" ht="14.25" customHeight="1">
      <c r="G352" s="5" t="s">
        <v>584</v>
      </c>
    </row>
    <row r="353" spans="7:7" ht="14.25" customHeight="1">
      <c r="G353" s="5" t="s">
        <v>585</v>
      </c>
    </row>
    <row r="354" spans="7:7" ht="14.25" customHeight="1">
      <c r="G354" s="5" t="s">
        <v>586</v>
      </c>
    </row>
    <row r="355" spans="7:7" ht="14.25" customHeight="1">
      <c r="G355" s="5" t="s">
        <v>587</v>
      </c>
    </row>
    <row r="356" spans="7:7" ht="14.25" customHeight="1">
      <c r="G356" s="5" t="s">
        <v>588</v>
      </c>
    </row>
    <row r="357" spans="7:7" ht="14.25" customHeight="1">
      <c r="G357" s="5" t="s">
        <v>589</v>
      </c>
    </row>
    <row r="358" spans="7:7" ht="14.25" customHeight="1">
      <c r="G358" s="5" t="s">
        <v>590</v>
      </c>
    </row>
    <row r="359" spans="7:7" ht="14.25" customHeight="1">
      <c r="G359" s="5" t="s">
        <v>591</v>
      </c>
    </row>
    <row r="360" spans="7:7" ht="14.25" customHeight="1">
      <c r="G360" s="5" t="s">
        <v>592</v>
      </c>
    </row>
    <row r="361" spans="7:7" ht="14.25" customHeight="1">
      <c r="G361" s="5" t="s">
        <v>593</v>
      </c>
    </row>
    <row r="362" spans="7:7" ht="14.25" customHeight="1">
      <c r="G362" s="5" t="s">
        <v>594</v>
      </c>
    </row>
    <row r="363" spans="7:7" ht="14.25" customHeight="1">
      <c r="G363" s="5" t="s">
        <v>595</v>
      </c>
    </row>
    <row r="364" spans="7:7" ht="14.25" customHeight="1">
      <c r="G364" s="5" t="s">
        <v>596</v>
      </c>
    </row>
    <row r="365" spans="7:7" ht="14.25" customHeight="1">
      <c r="G365" s="5" t="s">
        <v>597</v>
      </c>
    </row>
    <row r="366" spans="7:7" ht="14.25" customHeight="1">
      <c r="G366" s="5" t="s">
        <v>598</v>
      </c>
    </row>
    <row r="367" spans="7:7" ht="14.25" customHeight="1">
      <c r="G367" s="5" t="s">
        <v>599</v>
      </c>
    </row>
    <row r="368" spans="7:7" ht="14.25" customHeight="1">
      <c r="G368" s="5" t="s">
        <v>600</v>
      </c>
    </row>
    <row r="369" spans="7:7" ht="14.25" customHeight="1">
      <c r="G369" s="5" t="s">
        <v>601</v>
      </c>
    </row>
    <row r="370" spans="7:7" ht="14.25" customHeight="1">
      <c r="G370" s="5" t="s">
        <v>602</v>
      </c>
    </row>
    <row r="371" spans="7:7" ht="14.25" customHeight="1">
      <c r="G371" s="5" t="s">
        <v>603</v>
      </c>
    </row>
    <row r="372" spans="7:7" ht="14.25" customHeight="1">
      <c r="G372" s="5" t="s">
        <v>604</v>
      </c>
    </row>
    <row r="373" spans="7:7" ht="14.25" customHeight="1">
      <c r="G373" s="5" t="s">
        <v>605</v>
      </c>
    </row>
    <row r="374" spans="7:7" ht="14.25" customHeight="1">
      <c r="G374" s="5" t="s">
        <v>606</v>
      </c>
    </row>
    <row r="375" spans="7:7" ht="14.25" customHeight="1">
      <c r="G375" s="5" t="s">
        <v>607</v>
      </c>
    </row>
    <row r="376" spans="7:7" ht="14.25" customHeight="1">
      <c r="G376" s="5" t="s">
        <v>608</v>
      </c>
    </row>
    <row r="377" spans="7:7" ht="14.25" customHeight="1">
      <c r="G377" s="5" t="s">
        <v>609</v>
      </c>
    </row>
    <row r="378" spans="7:7" ht="14.25" customHeight="1">
      <c r="G378" s="5" t="s">
        <v>610</v>
      </c>
    </row>
    <row r="379" spans="7:7" ht="14.25" customHeight="1">
      <c r="G379" s="5" t="s">
        <v>611</v>
      </c>
    </row>
    <row r="380" spans="7:7" ht="14.25" customHeight="1">
      <c r="G380" s="5" t="s">
        <v>612</v>
      </c>
    </row>
    <row r="381" spans="7:7" ht="14.25" customHeight="1">
      <c r="G381" s="5" t="s">
        <v>613</v>
      </c>
    </row>
    <row r="382" spans="7:7" ht="14.25" customHeight="1">
      <c r="G382" s="5" t="s">
        <v>614</v>
      </c>
    </row>
    <row r="383" spans="7:7" ht="14.25" customHeight="1">
      <c r="G383" s="5" t="s">
        <v>615</v>
      </c>
    </row>
    <row r="384" spans="7:7" ht="14.25" customHeight="1">
      <c r="G384" s="5" t="s">
        <v>616</v>
      </c>
    </row>
    <row r="385" spans="7:7" ht="14.25" customHeight="1">
      <c r="G385" s="5" t="s">
        <v>617</v>
      </c>
    </row>
    <row r="386" spans="7:7" ht="14.25" customHeight="1">
      <c r="G386" s="5" t="s">
        <v>618</v>
      </c>
    </row>
    <row r="387" spans="7:7" ht="14.25" customHeight="1">
      <c r="G387" s="5" t="s">
        <v>619</v>
      </c>
    </row>
    <row r="388" spans="7:7" ht="14.25" customHeight="1">
      <c r="G388" s="5" t="s">
        <v>620</v>
      </c>
    </row>
    <row r="389" spans="7:7" ht="14.25" customHeight="1">
      <c r="G389" s="5" t="s">
        <v>621</v>
      </c>
    </row>
    <row r="390" spans="7:7" ht="14.25" customHeight="1">
      <c r="G390" s="5" t="s">
        <v>622</v>
      </c>
    </row>
    <row r="391" spans="7:7" ht="14.25" customHeight="1">
      <c r="G391" s="5" t="s">
        <v>623</v>
      </c>
    </row>
    <row r="392" spans="7:7" ht="14.25" customHeight="1">
      <c r="G392" s="5" t="s">
        <v>624</v>
      </c>
    </row>
    <row r="393" spans="7:7" ht="14.25" customHeight="1">
      <c r="G393" s="5" t="s">
        <v>625</v>
      </c>
    </row>
    <row r="394" spans="7:7" ht="14.25" customHeight="1">
      <c r="G394" s="5" t="s">
        <v>626</v>
      </c>
    </row>
    <row r="395" spans="7:7" ht="14.25" customHeight="1">
      <c r="G395" s="5" t="s">
        <v>627</v>
      </c>
    </row>
    <row r="396" spans="7:7" ht="14.25" customHeight="1">
      <c r="G396" s="5" t="s">
        <v>628</v>
      </c>
    </row>
    <row r="397" spans="7:7" ht="14.25" customHeight="1">
      <c r="G397" s="5" t="s">
        <v>629</v>
      </c>
    </row>
    <row r="398" spans="7:7" ht="14.25" customHeight="1">
      <c r="G398" s="5" t="s">
        <v>630</v>
      </c>
    </row>
    <row r="399" spans="7:7" ht="14.25" customHeight="1">
      <c r="G399" s="5" t="s">
        <v>631</v>
      </c>
    </row>
    <row r="400" spans="7:7" ht="14.25" customHeight="1">
      <c r="G400" s="5" t="s">
        <v>632</v>
      </c>
    </row>
    <row r="401" spans="7:7" ht="14.25" customHeight="1">
      <c r="G401" s="5" t="s">
        <v>633</v>
      </c>
    </row>
    <row r="402" spans="7:7" ht="14.25" customHeight="1">
      <c r="G402" s="5" t="s">
        <v>634</v>
      </c>
    </row>
    <row r="403" spans="7:7" ht="14.25" customHeight="1">
      <c r="G403" s="5" t="s">
        <v>635</v>
      </c>
    </row>
    <row r="404" spans="7:7" ht="14.25" customHeight="1">
      <c r="G404" s="5" t="s">
        <v>636</v>
      </c>
    </row>
    <row r="405" spans="7:7" ht="14.25" customHeight="1">
      <c r="G405" s="5" t="s">
        <v>637</v>
      </c>
    </row>
    <row r="406" spans="7:7" ht="14.25" customHeight="1">
      <c r="G406" s="5" t="s">
        <v>638</v>
      </c>
    </row>
    <row r="407" spans="7:7" ht="14.25" customHeight="1">
      <c r="G407" s="5" t="s">
        <v>639</v>
      </c>
    </row>
    <row r="408" spans="7:7" ht="14.25" customHeight="1">
      <c r="G408" s="5" t="s">
        <v>640</v>
      </c>
    </row>
    <row r="409" spans="7:7" ht="14.25" customHeight="1">
      <c r="G409" s="5" t="s">
        <v>641</v>
      </c>
    </row>
    <row r="410" spans="7:7" ht="14.25" customHeight="1">
      <c r="G410" s="5" t="s">
        <v>642</v>
      </c>
    </row>
    <row r="411" spans="7:7" ht="14.25" customHeight="1">
      <c r="G411" s="5" t="s">
        <v>643</v>
      </c>
    </row>
    <row r="412" spans="7:7" ht="14.25" customHeight="1">
      <c r="G412" s="5" t="s">
        <v>644</v>
      </c>
    </row>
    <row r="413" spans="7:7" ht="14.25" customHeight="1">
      <c r="G413" s="5" t="s">
        <v>645</v>
      </c>
    </row>
    <row r="414" spans="7:7" ht="14.25" customHeight="1">
      <c r="G414" s="5" t="s">
        <v>646</v>
      </c>
    </row>
    <row r="415" spans="7:7" ht="14.25" customHeight="1">
      <c r="G415" s="5" t="s">
        <v>647</v>
      </c>
    </row>
    <row r="416" spans="7:7" ht="14.25" customHeight="1">
      <c r="G416" s="5" t="s">
        <v>648</v>
      </c>
    </row>
    <row r="417" spans="7:7" ht="14.25" customHeight="1">
      <c r="G417" s="5" t="s">
        <v>649</v>
      </c>
    </row>
    <row r="418" spans="7:7" ht="14.25" customHeight="1">
      <c r="G418" s="5" t="s">
        <v>650</v>
      </c>
    </row>
    <row r="419" spans="7:7" ht="14.25" customHeight="1">
      <c r="G419" s="5" t="s">
        <v>651</v>
      </c>
    </row>
    <row r="420" spans="7:7" ht="14.25" customHeight="1">
      <c r="G420" s="5" t="s">
        <v>652</v>
      </c>
    </row>
    <row r="421" spans="7:7" ht="14.25" customHeight="1">
      <c r="G421" s="5" t="s">
        <v>653</v>
      </c>
    </row>
    <row r="422" spans="7:7" ht="14.25" customHeight="1">
      <c r="G422" s="5" t="s">
        <v>654</v>
      </c>
    </row>
    <row r="423" spans="7:7" ht="14.25" customHeight="1">
      <c r="G423" s="5" t="s">
        <v>655</v>
      </c>
    </row>
    <row r="424" spans="7:7" ht="14.25" customHeight="1">
      <c r="G424" s="5" t="s">
        <v>656</v>
      </c>
    </row>
    <row r="425" spans="7:7" ht="14.25" customHeight="1">
      <c r="G425" s="5" t="s">
        <v>657</v>
      </c>
    </row>
    <row r="426" spans="7:7" ht="14.25" customHeight="1">
      <c r="G426" s="5" t="s">
        <v>658</v>
      </c>
    </row>
    <row r="427" spans="7:7" ht="14.25" customHeight="1">
      <c r="G427" s="5" t="s">
        <v>659</v>
      </c>
    </row>
    <row r="428" spans="7:7" ht="14.25" customHeight="1">
      <c r="G428" s="5" t="s">
        <v>660</v>
      </c>
    </row>
    <row r="429" spans="7:7" ht="14.25" customHeight="1">
      <c r="G429" s="5" t="s">
        <v>661</v>
      </c>
    </row>
    <row r="430" spans="7:7" ht="14.25" customHeight="1">
      <c r="G430" s="5" t="s">
        <v>662</v>
      </c>
    </row>
    <row r="431" spans="7:7" ht="14.25" customHeight="1">
      <c r="G431" s="5" t="s">
        <v>663</v>
      </c>
    </row>
    <row r="432" spans="7:7" ht="14.25" customHeight="1">
      <c r="G432" s="5" t="s">
        <v>664</v>
      </c>
    </row>
    <row r="433" spans="7:7" ht="14.25" customHeight="1">
      <c r="G433" s="5" t="s">
        <v>665</v>
      </c>
    </row>
    <row r="434" spans="7:7" ht="14.25" customHeight="1">
      <c r="G434" s="5" t="s">
        <v>666</v>
      </c>
    </row>
    <row r="435" spans="7:7" ht="14.25" customHeight="1">
      <c r="G435" s="5" t="s">
        <v>667</v>
      </c>
    </row>
    <row r="436" spans="7:7" ht="14.25" customHeight="1">
      <c r="G436" s="5" t="s">
        <v>668</v>
      </c>
    </row>
    <row r="437" spans="7:7" ht="14.25" customHeight="1">
      <c r="G437" s="5" t="s">
        <v>669</v>
      </c>
    </row>
    <row r="438" spans="7:7" ht="14.25" customHeight="1">
      <c r="G438" s="5" t="s">
        <v>670</v>
      </c>
    </row>
    <row r="439" spans="7:7" ht="14.25" customHeight="1">
      <c r="G439" s="5" t="s">
        <v>671</v>
      </c>
    </row>
    <row r="440" spans="7:7" ht="14.25" customHeight="1">
      <c r="G440" s="5" t="s">
        <v>672</v>
      </c>
    </row>
    <row r="441" spans="7:7" ht="14.25" customHeight="1">
      <c r="G441" s="5" t="s">
        <v>673</v>
      </c>
    </row>
    <row r="442" spans="7:7" ht="14.25" customHeight="1">
      <c r="G442" s="5" t="s">
        <v>674</v>
      </c>
    </row>
    <row r="443" spans="7:7" ht="14.25" customHeight="1">
      <c r="G443" s="5" t="s">
        <v>675</v>
      </c>
    </row>
    <row r="444" spans="7:7" ht="14.25" customHeight="1">
      <c r="G444" s="5" t="s">
        <v>676</v>
      </c>
    </row>
    <row r="445" spans="7:7" ht="14.25" customHeight="1">
      <c r="G445" s="5" t="s">
        <v>677</v>
      </c>
    </row>
    <row r="446" spans="7:7" ht="14.25" customHeight="1">
      <c r="G446" s="5" t="s">
        <v>678</v>
      </c>
    </row>
    <row r="447" spans="7:7" ht="14.25" customHeight="1">
      <c r="G447" s="5" t="s">
        <v>679</v>
      </c>
    </row>
    <row r="448" spans="7:7" ht="14.25" customHeight="1">
      <c r="G448" s="5" t="s">
        <v>680</v>
      </c>
    </row>
    <row r="449" spans="7:7" ht="14.25" customHeight="1">
      <c r="G449" s="5" t="s">
        <v>681</v>
      </c>
    </row>
    <row r="450" spans="7:7" ht="14.25" customHeight="1">
      <c r="G450" s="5" t="s">
        <v>682</v>
      </c>
    </row>
    <row r="451" spans="7:7" ht="14.25" customHeight="1">
      <c r="G451" s="5" t="s">
        <v>683</v>
      </c>
    </row>
    <row r="452" spans="7:7" ht="14.25" customHeight="1">
      <c r="G452" s="5" t="s">
        <v>684</v>
      </c>
    </row>
    <row r="453" spans="7:7" ht="14.25" customHeight="1">
      <c r="G453" s="5" t="s">
        <v>685</v>
      </c>
    </row>
    <row r="454" spans="7:7" ht="14.25" customHeight="1">
      <c r="G454" s="5" t="s">
        <v>686</v>
      </c>
    </row>
    <row r="455" spans="7:7" ht="14.25" customHeight="1">
      <c r="G455" s="5" t="s">
        <v>687</v>
      </c>
    </row>
    <row r="456" spans="7:7" ht="14.25" customHeight="1">
      <c r="G456" s="5" t="s">
        <v>688</v>
      </c>
    </row>
    <row r="457" spans="7:7" ht="14.25" customHeight="1">
      <c r="G457" s="5" t="s">
        <v>689</v>
      </c>
    </row>
    <row r="458" spans="7:7" ht="14.25" customHeight="1">
      <c r="G458" s="5" t="s">
        <v>690</v>
      </c>
    </row>
    <row r="459" spans="7:7" ht="14.25" customHeight="1">
      <c r="G459" s="5" t="s">
        <v>691</v>
      </c>
    </row>
    <row r="460" spans="7:7" ht="14.25" customHeight="1">
      <c r="G460" s="5" t="s">
        <v>692</v>
      </c>
    </row>
    <row r="461" spans="7:7" ht="14.25" customHeight="1">
      <c r="G461" s="5" t="s">
        <v>693</v>
      </c>
    </row>
    <row r="462" spans="7:7" ht="14.25" customHeight="1">
      <c r="G462" s="5" t="s">
        <v>694</v>
      </c>
    </row>
    <row r="463" spans="7:7" ht="14.25" customHeight="1">
      <c r="G463" s="5" t="s">
        <v>695</v>
      </c>
    </row>
    <row r="464" spans="7:7" ht="14.25" customHeight="1">
      <c r="G464" s="5" t="s">
        <v>696</v>
      </c>
    </row>
    <row r="465" spans="7:7" ht="14.25" customHeight="1">
      <c r="G465" s="5" t="s">
        <v>697</v>
      </c>
    </row>
    <row r="466" spans="7:7" ht="14.25" customHeight="1">
      <c r="G466" s="5" t="s">
        <v>698</v>
      </c>
    </row>
    <row r="467" spans="7:7" ht="14.25" customHeight="1">
      <c r="G467" s="5" t="s">
        <v>699</v>
      </c>
    </row>
    <row r="468" spans="7:7" ht="14.25" customHeight="1">
      <c r="G468" s="5" t="s">
        <v>700</v>
      </c>
    </row>
    <row r="469" spans="7:7" ht="14.25" customHeight="1">
      <c r="G469" s="5" t="s">
        <v>701</v>
      </c>
    </row>
    <row r="470" spans="7:7" ht="14.25" customHeight="1">
      <c r="G470" s="5" t="s">
        <v>702</v>
      </c>
    </row>
    <row r="471" spans="7:7" ht="14.25" customHeight="1">
      <c r="G471" s="5" t="s">
        <v>703</v>
      </c>
    </row>
    <row r="472" spans="7:7" ht="14.25" customHeight="1">
      <c r="G472" s="5" t="s">
        <v>704</v>
      </c>
    </row>
    <row r="473" spans="7:7" ht="14.25" customHeight="1">
      <c r="G473" s="5" t="s">
        <v>705</v>
      </c>
    </row>
    <row r="474" spans="7:7" ht="14.25" customHeight="1">
      <c r="G474" s="5" t="s">
        <v>706</v>
      </c>
    </row>
    <row r="475" spans="7:7" ht="14.25" customHeight="1">
      <c r="G475" s="5" t="s">
        <v>707</v>
      </c>
    </row>
    <row r="476" spans="7:7" ht="14.25" customHeight="1">
      <c r="G476" s="5" t="s">
        <v>708</v>
      </c>
    </row>
    <row r="477" spans="7:7" ht="14.25" customHeight="1">
      <c r="G477" s="5" t="s">
        <v>709</v>
      </c>
    </row>
    <row r="478" spans="7:7" ht="14.25" customHeight="1">
      <c r="G478" s="5" t="s">
        <v>710</v>
      </c>
    </row>
    <row r="479" spans="7:7" ht="14.25" customHeight="1">
      <c r="G479" s="5" t="s">
        <v>711</v>
      </c>
    </row>
    <row r="480" spans="7:7" ht="14.25" customHeight="1">
      <c r="G480" s="5" t="s">
        <v>712</v>
      </c>
    </row>
    <row r="481" spans="7:7" ht="14.25" customHeight="1">
      <c r="G481" s="5" t="s">
        <v>713</v>
      </c>
    </row>
    <row r="482" spans="7:7" ht="14.25" customHeight="1">
      <c r="G482" s="5" t="s">
        <v>714</v>
      </c>
    </row>
    <row r="483" spans="7:7" ht="14.25" customHeight="1">
      <c r="G483" s="5" t="s">
        <v>715</v>
      </c>
    </row>
    <row r="484" spans="7:7" ht="14.25" customHeight="1"/>
    <row r="485" spans="7:7" ht="14.25" customHeight="1"/>
    <row r="486" spans="7:7" ht="14.25" customHeight="1"/>
    <row r="487" spans="7:7" ht="14.25" customHeight="1"/>
    <row r="488" spans="7:7" ht="14.25" customHeight="1"/>
    <row r="489" spans="7:7" ht="14.25" customHeight="1"/>
    <row r="490" spans="7:7" ht="14.25" customHeight="1"/>
    <row r="491" spans="7:7" ht="14.25" customHeight="1"/>
    <row r="492" spans="7:7" ht="14.25" customHeight="1"/>
    <row r="493" spans="7:7" ht="14.25" customHeight="1"/>
    <row r="494" spans="7:7" ht="14.25" customHeight="1"/>
    <row r="495" spans="7:7" ht="14.25" customHeight="1"/>
    <row r="496" spans="7:7"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workbookViewId="0"/>
  </sheetViews>
  <sheetFormatPr baseColWidth="10" defaultColWidth="14.44140625" defaultRowHeight="15" customHeight="1"/>
  <cols>
    <col min="1" max="5" width="155.5546875" customWidth="1"/>
    <col min="6" max="9" width="112.109375" customWidth="1"/>
    <col min="10" max="10" width="100.5546875" customWidth="1"/>
    <col min="11" max="11" width="112.109375" customWidth="1"/>
    <col min="12" max="12" width="113.6640625" customWidth="1"/>
    <col min="13" max="26" width="11.44140625" customWidth="1"/>
  </cols>
  <sheetData>
    <row r="1" spans="1:12" ht="14.25" customHeight="1">
      <c r="A1" t="str">
        <f>CONCATENATE("Bienes_",'FORMATO 2'!$F$20,"_",'FORMATO 2'!$F$23)</f>
        <v>Bienes_Solar_Fotovoltaica</v>
      </c>
    </row>
    <row r="2" spans="1:12" ht="14.25" customHeight="1"/>
    <row r="3" spans="1:12" ht="14.25" customHeight="1">
      <c r="A3" s="1" t="s">
        <v>716</v>
      </c>
      <c r="B3" s="1" t="s">
        <v>717</v>
      </c>
      <c r="C3" s="1" t="s">
        <v>718</v>
      </c>
      <c r="D3" s="1" t="s">
        <v>719</v>
      </c>
      <c r="E3" s="1" t="s">
        <v>720</v>
      </c>
      <c r="F3" s="1" t="s">
        <v>721</v>
      </c>
      <c r="G3" s="1" t="s">
        <v>722</v>
      </c>
      <c r="H3" s="1" t="s">
        <v>723</v>
      </c>
      <c r="I3" s="1" t="s">
        <v>724</v>
      </c>
      <c r="J3" s="1" t="s">
        <v>725</v>
      </c>
      <c r="K3" s="1" t="s">
        <v>726</v>
      </c>
      <c r="L3" s="1" t="s">
        <v>727</v>
      </c>
    </row>
    <row r="4" spans="1:12" ht="14.25" customHeight="1">
      <c r="A4" t="s">
        <v>728</v>
      </c>
      <c r="B4" t="s">
        <v>729</v>
      </c>
      <c r="C4" t="s">
        <v>730</v>
      </c>
      <c r="D4" t="s">
        <v>731</v>
      </c>
      <c r="E4" t="s">
        <v>732</v>
      </c>
      <c r="F4" t="s">
        <v>733</v>
      </c>
      <c r="G4" t="s">
        <v>734</v>
      </c>
      <c r="H4" t="s">
        <v>734</v>
      </c>
      <c r="I4" t="s">
        <v>734</v>
      </c>
      <c r="J4" t="s">
        <v>735</v>
      </c>
      <c r="K4" t="s">
        <v>735</v>
      </c>
      <c r="L4" t="s">
        <v>736</v>
      </c>
    </row>
    <row r="5" spans="1:12" ht="14.25" customHeight="1">
      <c r="A5" t="s">
        <v>737</v>
      </c>
      <c r="B5" t="s">
        <v>738</v>
      </c>
      <c r="C5" t="s">
        <v>739</v>
      </c>
      <c r="D5" t="s">
        <v>740</v>
      </c>
      <c r="E5" t="s">
        <v>741</v>
      </c>
      <c r="F5" t="s">
        <v>742</v>
      </c>
      <c r="G5" t="s">
        <v>743</v>
      </c>
      <c r="H5" t="s">
        <v>743</v>
      </c>
      <c r="I5" t="s">
        <v>743</v>
      </c>
      <c r="J5" t="s">
        <v>744</v>
      </c>
      <c r="K5" t="s">
        <v>744</v>
      </c>
      <c r="L5" t="s">
        <v>137</v>
      </c>
    </row>
    <row r="6" spans="1:12" ht="14.25" customHeight="1">
      <c r="A6" t="s">
        <v>745</v>
      </c>
      <c r="B6" t="s">
        <v>746</v>
      </c>
      <c r="C6" t="s">
        <v>747</v>
      </c>
      <c r="D6" t="s">
        <v>748</v>
      </c>
      <c r="E6" t="s">
        <v>749</v>
      </c>
      <c r="F6" t="s">
        <v>750</v>
      </c>
      <c r="G6" t="s">
        <v>751</v>
      </c>
      <c r="H6" t="s">
        <v>751</v>
      </c>
      <c r="I6" t="s">
        <v>751</v>
      </c>
      <c r="J6" t="s">
        <v>752</v>
      </c>
      <c r="K6" t="s">
        <v>752</v>
      </c>
      <c r="L6" t="s">
        <v>753</v>
      </c>
    </row>
    <row r="7" spans="1:12" ht="14.25" customHeight="1">
      <c r="A7" t="s">
        <v>754</v>
      </c>
      <c r="B7" t="s">
        <v>755</v>
      </c>
      <c r="C7" t="s">
        <v>756</v>
      </c>
      <c r="D7" t="s">
        <v>757</v>
      </c>
      <c r="E7" t="s">
        <v>758</v>
      </c>
      <c r="F7" t="s">
        <v>759</v>
      </c>
      <c r="G7" t="s">
        <v>760</v>
      </c>
      <c r="H7" t="s">
        <v>760</v>
      </c>
      <c r="I7" t="s">
        <v>760</v>
      </c>
      <c r="J7" t="s">
        <v>761</v>
      </c>
      <c r="K7" t="s">
        <v>761</v>
      </c>
      <c r="L7" t="s">
        <v>762</v>
      </c>
    </row>
    <row r="8" spans="1:12" ht="14.25" customHeight="1">
      <c r="A8" t="s">
        <v>763</v>
      </c>
      <c r="B8" t="s">
        <v>764</v>
      </c>
      <c r="C8" t="s">
        <v>765</v>
      </c>
      <c r="D8" t="s">
        <v>766</v>
      </c>
      <c r="E8" t="s">
        <v>767</v>
      </c>
      <c r="F8" t="s">
        <v>768</v>
      </c>
      <c r="G8" t="s">
        <v>769</v>
      </c>
      <c r="H8" t="s">
        <v>769</v>
      </c>
      <c r="I8" t="s">
        <v>769</v>
      </c>
      <c r="J8" t="s">
        <v>770</v>
      </c>
      <c r="K8" t="s">
        <v>770</v>
      </c>
      <c r="L8" t="s">
        <v>764</v>
      </c>
    </row>
    <row r="9" spans="1:12" ht="14.25" customHeight="1">
      <c r="A9" t="s">
        <v>771</v>
      </c>
      <c r="B9" t="s">
        <v>757</v>
      </c>
      <c r="C9" t="s">
        <v>770</v>
      </c>
      <c r="D9" t="s">
        <v>772</v>
      </c>
      <c r="E9" t="s">
        <v>773</v>
      </c>
      <c r="F9" t="s">
        <v>774</v>
      </c>
      <c r="G9" t="s">
        <v>775</v>
      </c>
      <c r="H9" t="s">
        <v>775</v>
      </c>
      <c r="I9" t="s">
        <v>775</v>
      </c>
      <c r="J9" t="s">
        <v>776</v>
      </c>
      <c r="K9" t="s">
        <v>776</v>
      </c>
      <c r="L9" t="s">
        <v>777</v>
      </c>
    </row>
    <row r="10" spans="1:12" ht="14.25" customHeight="1">
      <c r="A10" t="s">
        <v>778</v>
      </c>
      <c r="B10" t="s">
        <v>766</v>
      </c>
      <c r="C10" t="s">
        <v>779</v>
      </c>
      <c r="D10" t="s">
        <v>780</v>
      </c>
      <c r="E10" t="s">
        <v>781</v>
      </c>
      <c r="F10" t="s">
        <v>762</v>
      </c>
      <c r="G10" t="s">
        <v>782</v>
      </c>
      <c r="H10" t="s">
        <v>782</v>
      </c>
      <c r="I10" t="s">
        <v>782</v>
      </c>
      <c r="J10" t="s">
        <v>783</v>
      </c>
      <c r="K10" t="s">
        <v>783</v>
      </c>
      <c r="L10" t="s">
        <v>784</v>
      </c>
    </row>
    <row r="11" spans="1:12" ht="14.25" customHeight="1">
      <c r="A11" t="s">
        <v>743</v>
      </c>
      <c r="B11" t="s">
        <v>772</v>
      </c>
      <c r="C11" t="s">
        <v>785</v>
      </c>
      <c r="D11" t="s">
        <v>786</v>
      </c>
      <c r="E11" t="s">
        <v>787</v>
      </c>
      <c r="F11" t="s">
        <v>788</v>
      </c>
      <c r="G11" t="s">
        <v>789</v>
      </c>
      <c r="H11" t="s">
        <v>789</v>
      </c>
      <c r="I11" t="s">
        <v>789</v>
      </c>
      <c r="J11" t="s">
        <v>790</v>
      </c>
      <c r="K11" t="s">
        <v>790</v>
      </c>
      <c r="L11" t="s">
        <v>791</v>
      </c>
    </row>
    <row r="12" spans="1:12" ht="14.25" customHeight="1">
      <c r="A12" t="s">
        <v>792</v>
      </c>
      <c r="B12" t="s">
        <v>780</v>
      </c>
      <c r="C12" t="s">
        <v>793</v>
      </c>
      <c r="D12" t="s">
        <v>794</v>
      </c>
      <c r="E12" t="s">
        <v>795</v>
      </c>
      <c r="F12" t="s">
        <v>764</v>
      </c>
      <c r="G12" t="s">
        <v>761</v>
      </c>
      <c r="H12" t="s">
        <v>761</v>
      </c>
      <c r="I12" t="s">
        <v>761</v>
      </c>
      <c r="J12" t="s">
        <v>781</v>
      </c>
      <c r="K12" t="s">
        <v>781</v>
      </c>
      <c r="L12" t="s">
        <v>796</v>
      </c>
    </row>
    <row r="13" spans="1:12" ht="14.25" customHeight="1">
      <c r="A13" t="s">
        <v>779</v>
      </c>
      <c r="B13" t="s">
        <v>786</v>
      </c>
      <c r="C13" t="s">
        <v>797</v>
      </c>
      <c r="D13" t="s">
        <v>798</v>
      </c>
      <c r="E13" t="s">
        <v>799</v>
      </c>
      <c r="F13" t="s">
        <v>800</v>
      </c>
      <c r="G13" t="s">
        <v>781</v>
      </c>
      <c r="H13" t="s">
        <v>781</v>
      </c>
      <c r="I13" t="s">
        <v>781</v>
      </c>
      <c r="J13" t="s">
        <v>801</v>
      </c>
      <c r="K13" t="s">
        <v>801</v>
      </c>
      <c r="L13" t="s">
        <v>802</v>
      </c>
    </row>
    <row r="14" spans="1:12" ht="14.25" customHeight="1">
      <c r="A14" t="s">
        <v>803</v>
      </c>
      <c r="B14" t="s">
        <v>794</v>
      </c>
      <c r="C14" t="s">
        <v>764</v>
      </c>
      <c r="D14" t="s">
        <v>804</v>
      </c>
      <c r="E14" t="s">
        <v>805</v>
      </c>
      <c r="F14" t="s">
        <v>806</v>
      </c>
      <c r="G14" t="s">
        <v>807</v>
      </c>
      <c r="H14" t="s">
        <v>807</v>
      </c>
      <c r="I14" t="s">
        <v>807</v>
      </c>
      <c r="J14" t="s">
        <v>808</v>
      </c>
      <c r="K14" t="s">
        <v>808</v>
      </c>
      <c r="L14" t="s">
        <v>809</v>
      </c>
    </row>
    <row r="15" spans="1:12" ht="14.25" customHeight="1">
      <c r="A15" t="s">
        <v>810</v>
      </c>
      <c r="B15" t="s">
        <v>798</v>
      </c>
      <c r="C15" t="s">
        <v>757</v>
      </c>
      <c r="D15" t="s">
        <v>811</v>
      </c>
      <c r="E15" t="s">
        <v>812</v>
      </c>
      <c r="F15" t="s">
        <v>813</v>
      </c>
      <c r="G15" t="s">
        <v>814</v>
      </c>
      <c r="H15" t="s">
        <v>814</v>
      </c>
      <c r="I15" t="s">
        <v>814</v>
      </c>
      <c r="J15" t="s">
        <v>815</v>
      </c>
      <c r="K15" t="s">
        <v>815</v>
      </c>
      <c r="L15" t="s">
        <v>816</v>
      </c>
    </row>
    <row r="16" spans="1:12" ht="14.25" customHeight="1">
      <c r="A16" t="s">
        <v>817</v>
      </c>
      <c r="B16" t="s">
        <v>804</v>
      </c>
      <c r="C16" t="s">
        <v>766</v>
      </c>
      <c r="D16" t="s">
        <v>818</v>
      </c>
      <c r="E16" t="s">
        <v>819</v>
      </c>
      <c r="F16" t="s">
        <v>764</v>
      </c>
      <c r="G16" t="s">
        <v>820</v>
      </c>
      <c r="H16" t="s">
        <v>820</v>
      </c>
      <c r="I16" t="s">
        <v>820</v>
      </c>
      <c r="J16" t="s">
        <v>764</v>
      </c>
      <c r="K16" t="s">
        <v>764</v>
      </c>
      <c r="L16" t="s">
        <v>821</v>
      </c>
    </row>
    <row r="17" spans="1:12" ht="14.25" customHeight="1">
      <c r="A17" t="s">
        <v>822</v>
      </c>
      <c r="B17" t="s">
        <v>811</v>
      </c>
      <c r="C17" t="s">
        <v>772</v>
      </c>
      <c r="D17" t="s">
        <v>823</v>
      </c>
      <c r="E17" t="s">
        <v>824</v>
      </c>
      <c r="F17" t="s">
        <v>780</v>
      </c>
      <c r="G17" t="s">
        <v>825</v>
      </c>
      <c r="H17" t="s">
        <v>825</v>
      </c>
      <c r="I17" t="s">
        <v>825</v>
      </c>
      <c r="J17" t="s">
        <v>780</v>
      </c>
      <c r="K17" t="s">
        <v>780</v>
      </c>
      <c r="L17" t="s">
        <v>826</v>
      </c>
    </row>
    <row r="18" spans="1:12" ht="14.25" customHeight="1">
      <c r="A18" t="s">
        <v>827</v>
      </c>
      <c r="B18" t="s">
        <v>818</v>
      </c>
      <c r="C18" t="s">
        <v>780</v>
      </c>
      <c r="D18" t="s">
        <v>828</v>
      </c>
      <c r="E18" t="s">
        <v>829</v>
      </c>
      <c r="F18" t="s">
        <v>786</v>
      </c>
      <c r="G18" t="s">
        <v>830</v>
      </c>
      <c r="H18" t="s">
        <v>830</v>
      </c>
      <c r="I18" t="s">
        <v>830</v>
      </c>
      <c r="J18" t="s">
        <v>786</v>
      </c>
      <c r="K18" t="s">
        <v>786</v>
      </c>
      <c r="L18" t="s">
        <v>831</v>
      </c>
    </row>
    <row r="19" spans="1:12" ht="14.25" customHeight="1">
      <c r="A19" t="s">
        <v>764</v>
      </c>
      <c r="B19" t="s">
        <v>823</v>
      </c>
      <c r="C19" t="s">
        <v>786</v>
      </c>
      <c r="D19" t="s">
        <v>832</v>
      </c>
      <c r="E19" t="s">
        <v>833</v>
      </c>
      <c r="F19" t="s">
        <v>794</v>
      </c>
      <c r="G19" t="s">
        <v>834</v>
      </c>
      <c r="H19" t="s">
        <v>834</v>
      </c>
      <c r="I19" t="s">
        <v>834</v>
      </c>
      <c r="J19" t="s">
        <v>794</v>
      </c>
      <c r="K19" t="s">
        <v>794</v>
      </c>
      <c r="L19" t="s">
        <v>835</v>
      </c>
    </row>
    <row r="20" spans="1:12" ht="14.25" customHeight="1">
      <c r="A20" t="s">
        <v>757</v>
      </c>
      <c r="B20" t="s">
        <v>828</v>
      </c>
      <c r="C20" t="s">
        <v>794</v>
      </c>
      <c r="D20" t="s">
        <v>836</v>
      </c>
      <c r="E20" t="s">
        <v>837</v>
      </c>
      <c r="F20" t="s">
        <v>798</v>
      </c>
      <c r="G20" t="s">
        <v>838</v>
      </c>
      <c r="H20" t="s">
        <v>838</v>
      </c>
      <c r="I20" t="s">
        <v>838</v>
      </c>
      <c r="J20" t="s">
        <v>798</v>
      </c>
      <c r="K20" t="s">
        <v>798</v>
      </c>
      <c r="L20" t="s">
        <v>839</v>
      </c>
    </row>
    <row r="21" spans="1:12" ht="14.25" customHeight="1">
      <c r="A21" t="s">
        <v>766</v>
      </c>
      <c r="B21" t="s">
        <v>832</v>
      </c>
      <c r="C21" t="s">
        <v>798</v>
      </c>
      <c r="D21" t="s">
        <v>840</v>
      </c>
      <c r="E21" t="s">
        <v>820</v>
      </c>
      <c r="F21" t="s">
        <v>804</v>
      </c>
      <c r="G21" t="s">
        <v>841</v>
      </c>
      <c r="H21" t="s">
        <v>841</v>
      </c>
      <c r="I21" t="s">
        <v>841</v>
      </c>
      <c r="J21" t="s">
        <v>804</v>
      </c>
      <c r="K21" t="s">
        <v>804</v>
      </c>
      <c r="L21" t="s">
        <v>764</v>
      </c>
    </row>
    <row r="22" spans="1:12" ht="14.25" customHeight="1">
      <c r="A22" t="s">
        <v>772</v>
      </c>
      <c r="B22" t="s">
        <v>836</v>
      </c>
      <c r="C22" t="s">
        <v>804</v>
      </c>
      <c r="D22" t="s">
        <v>842</v>
      </c>
      <c r="E22" t="s">
        <v>843</v>
      </c>
      <c r="F22" t="s">
        <v>811</v>
      </c>
      <c r="G22" t="s">
        <v>844</v>
      </c>
      <c r="H22" t="s">
        <v>844</v>
      </c>
      <c r="I22" t="s">
        <v>844</v>
      </c>
      <c r="J22" t="s">
        <v>811</v>
      </c>
      <c r="K22" t="s">
        <v>811</v>
      </c>
      <c r="L22" t="s">
        <v>780</v>
      </c>
    </row>
    <row r="23" spans="1:12" ht="14.25" customHeight="1">
      <c r="A23" t="s">
        <v>780</v>
      </c>
      <c r="B23" t="s">
        <v>840</v>
      </c>
      <c r="C23" t="s">
        <v>811</v>
      </c>
      <c r="D23" t="s">
        <v>845</v>
      </c>
      <c r="E23" t="s">
        <v>846</v>
      </c>
      <c r="F23" t="s">
        <v>818</v>
      </c>
      <c r="G23" t="s">
        <v>847</v>
      </c>
      <c r="H23" t="s">
        <v>847</v>
      </c>
      <c r="I23" t="s">
        <v>847</v>
      </c>
      <c r="J23" t="s">
        <v>818</v>
      </c>
      <c r="K23" t="s">
        <v>818</v>
      </c>
      <c r="L23" t="s">
        <v>786</v>
      </c>
    </row>
    <row r="24" spans="1:12" ht="14.25" customHeight="1">
      <c r="A24" t="s">
        <v>786</v>
      </c>
      <c r="B24" t="s">
        <v>842</v>
      </c>
      <c r="C24" t="s">
        <v>818</v>
      </c>
      <c r="D24" t="s">
        <v>848</v>
      </c>
      <c r="E24" t="s">
        <v>849</v>
      </c>
      <c r="F24" t="s">
        <v>823</v>
      </c>
      <c r="G24" t="s">
        <v>850</v>
      </c>
      <c r="H24" t="s">
        <v>850</v>
      </c>
      <c r="I24" t="s">
        <v>850</v>
      </c>
      <c r="J24" t="s">
        <v>823</v>
      </c>
      <c r="K24" t="s">
        <v>823</v>
      </c>
      <c r="L24" t="s">
        <v>794</v>
      </c>
    </row>
    <row r="25" spans="1:12" ht="14.25" customHeight="1">
      <c r="A25" t="s">
        <v>794</v>
      </c>
      <c r="B25" t="s">
        <v>845</v>
      </c>
      <c r="C25" t="s">
        <v>823</v>
      </c>
      <c r="D25" t="s">
        <v>851</v>
      </c>
      <c r="E25" t="s">
        <v>852</v>
      </c>
      <c r="F25" t="s">
        <v>828</v>
      </c>
      <c r="G25" t="s">
        <v>764</v>
      </c>
      <c r="H25" t="s">
        <v>764</v>
      </c>
      <c r="I25" t="s">
        <v>764</v>
      </c>
      <c r="J25" t="s">
        <v>828</v>
      </c>
      <c r="K25" t="s">
        <v>828</v>
      </c>
      <c r="L25" t="s">
        <v>798</v>
      </c>
    </row>
    <row r="26" spans="1:12" ht="14.25" customHeight="1">
      <c r="A26" t="s">
        <v>798</v>
      </c>
      <c r="B26" t="s">
        <v>848</v>
      </c>
      <c r="C26" t="s">
        <v>828</v>
      </c>
      <c r="D26" t="s">
        <v>853</v>
      </c>
      <c r="E26" t="s">
        <v>764</v>
      </c>
      <c r="F26" t="s">
        <v>832</v>
      </c>
      <c r="G26" t="s">
        <v>854</v>
      </c>
      <c r="H26" t="s">
        <v>854</v>
      </c>
      <c r="I26" t="s">
        <v>854</v>
      </c>
      <c r="J26" t="s">
        <v>832</v>
      </c>
      <c r="K26" t="s">
        <v>832</v>
      </c>
      <c r="L26" t="s">
        <v>804</v>
      </c>
    </row>
    <row r="27" spans="1:12" ht="14.25" customHeight="1">
      <c r="A27" t="s">
        <v>804</v>
      </c>
      <c r="B27" t="s">
        <v>851</v>
      </c>
      <c r="C27" t="s">
        <v>832</v>
      </c>
      <c r="D27" t="s">
        <v>855</v>
      </c>
      <c r="E27" t="s">
        <v>757</v>
      </c>
      <c r="F27" t="s">
        <v>836</v>
      </c>
      <c r="G27" t="s">
        <v>856</v>
      </c>
      <c r="H27" t="s">
        <v>856</v>
      </c>
      <c r="I27" t="s">
        <v>856</v>
      </c>
      <c r="J27" t="s">
        <v>836</v>
      </c>
      <c r="K27" t="s">
        <v>836</v>
      </c>
      <c r="L27" t="s">
        <v>811</v>
      </c>
    </row>
    <row r="28" spans="1:12" ht="14.25" customHeight="1">
      <c r="A28" t="s">
        <v>811</v>
      </c>
      <c r="B28" t="s">
        <v>853</v>
      </c>
      <c r="C28" t="s">
        <v>836</v>
      </c>
      <c r="D28" t="s">
        <v>857</v>
      </c>
      <c r="E28" t="s">
        <v>766</v>
      </c>
      <c r="F28" t="s">
        <v>840</v>
      </c>
      <c r="G28" t="s">
        <v>858</v>
      </c>
      <c r="H28" t="s">
        <v>858</v>
      </c>
      <c r="I28" t="s">
        <v>858</v>
      </c>
      <c r="J28" t="s">
        <v>840</v>
      </c>
      <c r="K28" t="s">
        <v>840</v>
      </c>
      <c r="L28" t="s">
        <v>818</v>
      </c>
    </row>
    <row r="29" spans="1:12" ht="14.25" customHeight="1">
      <c r="A29" t="s">
        <v>818</v>
      </c>
      <c r="B29" t="s">
        <v>855</v>
      </c>
      <c r="C29" t="s">
        <v>840</v>
      </c>
      <c r="D29" t="s">
        <v>859</v>
      </c>
      <c r="E29" t="s">
        <v>772</v>
      </c>
      <c r="F29" t="s">
        <v>860</v>
      </c>
      <c r="G29" t="s">
        <v>861</v>
      </c>
      <c r="H29" t="s">
        <v>861</v>
      </c>
      <c r="I29" t="s">
        <v>861</v>
      </c>
      <c r="J29" t="s">
        <v>860</v>
      </c>
      <c r="K29" t="s">
        <v>860</v>
      </c>
      <c r="L29" t="s">
        <v>823</v>
      </c>
    </row>
    <row r="30" spans="1:12" ht="14.25" customHeight="1">
      <c r="A30" t="s">
        <v>823</v>
      </c>
      <c r="B30" t="s">
        <v>857</v>
      </c>
      <c r="C30" t="s">
        <v>842</v>
      </c>
      <c r="D30" t="s">
        <v>862</v>
      </c>
      <c r="E30" t="s">
        <v>780</v>
      </c>
      <c r="F30" t="s">
        <v>845</v>
      </c>
      <c r="G30" t="s">
        <v>863</v>
      </c>
      <c r="H30" t="s">
        <v>863</v>
      </c>
      <c r="I30" t="s">
        <v>863</v>
      </c>
      <c r="J30" t="s">
        <v>845</v>
      </c>
      <c r="K30" t="s">
        <v>845</v>
      </c>
      <c r="L30" t="s">
        <v>828</v>
      </c>
    </row>
    <row r="31" spans="1:12" ht="14.25" customHeight="1">
      <c r="A31" t="s">
        <v>828</v>
      </c>
      <c r="B31" t="s">
        <v>859</v>
      </c>
      <c r="C31" t="s">
        <v>845</v>
      </c>
      <c r="E31" t="s">
        <v>786</v>
      </c>
      <c r="F31" t="s">
        <v>848</v>
      </c>
      <c r="G31" t="s">
        <v>780</v>
      </c>
      <c r="H31" t="s">
        <v>780</v>
      </c>
      <c r="I31" t="s">
        <v>780</v>
      </c>
      <c r="J31" t="s">
        <v>848</v>
      </c>
      <c r="K31" t="s">
        <v>848</v>
      </c>
      <c r="L31" t="s">
        <v>832</v>
      </c>
    </row>
    <row r="32" spans="1:12" ht="14.25" customHeight="1">
      <c r="A32" t="s">
        <v>832</v>
      </c>
      <c r="B32" t="s">
        <v>862</v>
      </c>
      <c r="C32" t="s">
        <v>848</v>
      </c>
      <c r="E32" t="s">
        <v>794</v>
      </c>
      <c r="F32" t="s">
        <v>864</v>
      </c>
      <c r="G32" t="s">
        <v>786</v>
      </c>
      <c r="H32" t="s">
        <v>786</v>
      </c>
      <c r="I32" t="s">
        <v>786</v>
      </c>
      <c r="J32" t="s">
        <v>864</v>
      </c>
      <c r="K32" t="s">
        <v>864</v>
      </c>
      <c r="L32" t="s">
        <v>836</v>
      </c>
    </row>
    <row r="33" spans="1:12" ht="14.25" customHeight="1">
      <c r="A33" t="s">
        <v>836</v>
      </c>
      <c r="C33" t="s">
        <v>851</v>
      </c>
      <c r="E33" t="s">
        <v>798</v>
      </c>
      <c r="F33" t="s">
        <v>853</v>
      </c>
      <c r="G33" t="s">
        <v>794</v>
      </c>
      <c r="H33" t="s">
        <v>794</v>
      </c>
      <c r="I33" t="s">
        <v>794</v>
      </c>
      <c r="J33" t="s">
        <v>853</v>
      </c>
      <c r="K33" t="s">
        <v>853</v>
      </c>
      <c r="L33" t="s">
        <v>840</v>
      </c>
    </row>
    <row r="34" spans="1:12" ht="14.25" customHeight="1">
      <c r="A34" t="s">
        <v>840</v>
      </c>
      <c r="C34" t="s">
        <v>853</v>
      </c>
      <c r="E34" t="s">
        <v>804</v>
      </c>
      <c r="F34" t="s">
        <v>855</v>
      </c>
      <c r="G34" t="s">
        <v>798</v>
      </c>
      <c r="H34" t="s">
        <v>798</v>
      </c>
      <c r="I34" t="s">
        <v>798</v>
      </c>
      <c r="J34" t="s">
        <v>855</v>
      </c>
      <c r="K34" t="s">
        <v>855</v>
      </c>
      <c r="L34" t="s">
        <v>860</v>
      </c>
    </row>
    <row r="35" spans="1:12" ht="14.25" customHeight="1">
      <c r="A35" t="s">
        <v>842</v>
      </c>
      <c r="C35" t="s">
        <v>855</v>
      </c>
      <c r="E35" t="s">
        <v>811</v>
      </c>
      <c r="F35" t="s">
        <v>133</v>
      </c>
      <c r="G35" t="s">
        <v>804</v>
      </c>
      <c r="H35" t="s">
        <v>804</v>
      </c>
      <c r="I35" t="s">
        <v>804</v>
      </c>
      <c r="J35" t="s">
        <v>133</v>
      </c>
      <c r="K35" t="s">
        <v>133</v>
      </c>
      <c r="L35" t="s">
        <v>845</v>
      </c>
    </row>
    <row r="36" spans="1:12" ht="14.25" customHeight="1">
      <c r="A36" t="s">
        <v>845</v>
      </c>
      <c r="C36" t="s">
        <v>857</v>
      </c>
      <c r="E36" t="s">
        <v>818</v>
      </c>
      <c r="F36" t="s">
        <v>131</v>
      </c>
      <c r="G36" t="s">
        <v>811</v>
      </c>
      <c r="H36" t="s">
        <v>811</v>
      </c>
      <c r="I36" t="s">
        <v>811</v>
      </c>
      <c r="J36" t="s">
        <v>131</v>
      </c>
      <c r="K36" t="s">
        <v>131</v>
      </c>
      <c r="L36" t="s">
        <v>848</v>
      </c>
    </row>
    <row r="37" spans="1:12" ht="14.25" customHeight="1">
      <c r="A37" t="s">
        <v>848</v>
      </c>
      <c r="C37" t="s">
        <v>859</v>
      </c>
      <c r="E37" t="s">
        <v>823</v>
      </c>
      <c r="F37" t="s">
        <v>862</v>
      </c>
      <c r="G37" t="s">
        <v>818</v>
      </c>
      <c r="H37" t="s">
        <v>818</v>
      </c>
      <c r="I37" t="s">
        <v>818</v>
      </c>
      <c r="J37" t="s">
        <v>862</v>
      </c>
      <c r="K37" t="s">
        <v>862</v>
      </c>
      <c r="L37" t="s">
        <v>864</v>
      </c>
    </row>
    <row r="38" spans="1:12" ht="14.25" customHeight="1">
      <c r="A38" t="s">
        <v>851</v>
      </c>
      <c r="C38" t="s">
        <v>862</v>
      </c>
      <c r="E38" t="s">
        <v>828</v>
      </c>
      <c r="G38" t="s">
        <v>823</v>
      </c>
      <c r="H38" t="s">
        <v>823</v>
      </c>
      <c r="I38" t="s">
        <v>823</v>
      </c>
      <c r="L38" t="s">
        <v>853</v>
      </c>
    </row>
    <row r="39" spans="1:12" ht="14.25" customHeight="1">
      <c r="A39" t="s">
        <v>853</v>
      </c>
      <c r="C39" t="s">
        <v>865</v>
      </c>
      <c r="E39" t="s">
        <v>832</v>
      </c>
      <c r="G39" t="s">
        <v>828</v>
      </c>
      <c r="H39" t="s">
        <v>828</v>
      </c>
      <c r="I39" t="s">
        <v>828</v>
      </c>
      <c r="L39" t="s">
        <v>855</v>
      </c>
    </row>
    <row r="40" spans="1:12" ht="14.25" customHeight="1">
      <c r="A40" t="s">
        <v>855</v>
      </c>
      <c r="E40" t="s">
        <v>836</v>
      </c>
      <c r="G40" t="s">
        <v>832</v>
      </c>
      <c r="H40" t="s">
        <v>832</v>
      </c>
      <c r="I40" t="s">
        <v>832</v>
      </c>
      <c r="L40" t="s">
        <v>133</v>
      </c>
    </row>
    <row r="41" spans="1:12" ht="14.25" customHeight="1">
      <c r="A41" t="s">
        <v>857</v>
      </c>
      <c r="E41" t="s">
        <v>840</v>
      </c>
      <c r="G41" t="s">
        <v>836</v>
      </c>
      <c r="H41" t="s">
        <v>836</v>
      </c>
      <c r="I41" t="s">
        <v>836</v>
      </c>
      <c r="L41" t="s">
        <v>131</v>
      </c>
    </row>
    <row r="42" spans="1:12" ht="14.25" customHeight="1">
      <c r="A42" t="s">
        <v>859</v>
      </c>
      <c r="E42" t="s">
        <v>842</v>
      </c>
      <c r="G42" t="s">
        <v>840</v>
      </c>
      <c r="H42" t="s">
        <v>840</v>
      </c>
      <c r="I42" t="s">
        <v>840</v>
      </c>
      <c r="L42" t="s">
        <v>862</v>
      </c>
    </row>
    <row r="43" spans="1:12" ht="14.25" customHeight="1">
      <c r="A43" t="s">
        <v>862</v>
      </c>
      <c r="E43" t="s">
        <v>845</v>
      </c>
      <c r="G43" t="s">
        <v>860</v>
      </c>
      <c r="H43" t="s">
        <v>860</v>
      </c>
      <c r="I43" t="s">
        <v>860</v>
      </c>
    </row>
    <row r="44" spans="1:12" ht="14.25" customHeight="1">
      <c r="E44" t="s">
        <v>848</v>
      </c>
      <c r="G44" t="s">
        <v>845</v>
      </c>
      <c r="H44" t="s">
        <v>845</v>
      </c>
      <c r="I44" t="s">
        <v>845</v>
      </c>
    </row>
    <row r="45" spans="1:12" ht="14.25" customHeight="1">
      <c r="E45" t="s">
        <v>851</v>
      </c>
      <c r="G45" t="s">
        <v>848</v>
      </c>
      <c r="H45" t="s">
        <v>848</v>
      </c>
      <c r="I45" t="s">
        <v>848</v>
      </c>
    </row>
    <row r="46" spans="1:12" ht="14.25" customHeight="1">
      <c r="E46" t="s">
        <v>853</v>
      </c>
      <c r="G46" t="s">
        <v>864</v>
      </c>
      <c r="H46" t="s">
        <v>864</v>
      </c>
      <c r="I46" t="s">
        <v>864</v>
      </c>
    </row>
    <row r="47" spans="1:12" ht="14.25" customHeight="1">
      <c r="E47" t="s">
        <v>855</v>
      </c>
      <c r="G47" t="s">
        <v>853</v>
      </c>
      <c r="H47" t="s">
        <v>853</v>
      </c>
      <c r="I47" t="s">
        <v>853</v>
      </c>
    </row>
    <row r="48" spans="1:12" ht="14.25" customHeight="1">
      <c r="E48" t="s">
        <v>857</v>
      </c>
      <c r="G48" t="s">
        <v>855</v>
      </c>
      <c r="H48" t="s">
        <v>855</v>
      </c>
      <c r="I48" t="s">
        <v>855</v>
      </c>
    </row>
    <row r="49" spans="5:9" ht="14.25" customHeight="1">
      <c r="E49" t="s">
        <v>859</v>
      </c>
      <c r="G49" t="s">
        <v>133</v>
      </c>
      <c r="H49" t="s">
        <v>133</v>
      </c>
      <c r="I49" t="s">
        <v>133</v>
      </c>
    </row>
    <row r="50" spans="5:9" ht="14.25" customHeight="1">
      <c r="E50" t="s">
        <v>862</v>
      </c>
      <c r="G50" t="s">
        <v>131</v>
      </c>
      <c r="H50" t="s">
        <v>131</v>
      </c>
      <c r="I50" t="s">
        <v>131</v>
      </c>
    </row>
    <row r="51" spans="5:9" ht="14.25" customHeight="1">
      <c r="G51" t="s">
        <v>862</v>
      </c>
      <c r="H51" t="s">
        <v>862</v>
      </c>
      <c r="I51" t="s">
        <v>862</v>
      </c>
    </row>
    <row r="52" spans="5:9" ht="14.25" customHeight="1"/>
    <row r="53" spans="5:9" ht="14.25" customHeight="1"/>
    <row r="54" spans="5:9" ht="14.25" customHeight="1"/>
    <row r="55" spans="5:9" ht="14.25" customHeight="1"/>
    <row r="56" spans="5:9" ht="14.25" customHeight="1"/>
    <row r="57" spans="5:9" ht="14.25" customHeight="1"/>
    <row r="58" spans="5:9" ht="14.25" customHeight="1"/>
    <row r="59" spans="5:9" ht="14.25" customHeight="1"/>
    <row r="60" spans="5:9" ht="14.25" customHeight="1"/>
    <row r="61" spans="5:9" ht="14.25" customHeight="1"/>
    <row r="62" spans="5:9" ht="14.25" customHeight="1"/>
    <row r="63" spans="5:9" ht="14.25" customHeight="1"/>
    <row r="64" spans="5: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44140625" defaultRowHeight="15" customHeight="1"/>
  <cols>
    <col min="1" max="1" width="100.109375" customWidth="1"/>
    <col min="2" max="2" width="75" customWidth="1"/>
    <col min="3" max="3" width="159.5546875" customWidth="1"/>
    <col min="4" max="5" width="75" customWidth="1"/>
    <col min="6" max="26" width="11.44140625" customWidth="1"/>
  </cols>
  <sheetData>
    <row r="1" spans="1:26" ht="14.25" customHeight="1">
      <c r="A1" t="str">
        <f>CONCATENATE("Servicios_",'FORMATO 2'!$F$20,"")</f>
        <v>Servicios_Solar</v>
      </c>
    </row>
    <row r="2" spans="1:26" ht="14.25" customHeight="1"/>
    <row r="3" spans="1:26" ht="14.25" customHeight="1">
      <c r="A3" s="1" t="s">
        <v>866</v>
      </c>
      <c r="B3" s="1" t="s">
        <v>867</v>
      </c>
      <c r="C3" s="1" t="s">
        <v>868</v>
      </c>
      <c r="D3" s="1" t="s">
        <v>869</v>
      </c>
      <c r="E3" s="1" t="s">
        <v>870</v>
      </c>
      <c r="F3" s="1"/>
      <c r="G3" s="1"/>
      <c r="H3" s="1"/>
      <c r="I3" s="1"/>
      <c r="J3" s="1"/>
      <c r="K3" s="1"/>
      <c r="L3" s="1"/>
      <c r="M3" s="1"/>
      <c r="N3" s="1"/>
      <c r="O3" s="1"/>
      <c r="P3" s="1"/>
      <c r="Q3" s="1"/>
      <c r="R3" s="1"/>
      <c r="S3" s="1"/>
      <c r="T3" s="1"/>
      <c r="U3" s="1"/>
      <c r="V3" s="1"/>
      <c r="W3" s="1"/>
      <c r="X3" s="1"/>
      <c r="Y3" s="1"/>
      <c r="Z3" s="1"/>
    </row>
    <row r="4" spans="1:26" ht="14.25" customHeight="1">
      <c r="A4" t="s">
        <v>871</v>
      </c>
      <c r="B4" t="s">
        <v>872</v>
      </c>
      <c r="C4" t="s">
        <v>873</v>
      </c>
      <c r="D4" t="s">
        <v>874</v>
      </c>
      <c r="E4" t="s">
        <v>875</v>
      </c>
    </row>
    <row r="5" spans="1:26" ht="14.25" customHeight="1">
      <c r="A5" t="s">
        <v>876</v>
      </c>
      <c r="B5" t="s">
        <v>876</v>
      </c>
      <c r="C5" t="s">
        <v>877</v>
      </c>
      <c r="D5" t="s">
        <v>876</v>
      </c>
      <c r="E5" t="s">
        <v>876</v>
      </c>
    </row>
    <row r="6" spans="1:26" ht="14.25" customHeight="1">
      <c r="A6" t="s">
        <v>878</v>
      </c>
      <c r="B6" t="s">
        <v>879</v>
      </c>
      <c r="C6" t="s">
        <v>880</v>
      </c>
      <c r="D6" t="s">
        <v>879</v>
      </c>
      <c r="E6" t="s">
        <v>879</v>
      </c>
    </row>
    <row r="7" spans="1:26" ht="14.25" customHeight="1">
      <c r="A7" t="s">
        <v>881</v>
      </c>
      <c r="B7" t="s">
        <v>881</v>
      </c>
      <c r="C7" t="s">
        <v>876</v>
      </c>
      <c r="D7" t="s">
        <v>881</v>
      </c>
      <c r="E7" t="s">
        <v>882</v>
      </c>
    </row>
    <row r="8" spans="1:26" ht="14.25" customHeight="1">
      <c r="A8" t="s">
        <v>883</v>
      </c>
      <c r="B8" t="s">
        <v>883</v>
      </c>
      <c r="C8" t="s">
        <v>884</v>
      </c>
      <c r="D8" t="s">
        <v>883</v>
      </c>
      <c r="E8" t="s">
        <v>881</v>
      </c>
    </row>
    <row r="9" spans="1:26" ht="14.25" customHeight="1">
      <c r="A9" t="s">
        <v>885</v>
      </c>
      <c r="B9" t="s">
        <v>885</v>
      </c>
      <c r="C9" t="s">
        <v>878</v>
      </c>
      <c r="D9" t="s">
        <v>885</v>
      </c>
      <c r="E9" t="s">
        <v>886</v>
      </c>
    </row>
    <row r="10" spans="1:26" ht="14.25" customHeight="1">
      <c r="A10" t="s">
        <v>887</v>
      </c>
      <c r="B10" t="s">
        <v>887</v>
      </c>
      <c r="C10" t="s">
        <v>888</v>
      </c>
      <c r="D10" t="s">
        <v>887</v>
      </c>
      <c r="E10" t="s">
        <v>885</v>
      </c>
    </row>
    <row r="11" spans="1:26" ht="14.25" customHeight="1">
      <c r="A11" t="s">
        <v>889</v>
      </c>
      <c r="B11" t="s">
        <v>889</v>
      </c>
      <c r="C11" t="s">
        <v>890</v>
      </c>
      <c r="D11" t="s">
        <v>889</v>
      </c>
      <c r="E11" t="s">
        <v>887</v>
      </c>
    </row>
    <row r="12" spans="1:26" ht="14.25" customHeight="1">
      <c r="A12" t="s">
        <v>891</v>
      </c>
      <c r="B12" t="s">
        <v>892</v>
      </c>
      <c r="C12" t="s">
        <v>893</v>
      </c>
      <c r="D12" t="s">
        <v>891</v>
      </c>
      <c r="E12" t="s">
        <v>889</v>
      </c>
    </row>
    <row r="13" spans="1:26" ht="14.25" customHeight="1">
      <c r="A13" t="s">
        <v>894</v>
      </c>
      <c r="B13" t="s">
        <v>891</v>
      </c>
      <c r="C13" t="s">
        <v>881</v>
      </c>
      <c r="E13" t="s">
        <v>891</v>
      </c>
    </row>
    <row r="14" spans="1:26" ht="14.25" customHeight="1">
      <c r="A14" t="s">
        <v>895</v>
      </c>
      <c r="C14" t="s">
        <v>896</v>
      </c>
      <c r="E14" t="s">
        <v>897</v>
      </c>
    </row>
    <row r="15" spans="1:26" ht="14.25" customHeight="1">
      <c r="A15" t="s">
        <v>898</v>
      </c>
      <c r="C15" t="s">
        <v>887</v>
      </c>
    </row>
    <row r="16" spans="1:26" ht="14.25" customHeight="1">
      <c r="C16" t="s">
        <v>889</v>
      </c>
    </row>
    <row r="17" spans="3:3" ht="14.25" customHeight="1">
      <c r="C17" t="s">
        <v>891</v>
      </c>
    </row>
    <row r="18" spans="3:3" ht="14.25" customHeight="1">
      <c r="C18" t="s">
        <v>885</v>
      </c>
    </row>
    <row r="19" spans="3:3" ht="14.25" customHeight="1"/>
    <row r="20" spans="3:3" ht="14.25" customHeight="1"/>
    <row r="21" spans="3:3" ht="14.25" customHeight="1"/>
    <row r="22" spans="3:3" ht="14.25" customHeight="1"/>
    <row r="23" spans="3:3" ht="14.25" customHeight="1"/>
    <row r="24" spans="3:3" ht="14.25" customHeight="1"/>
    <row r="25" spans="3:3" ht="14.25" customHeight="1"/>
    <row r="26" spans="3:3" ht="14.25" customHeight="1"/>
    <row r="27" spans="3:3" ht="14.25" customHeight="1"/>
    <row r="28" spans="3:3" ht="14.25" customHeight="1"/>
    <row r="29" spans="3:3" ht="14.25" customHeight="1"/>
    <row r="30" spans="3:3" ht="14.25" customHeight="1"/>
    <row r="31" spans="3:3" ht="14.25" customHeight="1"/>
    <row r="32" spans="3: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29</vt:i4>
      </vt:variant>
    </vt:vector>
  </HeadingPairs>
  <TitlesOfParts>
    <vt:vector size="37" baseType="lpstr">
      <vt:lpstr>FORMATO 1</vt:lpstr>
      <vt:lpstr>FORMATO 2</vt:lpstr>
      <vt:lpstr>FORMATO 3</vt:lpstr>
      <vt:lpstr>FORMATO 4</vt:lpstr>
      <vt:lpstr>Listas2</vt:lpstr>
      <vt:lpstr>Listas</vt:lpstr>
      <vt:lpstr>Bienes</vt:lpstr>
      <vt:lpstr>Servicios</vt:lpstr>
      <vt:lpstr>Bienes_Biomasa_Biogás</vt:lpstr>
      <vt:lpstr>Bienes_Biomasa_Cultivos_energéticos</vt:lpstr>
      <vt:lpstr>Bienes_Biomasa_Gasificación</vt:lpstr>
      <vt:lpstr>Bienes_Biomasa_Generación_cogeneración</vt:lpstr>
      <vt:lpstr>Bienes_Biomasa_Pirolización</vt:lpstr>
      <vt:lpstr>Bienes_Eólica_Eólica</vt:lpstr>
      <vt:lpstr>Bienes_Geotérmica_Central_de_ciclo_binario</vt:lpstr>
      <vt:lpstr>Bienes_Geotérmica_Central_de_vapor_seco</vt:lpstr>
      <vt:lpstr>Bienes_Geotérmica_Central_flash</vt:lpstr>
      <vt:lpstr>Bienes_PCH_Hidráulica</vt:lpstr>
      <vt:lpstr>Bienes_PCH_Hidrocinética</vt:lpstr>
      <vt:lpstr>Bienes_Solar_Fotovoltaica</vt:lpstr>
      <vt:lpstr>NOMBRE</vt:lpstr>
      <vt:lpstr>re</vt:lpstr>
      <vt:lpstr>REC_Biomasa</vt:lpstr>
      <vt:lpstr>REC_Eólica</vt:lpstr>
      <vt:lpstr>REC_Geotérmica</vt:lpstr>
      <vt:lpstr>REC_PCH</vt:lpstr>
      <vt:lpstr>REC_Solar</vt:lpstr>
      <vt:lpstr>Servicios_Biomasa</vt:lpstr>
      <vt:lpstr>Servicios_Eólica</vt:lpstr>
      <vt:lpstr>Servicios_Geotérmica</vt:lpstr>
      <vt:lpstr>Servicios_PCH</vt:lpstr>
      <vt:lpstr>Servicios_Solar</vt:lpstr>
      <vt:lpstr>TEC_Biomasa</vt:lpstr>
      <vt:lpstr>TEC_Eólica</vt:lpstr>
      <vt:lpstr>TEC_Geotérmica</vt:lpstr>
      <vt:lpstr>TEC_PCH</vt:lpstr>
      <vt:lpstr>TEC_Solar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Vergara</dc:creator>
  <cp:lastModifiedBy>Roberth Ricciulli</cp:lastModifiedBy>
  <dcterms:created xsi:type="dcterms:W3CDTF">2014-02-20T21:30:00Z</dcterms:created>
  <dcterms:modified xsi:type="dcterms:W3CDTF">2026-03-07T02:23:43Z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0x010100F656B82A0AF06F40BD4BCEDE3DEC6790</vt:lpwstr>
  </property>
  <property fmtid="{D5CDD505-2E9C-101B-9397-08002B2CF9AE}" pid="3" name="ICV">
    <vt:lpwstr>7DBE7A81FE49452E8CE7D8CECFB65647_12</vt:lpwstr>
  </property>
  <property fmtid="{D5CDD505-2E9C-101B-9397-08002B2CF9AE}" pid="4" name="KSOProductBuildVer">
    <vt:lpwstr>2058-12.2.0.22549</vt:lpwstr>
  </property>
</Properties>
</file>