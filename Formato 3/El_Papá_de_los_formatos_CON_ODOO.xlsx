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mman\Documents\Auto-BT\Formato 3\"/>
    </mc:Choice>
  </mc:AlternateContent>
  <xr:revisionPtr revIDLastSave="0" documentId="13_ncr:1_{8895E9C4-3600-4062-B635-65DDB265ADCA}" xr6:coauthVersionLast="47" xr6:coauthVersionMax="47" xr10:uidLastSave="{00000000-0000-0000-0000-000000000000}"/>
  <bookViews>
    <workbookView xWindow="-110" yWindow="-110" windowWidth="19420" windowHeight="11500" activeTab="2" xr2:uid="{00000000-000D-0000-FFFF-FFFF00000000}"/>
  </bookViews>
  <sheets>
    <sheet name="FORMATO 1" sheetId="1" r:id="rId1"/>
    <sheet name="FORMATO 2" sheetId="2" r:id="rId2"/>
    <sheet name="FORMATO 3" sheetId="3" r:id="rId3"/>
    <sheet name="FORMATO 4" sheetId="4" r:id="rId4"/>
    <sheet name="Hoja 1" sheetId="5" r:id="rId5"/>
    <sheet name="Listas2" sheetId="6" state="hidden" r:id="rId6"/>
    <sheet name="Listas" sheetId="7" state="hidden" r:id="rId7"/>
    <sheet name="Bienes" sheetId="8" state="hidden" r:id="rId8"/>
    <sheet name="Servicios" sheetId="9" state="hidden" r:id="rId9"/>
    <sheet name="Items BT Faltantes" sheetId="10" r:id="rId10"/>
  </sheets>
  <externalReferences>
    <externalReference r:id="rId11"/>
  </externalReferences>
  <definedNames>
    <definedName name="Bienes_Biomasa_Biogás">Bienes!$A$4:$A$44</definedName>
    <definedName name="Bienes_Biomasa_Cultivos_energéticos">Bienes!$D$4:$D$30</definedName>
    <definedName name="Bienes_Biomasa_Gasificación">Bienes!$B$4:$B$32</definedName>
    <definedName name="Bienes_Biomasa_Generación_cogeneración">Bienes!$E$4:$E$51</definedName>
    <definedName name="Bienes_Biomasa_Pirolización">Bienes!$C$4:$C$39</definedName>
    <definedName name="Bienes_Eólica_Eólica">Bienes!$F$4:$F$37</definedName>
    <definedName name="Bienes_Geotérmica_Central_de_ciclo_binario">Bienes!$I$4:$I$51</definedName>
    <definedName name="Bienes_Geotérmica_Central_de_vapor_seco">Bienes!$G$4:$G$51</definedName>
    <definedName name="Bienes_Geotérmica_Central_flash">Bienes!$H$4:$H$51</definedName>
    <definedName name="Bienes_PCH_Hidráulica">Bienes!$J$4:$J$37</definedName>
    <definedName name="Bienes_PCH_Hidrocinética">Bienes!$K$4:$K$37</definedName>
    <definedName name="Bienes_Solar_Fotovoltaica">Bienes!$L$4:$L$42</definedName>
    <definedName name="NOMBRE">'FORMATO 1'!$A$34</definedName>
    <definedName name="re">'FORMATO 2'!$F$21</definedName>
    <definedName name="REC_Biomasa">Listas2!$F$5:$F$13</definedName>
    <definedName name="REC_Eólica">Listas2!$F$20</definedName>
    <definedName name="REC_Geotérmica">Listas2!$F$24</definedName>
    <definedName name="REC_PCH">Listas2!$F$28</definedName>
    <definedName name="REC_Solar">Listas2!$F$32</definedName>
    <definedName name="Servicios_Biomasa">Servicios!$A$4:$A$15</definedName>
    <definedName name="Servicios_Eólica">Servicios!$B$4:$B$13</definedName>
    <definedName name="Servicios_Geotérmica">Servicios!$C$4:$C$18</definedName>
    <definedName name="Servicios_PCH">Servicios!$D$4:$D$12</definedName>
    <definedName name="Servicios_Solar">Servicios!$E$4:$E$14</definedName>
    <definedName name="TEC_Biomasa">Listas2!$H$5:$H$9</definedName>
    <definedName name="TEC_Eólica">Listas2!$H$17</definedName>
    <definedName name="TEC_Geotérmica">Listas2!$H$22:$H$24</definedName>
    <definedName name="TEC_PCH">Listas2!$H$29:$H$30</definedName>
    <definedName name="TEC_Solar">Listas2!$H$35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8" i="3" l="1"/>
  <c r="L112" i="3"/>
  <c r="L111" i="3"/>
  <c r="L110" i="3"/>
  <c r="L99" i="3"/>
  <c r="L98" i="3"/>
  <c r="L63" i="3"/>
  <c r="L64" i="3"/>
  <c r="L59" i="3"/>
  <c r="K109" i="3" l="1"/>
  <c r="L109" i="3" s="1"/>
  <c r="K108" i="3" l="1"/>
  <c r="L108" i="3" s="1"/>
  <c r="K107" i="3"/>
  <c r="L107" i="3" s="1"/>
  <c r="L69" i="3" l="1"/>
  <c r="A1" i="9" l="1"/>
  <c r="A1" i="8"/>
  <c r="F44" i="6" a="1"/>
  <c r="F44" i="6" s="1"/>
  <c r="F39" i="6" a="1"/>
  <c r="R39" i="6" s="1"/>
  <c r="B27" i="6"/>
  <c r="B26" i="6"/>
  <c r="F17" i="4"/>
  <c r="F16" i="4"/>
  <c r="F15" i="4"/>
  <c r="F13" i="4"/>
  <c r="L33" i="3"/>
  <c r="L32" i="3"/>
  <c r="L31" i="3"/>
  <c r="L28" i="3"/>
  <c r="L27" i="3"/>
  <c r="L26" i="3"/>
  <c r="L25" i="3"/>
  <c r="L24" i="3"/>
  <c r="L23" i="3"/>
  <c r="L22" i="3"/>
  <c r="L21" i="3"/>
  <c r="K20" i="3"/>
  <c r="L20" i="3" s="1"/>
  <c r="L18" i="3"/>
  <c r="K17" i="3"/>
  <c r="L17" i="3" s="1"/>
  <c r="K16" i="3"/>
  <c r="L16" i="3" s="1"/>
  <c r="L15" i="3"/>
  <c r="L14" i="3"/>
  <c r="L12" i="3"/>
  <c r="F17" i="2"/>
  <c r="K19" i="3" l="1"/>
  <c r="L19" i="3" s="1"/>
  <c r="K39" i="6"/>
  <c r="S39" i="6"/>
  <c r="L39" i="6"/>
  <c r="T39" i="6"/>
  <c r="H39" i="6"/>
  <c r="I39" i="6"/>
  <c r="J39" i="6"/>
  <c r="F39" i="6"/>
  <c r="M39" i="6"/>
  <c r="U39" i="6"/>
  <c r="N39" i="6"/>
  <c r="V39" i="6"/>
  <c r="P39" i="6"/>
  <c r="G39" i="6"/>
  <c r="O39" i="6"/>
  <c r="Q39" i="6"/>
</calcChain>
</file>

<file path=xl/sharedStrings.xml><?xml version="1.0" encoding="utf-8"?>
<sst xmlns="http://schemas.openxmlformats.org/spreadsheetml/2006/main" count="2441" uniqueCount="1375">
  <si>
    <t>FORMATO
SOLICITUD DE INCENTIVOS TRIBUTARIOS
PARA PROYECTOS DE FNCE
EXCLUSIÓN DE IVA, DEDUCCIÓN EN RENTA
EXENCIÓN DE ARANCEL Y DEPRECIACIÓN ACELERADA</t>
  </si>
  <si>
    <t>Código: : F-CT-01</t>
  </si>
  <si>
    <t>Fecha: 04/12/2024</t>
  </si>
  <si>
    <t>Versión: 03</t>
  </si>
  <si>
    <t>FORMATO 1
FORMATO ÚNICO DE SOLICITUD PARA INCENTIVOS A LA INVERSIÓN EN PROYECTOS DE FNCE 
(CAPÍTULO III DE LA LEY 1715 DE 2014)</t>
  </si>
  <si>
    <t>1. SOLICITANTES</t>
  </si>
  <si>
    <t>1.1 Solicitante Principal</t>
  </si>
  <si>
    <t>1.2 Solicitante Secundario</t>
  </si>
  <si>
    <t>Nombre o razón social</t>
  </si>
  <si>
    <t>SUN FACTORY SAS ESP</t>
  </si>
  <si>
    <t>Solenium S.A.S</t>
  </si>
  <si>
    <t>Sector productivo</t>
  </si>
  <si>
    <t>Instalaciones Eléctricas</t>
  </si>
  <si>
    <t>Código CIIU</t>
  </si>
  <si>
    <t>4321 - Instalaciones eléctricas</t>
  </si>
  <si>
    <t>Rol</t>
  </si>
  <si>
    <t>Instalador</t>
  </si>
  <si>
    <t>C.C ó NIT</t>
  </si>
  <si>
    <t>901097244-5</t>
  </si>
  <si>
    <t>Departamento</t>
  </si>
  <si>
    <t>ANTIOQUIA</t>
  </si>
  <si>
    <t>Municipio</t>
  </si>
  <si>
    <t xml:space="preserve"> 
BOGOTÁ. D.C.</t>
  </si>
  <si>
    <t>MEDELLÍN</t>
  </si>
  <si>
    <t>Dirección</t>
  </si>
  <si>
    <t>CALLE 46 #70A-79</t>
  </si>
  <si>
    <t>Teléfono</t>
  </si>
  <si>
    <t>(+57) 316 1935991</t>
  </si>
  <si>
    <t>Nombre del Representante Legal (R.L.)</t>
  </si>
  <si>
    <t>Jaibet Paola Santiago Ribón</t>
  </si>
  <si>
    <t>C.C o C.E Representante Legal</t>
  </si>
  <si>
    <t>correo electrónico de notificación</t>
  </si>
  <si>
    <t>info@solenium.co</t>
  </si>
  <si>
    <t>CONTACTO</t>
  </si>
  <si>
    <t>Nombre de la persona de contacto</t>
  </si>
  <si>
    <t>Sergio Danny Camacho Guzman</t>
  </si>
  <si>
    <t>Teléfono de la persona de contacto</t>
  </si>
  <si>
    <t>(+57) 301 2950511</t>
  </si>
  <si>
    <t>Correo Electrónico persona de contacto</t>
  </si>
  <si>
    <t>tramites@solenium.co</t>
  </si>
  <si>
    <t>2. NOMBRE DEL PROYECTO DE FNCE</t>
  </si>
  <si>
    <t>MGS 0000</t>
  </si>
  <si>
    <t>3. ETAPA DEL PROYECTO EN FNCE</t>
  </si>
  <si>
    <t>Inversión</t>
  </si>
  <si>
    <t>4. INFORMACIÓN DE REGISTRO DEL PROYECTO</t>
  </si>
  <si>
    <t>Número de radicado del registro del proyecto expedido por la UPME (Si aplica)</t>
  </si>
  <si>
    <t>Fecha del radicado</t>
  </si>
  <si>
    <t>5. INCENTIVOS A LOS CUALES APLICA (Marque con una X)</t>
  </si>
  <si>
    <t>Exclusión de IVA</t>
  </si>
  <si>
    <t>X</t>
  </si>
  <si>
    <t>Exención de Arancel</t>
  </si>
  <si>
    <t>Deducción de Renta</t>
  </si>
  <si>
    <t>Depreciación acelerada</t>
  </si>
  <si>
    <t>6. LUGAR DE UBICACIÓN DE LA INVERSION</t>
  </si>
  <si>
    <t xml:space="preserve">    Departamento</t>
  </si>
  <si>
    <t>Antioquia</t>
  </si>
  <si>
    <t xml:space="preserve">    Municipio</t>
  </si>
  <si>
    <t>Titiribí</t>
  </si>
  <si>
    <t>7. VALOR DE LA INVERSION OBJETO DEL BENEFICIO ANTES DE IMPUESTOS</t>
  </si>
  <si>
    <t>Valor total en COP</t>
  </si>
  <si>
    <t>8. NÚMERO DE ACREDITACIÓN O REFERENCIA DE PAGO DE LA TARIFA</t>
  </si>
  <si>
    <t>Número de referencia de pago (CUS)</t>
  </si>
  <si>
    <t>9. DECLARACIÓN</t>
  </si>
  <si>
    <t>Con la presente solicitud declaro que toda la información suministrada con miras a obtener la certificación que permita acceder a los incentivos establecidos en los artículos 11, 12, 13 y 14 de la Ley 1715 de 2014, modificados por la Ley 2099 de 2021, es veraz y me hago responsable por ella. Así mismo, autorizo a la UPME para que de conformidad con el artículo 67 del Código de Procedimiento Administrativo y de lo Contencioso Administrativo, notifique todas las actuaciones surtidas en desarrollo del trámite al correo electrónico de notificaciones informado en el presente documento.</t>
  </si>
  <si>
    <t>Firma del R.L. del solicitante principal</t>
  </si>
  <si>
    <t>Firma del R.L. del solicitante secundario</t>
  </si>
  <si>
    <t>C.C / C.E</t>
  </si>
  <si>
    <t>Código: F-CT-01</t>
  </si>
  <si>
    <t>Fecha: 10/10/2024</t>
  </si>
  <si>
    <t>FORMATO 2
GENERALIDADES DEL PROYECTO DE FNCE
(CAPÍTULO III DE LA LEY 1715 DE 2014)</t>
  </si>
  <si>
    <t>1. INFORMACIÓN GENERAL DEL PROYECTO DE FNCE</t>
  </si>
  <si>
    <t>Nombre del proyecto</t>
  </si>
  <si>
    <t>Sector donde se realizará el proyecto</t>
  </si>
  <si>
    <t>Generación eléctrica</t>
  </si>
  <si>
    <t>Tipo de generador</t>
  </si>
  <si>
    <t>Generador</t>
  </si>
  <si>
    <t>Tipo de FNCE (Ley 1715 de 2014)</t>
  </si>
  <si>
    <t>Solar</t>
  </si>
  <si>
    <t>Recurso Energético</t>
  </si>
  <si>
    <t>Sol</t>
  </si>
  <si>
    <t>Relacionar Cual</t>
  </si>
  <si>
    <t>Tecnología</t>
  </si>
  <si>
    <t>Fotovoltaica</t>
  </si>
  <si>
    <t>Otra</t>
  </si>
  <si>
    <t>Ubicación</t>
  </si>
  <si>
    <t>Zona</t>
  </si>
  <si>
    <t>SIN</t>
  </si>
  <si>
    <t xml:space="preserve">2. INFORMACIÓN TÉCNICA </t>
  </si>
  <si>
    <t>Datos técnicos</t>
  </si>
  <si>
    <t>Área del Proyecto (m2)</t>
  </si>
  <si>
    <t>Capacidad Instalada (kW)</t>
  </si>
  <si>
    <t>Energía Generada (kWh/año)</t>
  </si>
  <si>
    <t>Vida útil del proyecto (años)</t>
  </si>
  <si>
    <t>Eficiencia de la planta (%)</t>
  </si>
  <si>
    <t>Factor de Planta (%)</t>
  </si>
  <si>
    <t>Datos de Conexión</t>
  </si>
  <si>
    <t>¿Se conectará a la red?</t>
  </si>
  <si>
    <t>Si</t>
  </si>
  <si>
    <t>Nivel de tensión (kV) (Cuando aplique)</t>
  </si>
  <si>
    <t>Nombre del Operador de Red (Cuando aplique)</t>
  </si>
  <si>
    <t>AIR-E</t>
  </si>
  <si>
    <t>3. PERIODO DE EJECUCIÓN</t>
  </si>
  <si>
    <t>Periodo de Ejecución</t>
  </si>
  <si>
    <t>Fecha estimada de inicio de construcción</t>
  </si>
  <si>
    <t>Fecha estimada de entrada en operación comercial</t>
  </si>
  <si>
    <t>4. INFORMACIÓN ECONÓMICA</t>
  </si>
  <si>
    <t>Datos Económicos</t>
  </si>
  <si>
    <t>Costo total del proyecto antes de IVA (COP)</t>
  </si>
  <si>
    <t>IVA del proyecto (COP)</t>
  </si>
  <si>
    <t>Costo de generación sin el proyecto (COP/kWh) (Cuando aplique)</t>
  </si>
  <si>
    <t>5. DESCRIPCIÓN DEL PROYECTO</t>
  </si>
  <si>
    <t>FORMATO 3
FORMATO DE ESPECIFICACIONES DE ELEMENTOS, EQUIPOS Y/O MAQUINARIA
(CAPÍTULO III DE LA LEY 1715 DE 2014)</t>
  </si>
  <si>
    <t>Ítem</t>
  </si>
  <si>
    <t>Nombre del Elemento/Equipo/Maquinaria</t>
  </si>
  <si>
    <t>Subpartida arancelaria</t>
  </si>
  <si>
    <t>Cantidad</t>
  </si>
  <si>
    <t>Unidad de Medida</t>
  </si>
  <si>
    <t>Marca</t>
  </si>
  <si>
    <t>Modelo / Referencia</t>
  </si>
  <si>
    <t>Normas técnicas</t>
  </si>
  <si>
    <t>Fabricante</t>
  </si>
  <si>
    <t>Proveedor</t>
  </si>
  <si>
    <t>Valor total en COP
(Sin incluir IVA)</t>
  </si>
  <si>
    <t>Valor IVA en COP</t>
  </si>
  <si>
    <t xml:space="preserve">Función </t>
  </si>
  <si>
    <t>Soporte</t>
  </si>
  <si>
    <t>Certificado de Conformidad de Producto</t>
  </si>
  <si>
    <t>Odoo ID</t>
  </si>
  <si>
    <t>Subestación o Power Station</t>
  </si>
  <si>
    <t>8504.34.10.00</t>
  </si>
  <si>
    <t>unidades</t>
  </si>
  <si>
    <t>ZENTRACK</t>
  </si>
  <si>
    <t>CN-1250/012</t>
  </si>
  <si>
    <t>EN61000-6:2019; EN61000-6-4:2019; IEC 61558-
1:2019; IEC 62271-202:2022; IEC 61330:1995</t>
  </si>
  <si>
    <t>EAGLERISE ELECTRIC &amp; ELECTRONIC (CHINA) CO. LTD</t>
  </si>
  <si>
    <t>NEXUS TRADE CONSULTING LIMITED</t>
  </si>
  <si>
    <t>La subestación compacta para intemperie transforma la energía generada en baja tensión por el proyecto fotovoltaico a media tensión, permitiendo su integración a la red de distribución local. Cuenta con centros de transformación, celdas de medida y protección, y dispositivos contra sobrecorriente y sobrevoltaje. Su función es esencial para suministrar energía a los habitantes cercanos.</t>
  </si>
  <si>
    <t>https://drive.google.com/drive/folders/149PiE67rtKaDRx-CQfP_LsUKNH8RPryo</t>
  </si>
  <si>
    <t>No encontrado</t>
  </si>
  <si>
    <t>CN-1250/015</t>
  </si>
  <si>
    <t>EN61000-6:2019; EN61000-6-4:2019; IEC
61558-1:2019; IEC 62271-202:2022; IEC 61330:1995</t>
  </si>
  <si>
    <t>$135.493.339,59</t>
  </si>
  <si>
    <t>https://drive.google.com/drive/folders/1BZTPlrGbiOcKSSlGhOfzdjAdnugKSXtF</t>
  </si>
  <si>
    <t>85.04.22.90.00</t>
  </si>
  <si>
    <t xml:space="preserve">ZENTRACK </t>
  </si>
  <si>
    <t>CN-1100/022</t>
  </si>
  <si>
    <t>EN61000-6:2019; EN61000-6-4:2019; IEC 61558-1:2019; IEC 62271-202:2022; IEC 61330:1995</t>
  </si>
  <si>
    <t>https://drive.google.com/drive/folders/1cc5cpb9x2xwyAoBBs67LEUqpqbe4cNCu</t>
  </si>
  <si>
    <t>P01931</t>
  </si>
  <si>
    <t>CN-1100/025</t>
  </si>
  <si>
    <t>EN61000-6:2019; EN61000-6-4:2019; IEC 61558-1:2019; IEC
62271-202:2022; IEC 61330:1995</t>
  </si>
  <si>
    <t>https://drive.google.com/drive/folders/184IyEgfQEVb0mxUHFCwhbcytQbdnM25v</t>
  </si>
  <si>
    <t>Seguidores solares</t>
  </si>
  <si>
    <t xml:space="preserve">
7308.90.90.00</t>
  </si>
  <si>
    <t>Tracker 1P Singsun</t>
  </si>
  <si>
    <t>ISO 9001, ISO 14001, ISO 1461</t>
  </si>
  <si>
    <t>JIANGSU GUOQIANG SINGSUN ENERGY CO., LTD</t>
  </si>
  <si>
    <t>Estructura móvil instalada para soportar los módulos fotovoltaicos y para seguir la trayectoria del sol.</t>
  </si>
  <si>
    <t>https://drive.google.com/drive/folders/13HHTDddZaBxA5miHhexjxiByePe9BqxS</t>
  </si>
  <si>
    <t>P00575</t>
  </si>
  <si>
    <t>7308.90.90.00</t>
  </si>
  <si>
    <t>Tracker 2P Singsun</t>
  </si>
  <si>
    <t>https://drive.google.com/drive/folders/1LGlr0snTHTDmlIvybUh5fmdkNjI15f5y</t>
  </si>
  <si>
    <t>P00576</t>
  </si>
  <si>
    <t>Unidad funcional</t>
  </si>
  <si>
    <t>8479.89.90.00</t>
  </si>
  <si>
    <t>TrinaTracker</t>
  </si>
  <si>
    <t>Vanguard -2P</t>
  </si>
  <si>
    <t>UL 3703, UL 2703, IEC 62817, ISO 9001, ISO14001</t>
  </si>
  <si>
    <t>Trina Solar Co.,Ltd</t>
  </si>
  <si>
    <t xml:space="preserve">Soporte estructural para los paneles solares con un sistema de "tracking" que le permite girar sobre su eje transversal para seguir el sol, el equipo fue clasificado arancelariamente como una unidad funcional por la Dirección de Impuestos y Aduanas Nacionales </t>
  </si>
  <si>
    <t>https://drive.google.com/drive/folders/13R5ydcDZsTgU9S9CVxafW9PKXeEsitjV?usp=drive_link</t>
  </si>
  <si>
    <t>Zentrack</t>
  </si>
  <si>
    <t>https://drive.google.com/drive/folders/1rzFaWfqPq962WWIfcZTMSwxV9pyxXJao</t>
  </si>
  <si>
    <t>Sistema de monitoreo, control y automatización</t>
  </si>
  <si>
    <t>9032.89.90.00</t>
  </si>
  <si>
    <t>CONTROLADOR SEGUIDOR SOLAR V1R3</t>
  </si>
  <si>
    <t>ISO 9001
UL (E332411)</t>
  </si>
  <si>
    <t>H.C.C. International Limited</t>
  </si>
  <si>
    <t>ZENTRACK SAS</t>
  </si>
  <si>
    <t>Controladores Zentrack, estos equipos se encargan de realizar el control de los motores utilizados para posicionar en posición perpendicular al sol el seguidor solar que soporta los paneles solares. El controlador calcula la trayectoria del sol y con un sensor de inclinación integrado posiciona la estructura para seguir el sol. Hace parte esencial del sistema de seguimiento solar</t>
  </si>
  <si>
    <t>Paneles/modulos o celdas fotovoltaicas</t>
  </si>
  <si>
    <t>8541.43.00.00</t>
  </si>
  <si>
    <t>LONGi</t>
  </si>
  <si>
    <t>LR5-72HGD-580M</t>
  </si>
  <si>
    <t>IEC61215, IEC61730, UL61730, IEC62941</t>
  </si>
  <si>
    <t>Principal componente del sistema de energía solar y su función es transformar la radiación solar directamente en electricidad</t>
  </si>
  <si>
    <t>https://drive.google.com/drive/folders/1v5PFo_rL5WEAQ9DsjzwtKHaQqFWCfoNn</t>
  </si>
  <si>
    <t>P00771</t>
  </si>
  <si>
    <t>LR7-72HGD610M</t>
  </si>
  <si>
    <t>https://drive.google.com/drive/folders/1W0chWWJxQITFQX8qZPlnjboQTzuztD1F</t>
  </si>
  <si>
    <t>P01666</t>
  </si>
  <si>
    <t>LR7-72HYD-650M</t>
  </si>
  <si>
    <t>https://drive.google.com/drive/folders/1Xzeum8R9QMY_Y8iTd8-rQO30BLzR3Cru</t>
  </si>
  <si>
    <t>P00773</t>
  </si>
  <si>
    <t>LR7-72HGD-615M</t>
  </si>
  <si>
    <t>P01526</t>
  </si>
  <si>
    <t>LR8-66HVD-655M</t>
  </si>
  <si>
    <t>https://drive.google.com/drive/folders/19efuYBKjM8Oh-ZfVDbMFTiX1XJq4P8ez</t>
  </si>
  <si>
    <t>P01667</t>
  </si>
  <si>
    <t>LR8-66HGD-615M</t>
  </si>
  <si>
    <t>https://drive.google.com/drive/folders/14zrIbdPCsxdJuhHTGBpgY2jL9lzFebsN</t>
  </si>
  <si>
    <t>https://drive.google.com/drive/folders/1rsZFZeulPRCYwiMXlaM-GcvB3vIGGO3x</t>
  </si>
  <si>
    <t>LR7-72HGD 620M</t>
  </si>
  <si>
    <t>P01527</t>
  </si>
  <si>
    <t>Inversores o microinversores (Off Gid, Grid Tie o Híbrido)</t>
  </si>
  <si>
    <t>Huawei</t>
  </si>
  <si>
    <t>SUN2000-247.5KTL-H1</t>
  </si>
  <si>
    <t>IEC 61727:2004; IEC 62116:2014</t>
  </si>
  <si>
    <t>Huawei Technologies Co., Ltd.</t>
  </si>
  <si>
    <t>Transformacion de energia DC/AC</t>
  </si>
  <si>
    <t>https://drive.google.com/drive/folders/1uzr6NJKRStMhnDDofeFaPjLjh0KdD8f5</t>
  </si>
  <si>
    <t>https://drive.google.com/drive/folders/1RRBxfJPuzZMLRVIzMTb4NSErLaOxCt5w</t>
  </si>
  <si>
    <t>P01243</t>
  </si>
  <si>
    <t>SUN2000-249KTL-H1</t>
  </si>
  <si>
    <t>https://drive.google.com/drive/folders/1IYQfLVwNswfcGO-dKZOEcPAWXMJShUL_</t>
  </si>
  <si>
    <t>Unidades</t>
  </si>
  <si>
    <t>SUN2000-330KTL-H1</t>
  </si>
  <si>
    <t>IEC 61727:2004 Photovoltaic (PV) systems – Characteristics of the utility interface IEC 62116:2014 Test procedure of islanding prevention measures for utilityinterconnected photovoltaic inverters</t>
  </si>
  <si>
    <t>Transformación de energía DC/AC</t>
  </si>
  <si>
    <t>https://drive.google.com/drive/folders/1XVHXVNZhsQLqJm55cowRAr7WgAyCuGG9</t>
  </si>
  <si>
    <t>P00655</t>
  </si>
  <si>
    <t>SUN2000-40KTL-M3</t>
  </si>
  <si>
    <t>EN 62109-1/-2, IEC 62109-1/-2, EN 50530, IEC 62116, IEC 60068, IEC 61683</t>
  </si>
  <si>
    <t>https://drive.google.com/drive/folders/1aYvYiIGK0bLmaslxX5eWDsY5gIgAxGE5</t>
  </si>
  <si>
    <t>P00656</t>
  </si>
  <si>
    <t>SUN2000-50KTL-M3</t>
  </si>
  <si>
    <t>EN 62109-1/-2, IEC 62109-1/-2, EN 50530, IEC 62116, IEC 60068, IEC 61683, IEC 61727, ABNT NBR 16149, ABNT NBR 16150, ABNT NBR IEC 62116</t>
  </si>
  <si>
    <t>https://drive.google.com/drive/folders/1u2EMBQNnKkj1JWL4zsJCQgYfEQb8s4QG</t>
  </si>
  <si>
    <t>P00657</t>
  </si>
  <si>
    <t>Datalogger</t>
  </si>
  <si>
    <t>unidad</t>
  </si>
  <si>
    <t xml:space="preserve">Huawei </t>
  </si>
  <si>
    <t>SmartLogger3000A03EU</t>
  </si>
  <si>
    <t>IEC 60870-5-104, IEC 60870-5-103</t>
  </si>
  <si>
    <t>Datalogger para la supervisión, control y adquisición de datos del sistema fotovoltaico, necesario para la integración con sistemas de monitoreo y cumplimiento de protocolos de comunicación exigidos (IEC 60870-5-104 / 103), permitiendo la gestión de inversores y operación remota del sistema</t>
  </si>
  <si>
    <t>https://drive.google.com/drive/folders/17nqi9n1BchtoHKfbCfSFiqh2-gNWBx-3</t>
  </si>
  <si>
    <t>Conectores MC4</t>
  </si>
  <si>
    <t>Weidmüller</t>
  </si>
  <si>
    <t>BUGH WM4 C BT</t>
  </si>
  <si>
    <t>DIN EN 50521, IEC 62852</t>
  </si>
  <si>
    <t>Weidmüller Interface GmbH &amp; Co. KG</t>
  </si>
  <si>
    <t>Conectores que facilitan la conexión de los paneles fotovoltaicos</t>
  </si>
  <si>
    <t>https://drive.google.com/drive/folders/1-2SDtnilKVkzbzm9670h4Q6m2h67DLEr</t>
  </si>
  <si>
    <t>P00458</t>
  </si>
  <si>
    <t>BUKO WM4 C BT</t>
  </si>
  <si>
    <t>DIN EN 50521</t>
  </si>
  <si>
    <t>https://drive.google.com/drive/folders/1amUHJ6EEV4uoBb1yKnPdglVV4cfaXurS</t>
  </si>
  <si>
    <t>P00806</t>
  </si>
  <si>
    <t>SFGH WM4 C BT</t>
  </si>
  <si>
    <t>https://drive.google.com/drive/folders/1OJ3kxVxw9yhyVvPcj4lAtZVRvI6UtXs_</t>
  </si>
  <si>
    <t>P00461</t>
  </si>
  <si>
    <t>SFkO WM4 C BT</t>
  </si>
  <si>
    <t>https://drive.google.com/drive/folders/1Fp0aiedr33njv9LVd2JC0tg1MAvEB5L_</t>
  </si>
  <si>
    <t>P00807</t>
  </si>
  <si>
    <t>Interruptores, reconectadores, seccionadores y transferencias automáticas</t>
  </si>
  <si>
    <t>Unidad</t>
  </si>
  <si>
    <t>Noja</t>
  </si>
  <si>
    <t>OSM-15-12-630</t>
  </si>
  <si>
    <t>ANSI C37.60-2012, IEC 61850, IEC 60870-5-101, IEC 60870-5-104, DNP3, IEC 61499, IEC 255, IP66, IP65</t>
  </si>
  <si>
    <t>Noja Power
Switchgear
Pty. Ltd.</t>
  </si>
  <si>
    <t>Potencia y
Tecnologías
Incorporadas S.A.S</t>
  </si>
  <si>
    <t>Equipo encargado de proteger el
sistema de generación en media tensión</t>
  </si>
  <si>
    <t>https://drive.google.com/drive/folders/1Z1p6iVbf8ZfNUNKctMlV-gTfT9a90dUO</t>
  </si>
  <si>
    <t>P00836</t>
  </si>
  <si>
    <t>OSM27</t>
  </si>
  <si>
    <t>OSM38</t>
  </si>
  <si>
    <t>ABB</t>
  </si>
  <si>
    <t>OVR-15</t>
  </si>
  <si>
    <t>IEC 62271-111 / IEEE C37.60:2012; IEC C37.100.1-2007</t>
  </si>
  <si>
    <t>ABB India Limited</t>
  </si>
  <si>
    <t>Equipo de protección, maniobra y reconexión automática en redes eléctricas de media tensión. Permite interrumpir corrientes de falla, realizar secuencias de apertura y recierre, proteger la red de distribución y mejorar la continuidad y confiabilidad del sistema eléctrico asociado al proyecto.</t>
  </si>
  <si>
    <t>https://drive.google.com/drive/folders/130FN_7LTt8PzogdEZa6eTOhOl920Wfrj</t>
  </si>
  <si>
    <t>P01774</t>
  </si>
  <si>
    <t>OVR-27</t>
  </si>
  <si>
    <t>OVR-38</t>
  </si>
  <si>
    <t>P01773</t>
  </si>
  <si>
    <t>ROCKWILL</t>
  </si>
  <si>
    <t>RCW15/630, Corriente Nominal Cortocircuito 15 kA.</t>
  </si>
  <si>
    <t>IEC 62271-200:2021, IEC 61439-3:2012, IEC 61439-1:2020, UL 969:2023, IEC 60695-11-10:2013</t>
  </si>
  <si>
    <t>Wenzhou Rockwill Electric Co., Ltd</t>
  </si>
  <si>
    <t>ACOVIS Ingeníeria De Colombia SAS</t>
  </si>
  <si>
    <t>Equipo encargado de proteger el sistema de generación en media tensión</t>
  </si>
  <si>
    <t>https://drive.google.com/drive/folders/1WQcos9JHcWphjLlluEt1u6QqWwPv16T6</t>
  </si>
  <si>
    <t>P00837</t>
  </si>
  <si>
    <t>RCW38/630 Corriente Nominal Cortocircuito 15 kA.</t>
  </si>
  <si>
    <t>RCW27/630</t>
  </si>
  <si>
    <t>Medidores bidireccionales</t>
  </si>
  <si>
    <t>ISKRA</t>
  </si>
  <si>
    <t>MT880,  Medidor trifásico multitarifa</t>
  </si>
  <si>
    <t>IEC 62052-11-2003,IEC 62053-22/2003, IEC 62053-23/2003</t>
  </si>
  <si>
    <t>ISKRAEMECO D.D.</t>
  </si>
  <si>
    <t>INDUSTRIA ELECTRICA DEL CAUCA S.A.S. - INELCA S.A.S.</t>
  </si>
  <si>
    <t>Equipo de medida para registrar la energía generada por el sistema y que se inyecta a la red en media tensión</t>
  </si>
  <si>
    <t>https://drive.google.com/drive/folders/142PceXJfvcSHBq42bMrcYZ0T8zoGQkbR</t>
  </si>
  <si>
    <t>P00707</t>
  </si>
  <si>
    <t>Medidores Inteligentes</t>
  </si>
  <si>
    <t>METCOM Solutions</t>
  </si>
  <si>
    <t xml:space="preserve">MCS301 </t>
  </si>
  <si>
    <t>EN 50470-3; IEC 62053-21; IEC 62053-22; IEC 62052-11; EN 50407-1; EN 62054; IEC 62053-31; EN 62056-21; DIN 43857 parte 2; DIN 43859; DLMS/COSEM; IDIS paquete 2; IP54; MID M1; MID E2.</t>
  </si>
  <si>
    <t>Medición inteligente de energía eléctrica activa bidireccional, energía reactiva en los 4 cuadrantes, energía aparente, máxima demanda, perfiles de facturación, calidad de energía, armónicos, THD, eventos, comunicación remota y funciones antifraude para segmentos residencial, comercial, industrial y puntos de frontera.</t>
  </si>
  <si>
    <t>https://drive.google.com/drive/folders/19CYDdqWguMc87HwvJqG6ls0_1yVbusJk</t>
  </si>
  <si>
    <t>MCS301-002-ES</t>
  </si>
  <si>
    <t xml:space="preserve">METCOM Solutions </t>
  </si>
  <si>
    <t>Transformadores (de potencia, medida e instrumentación)</t>
  </si>
  <si>
    <t>Rymel</t>
  </si>
  <si>
    <t>TCEM 50/5 Clase Medición 0.5s Burden Nominal 5 VA"</t>
  </si>
  <si>
    <t>IEC61869-2, NTC5933, NTC2205</t>
  </si>
  <si>
    <t>Rymel S.A.S.</t>
  </si>
  <si>
    <t>Su principal función es transformar la corriente y aislar los instrumentos de protección y medición conectados a los circuitos de media tensión</t>
  </si>
  <si>
    <t>https://drive.google.com/drive/folders/1rg2fKpw96CeTPlhwxBy9lKUmkBluhuSD</t>
  </si>
  <si>
    <t>P01040</t>
  </si>
  <si>
    <t>ESITAS</t>
  </si>
  <si>
    <t>ATH 30-N Clase Medición 0.5s Burden Nominal 5 VA</t>
  </si>
  <si>
    <t>Latam Ifer S.A.S</t>
  </si>
  <si>
    <t>https://drive.google.com/drive/folders/1OsuQpqPHBUB_kOYJ3FmLaR4JtacmLQk-</t>
  </si>
  <si>
    <t>VTH 30-N</t>
  </si>
  <si>
    <t>IEC61869-3, NTC5933, NTC2207</t>
  </si>
  <si>
    <t>Su principal función es transformar la tensión y aislar los instrumentos de protección y medición conectados a los circuitos de media tensión</t>
  </si>
  <si>
    <t>https://drive.google.com/drive/folders/1zfK8iusdA9tBDpVodUvhgzm_uIYKWr-w</t>
  </si>
  <si>
    <t>TPEM1 13.8/√3 - 120/√3 Clase Medición 0.5 Burden Nominal 5 VA</t>
  </si>
  <si>
    <t>P01851</t>
  </si>
  <si>
    <t>Tableros de baja tensión AC/DC (Incluye los elementos internos)</t>
  </si>
  <si>
    <t>TODO LÁMINAS C.E.</t>
  </si>
  <si>
    <t>TMI (2) - 100 A- 10 kA - IP 44 - 60,70,25 - septiembre 2023</t>
  </si>
  <si>
    <t>Numeral 20.23-1 del Reglamento Técnico de Instalaciones Eléctricas - RETIE. Resolución 90708 del 30 de agosto de 2013 y 90795 del 25 de julio de 2014 del Ministerio de Minas y Energía</t>
  </si>
  <si>
    <t>Mavill S.A.S.</t>
  </si>
  <si>
    <t>Alberga los dos medidores de energía de la frontera del proyecto</t>
  </si>
  <si>
    <t>https://drive.google.com/drive/folders/1aolEGj-F-Yl7o1AgeN3vMol0tvM7HgB8</t>
  </si>
  <si>
    <t>P00939</t>
  </si>
  <si>
    <t>Cables Solares DC</t>
  </si>
  <si>
    <t>metros</t>
  </si>
  <si>
    <t>PRYSMIAN GROUP</t>
  </si>
  <si>
    <t>Cable Fotovoltaico, 6mm2, 1800 V DC, Cobre Suave, Flexible, XLPE</t>
  </si>
  <si>
    <t>NTC 6404/2020 y la RESOLUCIÓN 90708 de 2013 del MINISTERIO DE MINAS Y ENERGÍA – RETIE (Numeral 20.2)</t>
  </si>
  <si>
    <t>PRODUCTORA DE CABLES PROCABLES S.A.S.</t>
  </si>
  <si>
    <t>Transporta la energía DC proveniente de los paneles fotovoltaicos hacia los inversores</t>
  </si>
  <si>
    <t>https://drive.google.com/drive/folders/1EWcp25cWf4rxmKDGWWA4b7J2Mrcppp9t</t>
  </si>
  <si>
    <t>P00335</t>
  </si>
  <si>
    <t>Alambres y cables en AC</t>
  </si>
  <si>
    <t>PROCABLES</t>
  </si>
  <si>
    <t>NTC 1332/2011, UL 83/2017, ENERSIS/ENDESA E-BT-001/Rev. 6 2011, CODENSA ET-116/2019 y la RESOLUCIÓN 90708 del MINISTERIO DE MINAS Y ENERGÍA – RETIE (Numeral 20.2)</t>
  </si>
  <si>
    <t>https://drive.google.com/drive/folders/1eQubYT9_KBWjAItKXkUTaLGeGpY3h7BO</t>
  </si>
  <si>
    <t>Cable termoplástico AA Serie 8000 14 AWG 600V concéntrico THHW PVC 90°C Seco Use CT</t>
  </si>
  <si>
    <t>NTC 1332/2011, UL 83/2017, ENERSIS/ENDESA E-BT-001/Rev. 6 2011, CODENSA ET-116/2019
y la RESOLUCIÓN 90708 del MINISTERIO DE MINAS Y ENERGÍA – RETIE (Numeral 20.2)</t>
  </si>
  <si>
    <t>Cable termoplástico AA Serie 8000 1/0 AWG 600V concéntrico THHW PVC 90°C Seco Use CT</t>
  </si>
  <si>
    <t>P00280</t>
  </si>
  <si>
    <t>Cobre desnudo suave 1/0 AWG cableado concéntrico clase B</t>
  </si>
  <si>
    <t>NTC 307/2012, ASTM B3/2013, ASTM B8/2011, ET 121/2013 y la RESOLUCIÓN 90708 de 2013 del MINISTERIO DE MINAS Y ENERGÍA - RETIE (Numeral 20.2)</t>
  </si>
  <si>
    <t>Componente principal del sistema de puesta a tierra, permite la interconexión de las varillas de puesta a tierra, formando un enmallado</t>
  </si>
  <si>
    <t>https://drive.google.com/drive/folders/1EgEUg71TCUVyqx5EBRpi-b4OsHDeFAan</t>
  </si>
  <si>
    <t>Cobre desnudo suave 2 AWG cableado concéntrico clase B</t>
  </si>
  <si>
    <t xml:space="preserve">CENTELSA </t>
  </si>
  <si>
    <t>XLPE Al 1/0 AWG 15kV 100% PVC</t>
  </si>
  <si>
    <t>NTC 2186-2/2015, ICEA S-93-639/2017, NEMA WC 74/2017 y la RESOLUCIÓN 90708 de 2013 del MINISTERIO DE MINAS Y ENERGÍA – RETIE (Numeral 20.2)</t>
  </si>
  <si>
    <t>CABLES DE ENERGÍA Y DE TELECOMUNICACIONES S.A.S.</t>
  </si>
  <si>
    <t xml:space="preserve">SONEPAR </t>
  </si>
  <si>
    <t xml:space="preserve">Conexión en media tensión entre la celda de protección y el punto de interconexión a la red del Operador de Red </t>
  </si>
  <si>
    <t xml:space="preserve"> https://drive.google.com/drive/folders/1fJEhGAAG1s9UUSD3w3L0iQ9ukZ8oTd4Y</t>
  </si>
  <si>
    <t>P01509</t>
  </si>
  <si>
    <t xml:space="preserve">AISCAN </t>
  </si>
  <si>
    <t>Canalizaciones: canaletas, tubos, prefabricadas con barras o con cables, ductos subterráneos</t>
  </si>
  <si>
    <t>INTERFLEX</t>
  </si>
  <si>
    <t>AGT-17N</t>
  </si>
  <si>
    <t>Reglamento Técnico de instalaciones eléctricas RETIE . Resolución 90708 de 30 de agosto de 2013, Resolución 90795 de 25 de julio de 2014 del Ministerio de Minas y Energía Numerales 20.6.1</t>
  </si>
  <si>
    <t>INTERFLEX S.L</t>
  </si>
  <si>
    <t>EDEMCO S.A.S.</t>
  </si>
  <si>
    <t>La tubería se encarga de proteger el cable de conexión de comunicaciones entre el inversor y el Smartlogger</t>
  </si>
  <si>
    <t>https://drive.google.com/drive/folders/19UyhofeeZK-Q-4qGkg9urPR2kjNeYMOC</t>
  </si>
  <si>
    <t>AGT-48N</t>
  </si>
  <si>
    <t>La tubería se encarga de proteger el cable de conexión entre la salida en AC de los inversores y el tablero FV</t>
  </si>
  <si>
    <t>P01048</t>
  </si>
  <si>
    <t>AGT-95N</t>
  </si>
  <si>
    <t>P01047</t>
  </si>
  <si>
    <t>PLASTIMEC Y RALCO</t>
  </si>
  <si>
    <t>TUBOS DE PVC RÍGIDO Conduit Tipo A De 3/4"</t>
  </si>
  <si>
    <t>NTC 979/2021 y la RESOLUCIÓN 90708 de 2013 del MINISTERIO DE MINAS Y ENERGÍA RETIE (Numeral 20.6)</t>
  </si>
  <si>
    <t>INDUSTRIA COLOMBIANA DE PLÁSTICOS S.A.S. - IMEC S.A.S.</t>
  </si>
  <si>
    <t>EDEMCO S.A.S</t>
  </si>
  <si>
    <t>https://drive.google.com/drive/folders/1zNd1D2h-z-VYbFcd_0_QKnoePDwbyND-</t>
  </si>
  <si>
    <t>P01080</t>
  </si>
  <si>
    <t>Durman</t>
  </si>
  <si>
    <t>DUCTOS ELÉCTRICOS Y TELEFÓNICOS DB 3M 2 pulg
Referencia 2016200</t>
  </si>
  <si>
    <t>NTC 1630 Tubos de PVC para alojar y proteger conductores subterráneos eléctricos y telefónicos
Resolución 9 0708 RETIE Accesorios de PVC para Tubería Conduit Cajas de PVC para Instalaciones Eléctricas</t>
  </si>
  <si>
    <t>Durman by aliaxis</t>
  </si>
  <si>
    <t>La tubería se encarga de proteger el cable de conexión entre los inversores y el tablero fotovoltaico.</t>
  </si>
  <si>
    <t>https://drive.google.com/drive/folders/1mapuxMqv4bBnC7lfc-hqPE-GkTStiuHX</t>
  </si>
  <si>
    <t>P01084</t>
  </si>
  <si>
    <t>DUCTOS ELÉCTRICOS Y TELEFÓNICOS DB 3M 2 pulg  referencia 2016201</t>
  </si>
  <si>
    <t>"NTC 1630 Tubos de PVC para alojar y proteger conductores subterráneos eléctricos y telefónicos
Resolución 9 0708 RETIE Accesorios de PVC para Tubería Conduit Cajas de PVC para Instalaciones Eléctricas"</t>
  </si>
  <si>
    <t>DUCTOS ELÉCTRICOS Y TELEFÓNICOS DB 3M 2 pulg  referencia 2016202</t>
  </si>
  <si>
    <t>DUCTOS ELÉCTRICOS Y TELEFÓNICOS DB 6M 4 pulg
Referencia 2016203</t>
  </si>
  <si>
    <t>La tubería se encarga de proteger el cable de conexión entre los inversores y el tablero fotovoltaico</t>
  </si>
  <si>
    <t>P01086</t>
  </si>
  <si>
    <t>DUCTOS ELÉCTRICOS Y TELEFÓNICOS DB 6M 6 pulg
Referencia 2016204</t>
  </si>
  <si>
    <t>La tubería se encarga de proteger el cable de conexión entre el transformador y el punto de interconexión del sistema con la red de media tensión</t>
  </si>
  <si>
    <t>ADAPTADOR TERMINAL DE CAMPANA PARA DUCTO DB 2 pulg Referencia 9018867</t>
  </si>
  <si>
    <t>NTC 1630 Tubos de PVC para alojar y proteger conductores subterráneos eléctricos y telefónicos Resolución 9 0708 RETIE Accesorios de PVC para Tubería Conduit Cajas de PVC para Instalaciones Eléctricas</t>
  </si>
  <si>
    <t>SONEPAR COLOMBIA S.A.S</t>
  </si>
  <si>
    <t>Adaptador terminal para ingreso de tubería a caja de paso</t>
  </si>
  <si>
    <t>ADAPTADOR TERMINAL DE CAMPANA PARA DUCTO DB 4 pulg
Referencia 9018869</t>
  </si>
  <si>
    <t>Suministros y servicios LG</t>
  </si>
  <si>
    <t>ADAPTADOR TERMINAL DE CAMPANA PARA DUCTO DB 6 pulg
Referencia 9012947</t>
  </si>
  <si>
    <t>Bandejas portacables</t>
  </si>
  <si>
    <t>Metros</t>
  </si>
  <si>
    <t>Escoger cual o cuales: BMPG, BMPZ, BMPR, BMPI, CMCS, CMPS, CMCG, CMPG, CMCA, CMPA, BEA desde 1010 hasta 660</t>
  </si>
  <si>
    <t>IEC 61537:2006; RETIE Resolución 90708 de 2013; Resolución No. 90907 de 2013; Resolución 90795 de 2014.</t>
  </si>
  <si>
    <t>AISCAN, S.L.</t>
  </si>
  <si>
    <t>AISCAN, S.L. (si la compra se hace por distribuidor, el proveedor debe tomarse de la oferta/factura comercial).</t>
  </si>
  <si>
    <t>Soporte de cables en instalaciones eléctricas.</t>
  </si>
  <si>
    <t>https://drive.google.com/drive/folders/18WAq4KTY-TdgMUjHENyO8NWivHUMqTEy</t>
  </si>
  <si>
    <t>GALCO</t>
  </si>
  <si>
    <t>BELG305</t>
  </si>
  <si>
    <t>Certificado Retie y Nema en sistemas de conducción eléctrica
Certificado de calidad en galvanizado en caliente norma Astm A -123/Astm A 153
DIN 4102-12
ISO 9001: 2015</t>
  </si>
  <si>
    <t>GALCO S.A.S</t>
  </si>
  <si>
    <t>Estructuras metálicas que sirven para transportar conductores eléctricos desde paneles solares a inversores de manera segura</t>
  </si>
  <si>
    <t>https://drive.google.com/drive/folders/16DfZviR3HK2rweX-OL9dVN7BhLUkxsmx</t>
  </si>
  <si>
    <t>P00149</t>
  </si>
  <si>
    <t>Bandejas Portacables</t>
  </si>
  <si>
    <t>TSEG30</t>
  </si>
  <si>
    <t>Certificado Retie y Nema en sistemas de conducción eléctrica Certificado de calidad en galvanizado en caliente norma Astm A -123/Astm A 153 DIN 4102-12 ISO 9001: 2015</t>
  </si>
  <si>
    <t>Tapas galvanizadas para bandejas portacables. Su función es proveer seguridad a las personas y preservar la vida útil del cableado.</t>
  </si>
  <si>
    <t>P00952</t>
  </si>
  <si>
    <t>CTEC028</t>
  </si>
  <si>
    <t>Chapa de puesta a tierra especial para bandeja enmallada</t>
  </si>
  <si>
    <t>P00117</t>
  </si>
  <si>
    <t>Soporte Peldaño Perfil Dentado</t>
  </si>
  <si>
    <t>ASTM A123, ASTM A153, ICONTEC 2076</t>
  </si>
  <si>
    <t>Perfil ranurado utilizado para sujetar la bandeja enmallada a la estructura de los inversores</t>
  </si>
  <si>
    <t>https://drive.google.com/drive/folders/1k72A9tHRxR4FYo5g4XGyAuGmLdv4Ehbz</t>
  </si>
  <si>
    <t>P00924</t>
  </si>
  <si>
    <t xml:space="preserve">Canalizaciones: canaletas, tubos, prefabricadas con barras o con cables, ductos subterráneos
</t>
  </si>
  <si>
    <t>FUJI</t>
  </si>
  <si>
    <t>IMC Diámetro 2"</t>
  </si>
  <si>
    <t>RESOLUCIÓN 90708 de 2013 del MINISTERIO DE MINAS Y ENERGÍA - RETIE (Numeral 20.6)</t>
  </si>
  <si>
    <t>CUBIERTAS DEL ECUADOR KUBIEC S.A.S</t>
  </si>
  <si>
    <t>La tubería se encarga de proteger el cable de tierra que es instalado desde el DPS polimérico instalado en poste hasta la varilla de puesta a tierra</t>
  </si>
  <si>
    <t>https://drive.google.com/drive/folders/1zltBsmz7UT_9bFiuYPX3SOcyXyvmfjUO</t>
  </si>
  <si>
    <t>P01076</t>
  </si>
  <si>
    <t>IMC Diámetro 3/4"</t>
  </si>
  <si>
    <t>P01072</t>
  </si>
  <si>
    <t>IMC Diámetro 4"</t>
  </si>
  <si>
    <t xml:space="preserve">La tubería se encarga de proteger el cableado AC en media tensión que es instalado desde la celda de protección hasta el punto de interconexión a la red del Operador de Red </t>
  </si>
  <si>
    <t>P01078</t>
  </si>
  <si>
    <t>Elementos o equipos para el sistema de puesta a tierra (varillas, mallas, grapas, conectores)</t>
  </si>
  <si>
    <t>https://drive.google.com/drive/folders/17k0D3Iq77oQe-UuiCTdFj3qmrrBOhjpT</t>
  </si>
  <si>
    <t>P01118</t>
  </si>
  <si>
    <t>COBRES DE COLOMBIA S.A.S.</t>
  </si>
  <si>
    <t>Varilla maciza de cobre para puesta a tierra, diámetro 14.28 mm, longitud 2.40 m, conforme a referencia CC-E (12.7 a 25.4 mm x 2.40 m a 3.05 m)</t>
  </si>
  <si>
    <t>NTC 2206/2001 y Resolución 90708 de 2013 (RETIE, numeral 15.3)</t>
  </si>
  <si>
    <t>TECNOWELD</t>
  </si>
  <si>
    <t>SG1TN 505</t>
  </si>
  <si>
    <t>UL E359848</t>
  </si>
  <si>
    <t>Elemento necesario para unir las derivaciones del sistema de puesta a tierra y para crear el enmallado</t>
  </si>
  <si>
    <t>https://drive.google.com/drive/folders/1pk3Chg0WPdSs3zFuvtOAq2cZq7GmCGiH</t>
  </si>
  <si>
    <t>P00722</t>
  </si>
  <si>
    <t>SG1TN 228*</t>
  </si>
  <si>
    <t>https://drive.google.com/drive/folders/1952XiGV0w36dsIiIExLhkqevtMrpHBRI</t>
  </si>
  <si>
    <t>P00728</t>
  </si>
  <si>
    <t>SG1TN 430</t>
  </si>
  <si>
    <t>https://drive.google.com/drive/folders/1zM0Rev7y-YlY1Lu-IhgyfZF61zp_12Pg</t>
  </si>
  <si>
    <t>P00729</t>
  </si>
  <si>
    <t>SG1TN 230</t>
  </si>
  <si>
    <t>https://drive.google.com/drive/folders/1tps3gz5TqHg0vAXmzvpr4j8-QrZLp9BC</t>
  </si>
  <si>
    <t>P00726</t>
  </si>
  <si>
    <t>SG1TN 547</t>
  </si>
  <si>
    <t>https://drive.google.com/drive/folders/1Avw32_rbo6CYnhy6rrgWk4I6QwIKCB1N</t>
  </si>
  <si>
    <t>P00727</t>
  </si>
  <si>
    <t>Fusibles y porta fusibles</t>
  </si>
  <si>
    <t>LUHFSER</t>
  </si>
  <si>
    <t>Tipo K de 65 Amperios para 36 kV - Frecuencia 50-60 Hz</t>
  </si>
  <si>
    <t>Numeral 20.19 del Reglamento Técnico de Instalaciones Eléctricas - RETIE. Resolución 90708 de 30 de agosto de 2013 del Ministerio de Minas y Energías.
IEEE Std C37.41-2016/Cor 1-2017, IEEE Std C37,42-2016,
NTC 2132-2006, NTC 2133 2002.</t>
  </si>
  <si>
    <t>ELÉCTRICOS INTERNACIONAL SAS.</t>
  </si>
  <si>
    <t>Corta el paso de corriente cuando se detecta una sobrecarga en el circuito para proteger el transformador y los circuitos ramales</t>
  </si>
  <si>
    <t>https://drive.google.com/drive/folders/1NtmZ4yB99ueHXrp27z2cSBUmOCh153xK</t>
  </si>
  <si>
    <t>P01387</t>
  </si>
  <si>
    <t>CELSA</t>
  </si>
  <si>
    <t>CORTACIRCUITOS 27 KV 100A 12 kA IX2712512</t>
  </si>
  <si>
    <t>ANSI C37.41 (NTC2132) y ANSI C37.42 (NTC 2133.)</t>
  </si>
  <si>
    <t>CELSA S.A.S.</t>
  </si>
  <si>
    <t>Corta el paso de corriente cuando se detecta una sobrecarga en el circuito</t>
  </si>
  <si>
    <t>https://drive.google.com/drive/folders/1OPYaLQLL6VZHhXpN15KvOt-I2PiB0Fu0</t>
  </si>
  <si>
    <t>P00503</t>
  </si>
  <si>
    <t>Dispositivos de protección contra sobretensiones transitorias (DPS), descargadores de rayos, apantallamiento</t>
  </si>
  <si>
    <t>DPS C-15 MODELO 58470</t>
  </si>
  <si>
    <t>IEC 60099-4</t>
  </si>
  <si>
    <t>Protección contra sobretensiones en el punto de interconexión a la línea de media tensión</t>
  </si>
  <si>
    <t>https://drive.google.com/drive/folders/1bgF94U4rhIaJc_Zw8FBt3IamQ1AVSDqu</t>
  </si>
  <si>
    <t>P00556</t>
  </si>
  <si>
    <t>FORMATO 4
FORMATO DE ESPECIFICACIONES DE SERVICIOS
(CAPÍTULO III DE LA LEY 1715 DE 2014)</t>
  </si>
  <si>
    <t>Servicio</t>
  </si>
  <si>
    <t>Alcance</t>
  </si>
  <si>
    <t>Asesoría y consultoría técnica</t>
  </si>
  <si>
    <t>ENEXA</t>
  </si>
  <si>
    <t>El presente servicio corresponde a la ejecución de Ensayos Pull Out Test (POT), estudio técnico indispensable para la validación de las condiciones geomecánicas del terreno en donde se instalará el sistema fotovoltaico. Este estudio resulta necesario para garantizar la viabilidad estructural del proyecto, dado que permite verificar la capacidad de carga y comportamiento del suelo en el sitio exacto de implantación de los paneles solares.
Se realizará el Pull out test proyecto MOMPOX NORTE, ensayos a tracción, compresión y lateral 3 perfiles tipo IPE 180 por 3.5 metros de longitud, y 3 perfiles tipo IPE 200 por 3.5 metros de longitud. Procedimiento a aplicar segun especificaciones técnicas de ZentrackSe Hincarán 6 perfiles, 3 perfiles IPE 180 X 3.5m y 3 perfiles IPE 200 X 3.5m, de estas se escogen (2 UND) para las pruebas saturadas</t>
  </si>
  <si>
    <t>Diseño e ingeniería del sistema</t>
  </si>
  <si>
    <t>Medición de curvas IV, Verificación de Voltaje de Circuito Abierto Voc y Corriente de Corto Circuito Isc en mini granja solar MGS 0044, ubicada en Santa cruz del Mompox, Bolivar.</t>
  </si>
  <si>
    <t>NGENIERÍA DEL PROYECTO, INCLUYE: Diagrama unifilar, estudio de resistividad del suelo, estudio de conexión, planos de disposición física de la estructura, inversores, paneles y acometidas, plano de conexión de paneles y demás planos necesarios en la etapa de ingeniería de detalle del proyecto</t>
  </si>
  <si>
    <t>Construcción de obras civiles y estructurales para el montaje del sistema.</t>
  </si>
  <si>
    <t xml:space="preserve">El servicio de hincado corresponde a la instalación de las bases del seguidor solar o tracker sobre el cual se soportarán los paneles solares y se moverán para seguir la trayectoria del sol. </t>
  </si>
  <si>
    <t xml:space="preserve">Instalación, montaje y puesta en operación del sistema. </t>
  </si>
  <si>
    <t>1.Ensayo VLF en terna de Cables de Media Tensión 2.Prueba de Resistencia de aislamiento en acometidas AC y DC. Este servicio hace parte del comisionamiento, permite verificar el correcto aislamiento de los cables a utilizar en el proyecto.</t>
  </si>
  <si>
    <t>Certificación RETIE</t>
  </si>
  <si>
    <t>Certeam S.A.S</t>
  </si>
  <si>
    <t>Certificación de instalaciones eléctricas de acuerdo con el Reglamento Técnico de Instalaciones Eléctricas – RETIE (resolución 90708 de 2013) PROYECTO: MGS-0040 LA CACICA, ubicado en VEREDA GLOBO LA VEGA, VALLEDUPAR, CÉSAR. Certificación RETIE de las instalaciones eléctricas de sistema solar fotovoltaico, alimentadores en DC y AC, Centro de Transformación, Red MT Subterránea hasta punto de conexión o transición aéreasubterránea (donde aplique). Incluye revisión del sistema de puesta a tierra, apantallamiento, servicios auxiliares asociados a la planta, entre otros equipos.</t>
  </si>
  <si>
    <t>$ 5.300.000,00</t>
  </si>
  <si>
    <t>$ 1.007.000,00</t>
  </si>
  <si>
    <t>Negawatt</t>
  </si>
  <si>
    <t>VERIFICACION Y CERTIFICACION DE LA FRONTERA DE GENERACIÓN MGS 0040-LA CACICA, UBICADA EN VEREDA GLOBO LA VEGA , ARRIBA DE VALLEDUPAR CESAR, CON PROPOSITOS DE CUMPLIR CON LOS REQUISITOS ESTABLECIDOS EN EL CÓDIGO DE MEDIDA PARA ENTRADA COMERCIAL AL SISTEMA Y CUYOS ALCANCES INCLUYE: CUMPLIMIENTO O NO DE LA RESOLUCION CREG 038 DE 2014, MEDIANTE LA CORROBORACION DE LAS CONFORMIDADES EN LOS SISTEMAS DE MEDICION, COMUNICACIONES, TELEMEDICION HACIA LOS CENTROS DE GESTION DE MEDIDAS, SEGURIDAD INFORMATICA Y DE ACCESO. ESTA VERIFICACION SE HARA UTILIZANDO EL PROCEDIMIENTO SEÑALADO EN LA CIRCULAR 098 DEL 13 DE NOVIEMBRE DE 2014.</t>
  </si>
  <si>
    <t>$ 4.600.000,00</t>
  </si>
  <si>
    <t>$ 87.400.000,00</t>
  </si>
  <si>
    <t>Instalación, montaje y puesta en operación del sistema.</t>
  </si>
  <si>
    <t>Transefi S.A.S.</t>
  </si>
  <si>
    <t>"Pruebas de Relación de transformación (TTR) y de resistencia de devanados, en la posición del conmutador en que se encuentran, a tres transformadores de las siguientes características: trafo 1.25MVA – 13.8kV/800V, trafo de 1.1kVA – 800V/480V y trafo de SSAA. Estas pruebas permiten asegurar que los transformadores proporcionan la relación de voltaje correcta y funcionen de manera eficiente y segura. Verificar que no se tengan malas condiciones eléctricas que puedan generar una afectación a la red de distribución a la que se van a conectar y asegurarse de que no existen cortos ni errores en las conexiones dentro de los transformadores."</t>
  </si>
  <si>
    <t>$ 3.800.000,00</t>
  </si>
  <si>
    <t>$ 722.000,00</t>
  </si>
  <si>
    <t>Quimaldi Instruments S.A.S</t>
  </si>
  <si>
    <t>Análisis termográfico con dron (Pilotaje + informe). Mediante la inspección termográfica con drones se pueden detectar fallos o puntos calientes existentes en un panel solar a causa de un exceso de calentamiento en una unión, en la misma celda o en el cableado y de no corregirse, llegará a averiar la celda o el cableado. En el peor de los casos, puede derivar en un cortocircuito y sus posibles complicaciones como un incendio. y Termografías en transformadores, tableros, inversores. Permite evaluar el correcto funcionamiento de los tableros eléctricos y equipos y detectar puntos calientes, lo que indica que se está presentando una falla, que está circulando un exceso de corriente por algún motivo y que debe corregirse para que el proyecto opere adecuadamente y no se presenten averías o cortocircuitos. Estos servicios hacen parte del comisionamiento.</t>
  </si>
  <si>
    <t>$ 5.000.000,00</t>
  </si>
  <si>
    <t>$ 950.000,00</t>
  </si>
  <si>
    <t>Solenium S.A.S.</t>
  </si>
  <si>
    <t>El servicio de hincado corresponde a la instalación de las bases del seguidor solar o tracker sobre el cual se soportarán los paneles solares y se moverán para seguir la trayectoria del sol. Estas bases o hincas serán instaladas con hincadora hidráulica de 1200 J, mediante la presión controlada y la inserción progresiva en el suelo.</t>
  </si>
  <si>
    <t>$ 234.300.000,00</t>
  </si>
  <si>
    <t>$ 44.517.000,00</t>
  </si>
  <si>
    <t>ELECTRO MONTES JY S.A.S</t>
  </si>
  <si>
    <t>INSTALACIÓN, MONTAJE Y PUESTA EN OPERACIÓN DEL SISTEMA, INCLUYE: Instalación, montaje y puesta en operación de un sistema fotovoltaico de 1320.8 kWp en DC y 990 kW en AC, en el municipio de Valledupar, Cesar.</t>
  </si>
  <si>
    <t>$ 195.003.000,00</t>
  </si>
  <si>
    <t>$ 37.050.570,00</t>
  </si>
  <si>
    <t>Nombre de proyecto</t>
  </si>
  <si>
    <t xml:space="preserve">Capacidad Instalada </t>
  </si>
  <si>
    <t>Rol Solicitante principal</t>
  </si>
  <si>
    <t>Rol Solicitante secundario</t>
  </si>
  <si>
    <t xml:space="preserve">Recurso Energético - Tipo de FNCE Biomasa </t>
  </si>
  <si>
    <t xml:space="preserve">Tecnología - Tipo de FNCE Biomasa </t>
  </si>
  <si>
    <t>Departamentos</t>
  </si>
  <si>
    <t>Dueño del proyecto</t>
  </si>
  <si>
    <t>Entidad Bancaria</t>
  </si>
  <si>
    <t>Bagazo</t>
  </si>
  <si>
    <t>Biogás</t>
  </si>
  <si>
    <t>Gasificación</t>
  </si>
  <si>
    <t>AMAZONAS</t>
  </si>
  <si>
    <t>Importador</t>
  </si>
  <si>
    <t>Calor Residual</t>
  </si>
  <si>
    <t>Pirolización</t>
  </si>
  <si>
    <t>Otro</t>
  </si>
  <si>
    <t>Repoblaciones Residuales Energéticas</t>
  </si>
  <si>
    <t>Cultivos_energéticos</t>
  </si>
  <si>
    <t>ARAUCA</t>
  </si>
  <si>
    <t>Residuos Agrícolas (desechos de los cultivos)</t>
  </si>
  <si>
    <t>Generación_cogeneración</t>
  </si>
  <si>
    <t>ARCHIPIELAGO DE SAN ANDRES PROVIDENCIA Y SANTA CATALINA</t>
  </si>
  <si>
    <t>Tipo de Generador</t>
  </si>
  <si>
    <t>Residuos Pecuarios (excremento de los animales)</t>
  </si>
  <si>
    <t>ATLANTICO</t>
  </si>
  <si>
    <t>Autogenerador</t>
  </si>
  <si>
    <t>Niveles de tensión</t>
  </si>
  <si>
    <t>Residuos Sólidos Urbanos (orgánicos)</t>
  </si>
  <si>
    <t>BOGOTA D.C.</t>
  </si>
  <si>
    <t>Cogenerador</t>
  </si>
  <si>
    <t>Mayor o igual a 220 kV.</t>
  </si>
  <si>
    <t>Sistemas de Acopio de Biomasa</t>
  </si>
  <si>
    <t>BOLÍVAR</t>
  </si>
  <si>
    <t>Nivel 4: mayor o igual a 57.5 kV y menor a 220 kV.</t>
  </si>
  <si>
    <t>BOYACÁ</t>
  </si>
  <si>
    <t>Nivel 3: mayor o igual a 30 kV y menor a 57.5 kV.</t>
  </si>
  <si>
    <t>CALDAS</t>
  </si>
  <si>
    <t>Nivel 2: mayor o igual a 1 kV y menor a 30 kV.</t>
  </si>
  <si>
    <t>CAQUETÁ</t>
  </si>
  <si>
    <t>Nivel 1: menor a 1 kV.</t>
  </si>
  <si>
    <t>Tecnología - Tipo de FNCE Eólica</t>
  </si>
  <si>
    <t>CASANARE</t>
  </si>
  <si>
    <t>Eólica</t>
  </si>
  <si>
    <t>CAUCA</t>
  </si>
  <si>
    <t>CESAR</t>
  </si>
  <si>
    <t>Biomasa</t>
  </si>
  <si>
    <t>Tipo de FNCE</t>
  </si>
  <si>
    <t>Recurso Energético - Tipo de FNCE Eólica</t>
  </si>
  <si>
    <t>CHOCÓ</t>
  </si>
  <si>
    <t>Viento</t>
  </si>
  <si>
    <t>CÓRDOBA</t>
  </si>
  <si>
    <t>Geotérmica</t>
  </si>
  <si>
    <t>Tecnología - Tipo de FNCE Geotérmica</t>
  </si>
  <si>
    <t>CUNDINAMARCA</t>
  </si>
  <si>
    <t>PCH</t>
  </si>
  <si>
    <t>Central_de_vapor_seco</t>
  </si>
  <si>
    <t>GUAINÍA</t>
  </si>
  <si>
    <t>Recurso Energético - Tipo de FNCE Geotérmica</t>
  </si>
  <si>
    <t>Central_flash</t>
  </si>
  <si>
    <t>GUAVIARE</t>
  </si>
  <si>
    <t>Vapor</t>
  </si>
  <si>
    <t>Central_de_ciclo_binario</t>
  </si>
  <si>
    <t>HUILA</t>
  </si>
  <si>
    <t>LA GUAJIRA</t>
  </si>
  <si>
    <t>MAGDALENA</t>
  </si>
  <si>
    <t>Recurso Energético - Tipo de FNCE PCH</t>
  </si>
  <si>
    <t>META</t>
  </si>
  <si>
    <t>Sector</t>
  </si>
  <si>
    <t xml:space="preserve">Agua </t>
  </si>
  <si>
    <t>Tecnología - Tipo de FNCE PCH</t>
  </si>
  <si>
    <t>NARIÑO</t>
  </si>
  <si>
    <t>Residencial</t>
  </si>
  <si>
    <t>Hidráulica</t>
  </si>
  <si>
    <t>NORTE DE SANTANDER</t>
  </si>
  <si>
    <t>Industrial</t>
  </si>
  <si>
    <t>Hidrocinética</t>
  </si>
  <si>
    <t>PUTUMAYO</t>
  </si>
  <si>
    <t>Transporte</t>
  </si>
  <si>
    <t>Recurso Energético - Tipo de FNCE Solar</t>
  </si>
  <si>
    <t>QUINDIO</t>
  </si>
  <si>
    <t>Terciario (comercial, público y de servicios)</t>
  </si>
  <si>
    <t>RISARALDA</t>
  </si>
  <si>
    <t>SANTANDER</t>
  </si>
  <si>
    <t>Tecnología - Tipo de FNCE Solar</t>
  </si>
  <si>
    <t>SUCRE</t>
  </si>
  <si>
    <t>Selección</t>
  </si>
  <si>
    <t>TOLIMA</t>
  </si>
  <si>
    <t>VALLE DEL CAUCA</t>
  </si>
  <si>
    <t>VAUPÉS</t>
  </si>
  <si>
    <t>VICHADA</t>
  </si>
  <si>
    <t>Kilogramos</t>
  </si>
  <si>
    <t>Codigos CIIU</t>
  </si>
  <si>
    <t>Cumple</t>
  </si>
  <si>
    <t>0010 - Asalariado</t>
  </si>
  <si>
    <t>Preinversión</t>
  </si>
  <si>
    <t>0141 - Cria de ganado bovino y bufalino</t>
  </si>
  <si>
    <t xml:space="preserve">0142- Cría de caballos y otros equinos </t>
  </si>
  <si>
    <t>No cumple</t>
  </si>
  <si>
    <t>Operación</t>
  </si>
  <si>
    <t xml:space="preserve">0143- Cría de ovejas y cabras </t>
  </si>
  <si>
    <t>No aplica</t>
  </si>
  <si>
    <t>0144 -Cría de ganado porcino</t>
  </si>
  <si>
    <t>0145 -Cría de aves de corra</t>
  </si>
  <si>
    <t>Resultado</t>
  </si>
  <si>
    <t>0149 -Cría de otros animales n.c.p.</t>
  </si>
  <si>
    <t>0150 -Explotación mixta (agrícola y pecuaria)</t>
  </si>
  <si>
    <t>Favorable</t>
  </si>
  <si>
    <t>ZNI</t>
  </si>
  <si>
    <t>0161 -Actividades de apoyo a la agricultura</t>
  </si>
  <si>
    <t>Desfavorable</t>
  </si>
  <si>
    <t>0162 -Actividades de apoyo a la ganadería</t>
  </si>
  <si>
    <t>Requiere de información aclaratoria</t>
  </si>
  <si>
    <t>0163 -Actividades posteriores a la cosecha</t>
  </si>
  <si>
    <t>No</t>
  </si>
  <si>
    <t>0164 -Tratamiento de semillas para propagación</t>
  </si>
  <si>
    <t>0170 -Caza ordinaria y mediante trampas y actividades de servicios conexas</t>
  </si>
  <si>
    <t>0210 -Silvicultura y otras actividades forestales</t>
  </si>
  <si>
    <t>0220- Extracción de madera</t>
  </si>
  <si>
    <t>0230- Recolección de productos forestales diferentes a la madera</t>
  </si>
  <si>
    <t>0240- Servicios de apoyo a la silvicultura</t>
  </si>
  <si>
    <t>0311- Pesca marítima</t>
  </si>
  <si>
    <t>0312- Pesca de agua dulce</t>
  </si>
  <si>
    <t>0321- Acuicultura marítima</t>
  </si>
  <si>
    <t>0322- Acuicultura de agua dulce</t>
  </si>
  <si>
    <t>0510- Extracción de hulla (carbón de piedra)</t>
  </si>
  <si>
    <t>0520- Extracción de carbón lignito</t>
  </si>
  <si>
    <t>0610- Extracción de petróleo crudo</t>
  </si>
  <si>
    <t>0620- Extracción de gas natural</t>
  </si>
  <si>
    <t>0710- Extracción de minerales de hierro</t>
  </si>
  <si>
    <t>0721- Extracción de minerales de uranio y de torio</t>
  </si>
  <si>
    <t>0722- Extracción de oro y otros metales preciosos</t>
  </si>
  <si>
    <t>0723- Extracción de minerales de níque</t>
  </si>
  <si>
    <t>0729- Extracción de otros minerales metalíferos no ferrosos n.c.p.</t>
  </si>
  <si>
    <t>0811- Extracción de piedra, arena, arcillas comunes, yeso y anhidrita</t>
  </si>
  <si>
    <t>0812- Extracción de arcillas de uso industrial, caliza, caolín y bentonitas</t>
  </si>
  <si>
    <t>0820- Extracción de esmeraldas, piedras preciosas y semipreciosas</t>
  </si>
  <si>
    <t>0891- Extracción de minerales para la fabricación de abonos y productos químicos</t>
  </si>
  <si>
    <t>0892- Extracción de halita (sal)</t>
  </si>
  <si>
    <t>0899- Extracción de otros minerales no metálicos n.c.p.</t>
  </si>
  <si>
    <t>0910- Actividades de apoyo para la extracción de petróleo y de gas natura</t>
  </si>
  <si>
    <t>0990- Actividades de apoyo para otras actividades de explotación de minas y canteras</t>
  </si>
  <si>
    <t>1011 - Procesamiento y conservación de carne y productos cárnicos</t>
  </si>
  <si>
    <t>1012 - Procesamiento y conservación de pescados, crustáceos y moluscos</t>
  </si>
  <si>
    <t>1020 - Procesamiento y conservación de frutas, legumbres, hortalizas y tubérculos</t>
  </si>
  <si>
    <t>1030 - Elaboración de aceites y grasas de origen vegetal y animal</t>
  </si>
  <si>
    <t>1040 - Elaboración de productos lácteos</t>
  </si>
  <si>
    <t>1051 - Elaboración de productos de molinería</t>
  </si>
  <si>
    <t>1052 - Elaboración de almidones y productos derivados del almidón</t>
  </si>
  <si>
    <t>1061 - Trilla de café</t>
  </si>
  <si>
    <t>1062 - Descafeinado, tostión y molienda del café</t>
  </si>
  <si>
    <t>1063 - Otros derivados del café</t>
  </si>
  <si>
    <t>1071 - Elaboración y refinación de azúcar</t>
  </si>
  <si>
    <t>1072 - Elaboración de panela</t>
  </si>
  <si>
    <t>1081 - Elaboración de productos de panadería</t>
  </si>
  <si>
    <t>1082 - Elaboración de cacao, chocolate y productos de confitería</t>
  </si>
  <si>
    <t>1083 - Elaboración de macarrones, fideos, alcuzcuz y productos farináceos similares</t>
  </si>
  <si>
    <t>1084 - Elaboración de comidas y platos preparados</t>
  </si>
  <si>
    <t>1089 - Elaboración de otros productos alimenticios n.c.p.</t>
  </si>
  <si>
    <t>1090 - Elaboración de alimentos preparados para animales</t>
  </si>
  <si>
    <t>1101 - Destilación, rectificación y mezcla de bebidas alcohólicas</t>
  </si>
  <si>
    <t>1102 - Elaboración de bebidas fermentadas no destiladas</t>
  </si>
  <si>
    <t>1103 - Producción de malta, elaboración de cervezas y otras bebidas malteadas</t>
  </si>
  <si>
    <t>1104 - Elaboración de bebidas no alcohólicas, producción de aguas minerales y de otras aguas embotelladas</t>
  </si>
  <si>
    <t>1200 - Elaboración de productos de tabaco</t>
  </si>
  <si>
    <t>1311 - Preparación e hilatura de fibras textiles</t>
  </si>
  <si>
    <t>1312 - Tejeduría de productos textiles</t>
  </si>
  <si>
    <t>1313 - Acabado de productos textiles</t>
  </si>
  <si>
    <t>1391 - Fabricación de tejidos de punto y ganchillo</t>
  </si>
  <si>
    <t>1392 - Confección de artículos con materiales textiles, excepto prendas de vestir</t>
  </si>
  <si>
    <t>1393 - Fabricación de tapetes y alfombras para pisos</t>
  </si>
  <si>
    <t>1394 - Fabricación de cuerdas, cordeles, cables, bramantes y redes</t>
  </si>
  <si>
    <t>1399 - Fabricación de otros artículos textiles n.c.p.</t>
  </si>
  <si>
    <t>1410 - Confección de prendas de vestir, excepto prendas de piel</t>
  </si>
  <si>
    <t>1420 - Fabricación de artículos de piel</t>
  </si>
  <si>
    <t>1430 - Fabricación de artículos de punto y ganchillo</t>
  </si>
  <si>
    <t>1511 - Curtido y recurtido de cueros; recurtido y teñido de pieles</t>
  </si>
  <si>
    <t>1512 - Fabricación de artículos de viaje, bolsos de mano y artículos similares elaborados en cuero, y fabricación de artículos de talabartería y guarnicionería</t>
  </si>
  <si>
    <t>1513 - Fabricación de artículos de viaje, bolsos de mano y artículos similares; artículos de talabartería y guarnicionería elaborados en otros materiales</t>
  </si>
  <si>
    <t>1521 - Fabricación de calzado de cuero y piel, con cualquier tipo de suela</t>
  </si>
  <si>
    <t>1522 - Fabricación de otros tipos de calzado, excepto calzado de cuero y piel</t>
  </si>
  <si>
    <t>1523 - Fabricación de partes del calzado</t>
  </si>
  <si>
    <t>1610 - Aserrado, acepillado e impregnación de la madera</t>
  </si>
  <si>
    <t>1620 - Fabricación de hojas de madera para enchapado; fabricación de tableros contrachapados, tableros laminados, tableros de partículas y otros tableros y paneles</t>
  </si>
  <si>
    <t>1630 - Fabricación de partes y piezas de madera, de carpintería y ebanistería para la construcción</t>
  </si>
  <si>
    <t>1640 - Fabricación de recipientes de madera</t>
  </si>
  <si>
    <t>1690 - Fabricación de otros productos de madera; fabricación de artículos de corcho, cestería y espartería</t>
  </si>
  <si>
    <t>1701 - Fabricación de pulpas (pastas) celulósicas; papel y cartón</t>
  </si>
  <si>
    <t>1702 - Fabricación de papel y cartón ondulado (corrugado); fabricación de envases, empaques y de embalajes de papel y cartón.</t>
  </si>
  <si>
    <t>1709 - Fabricación de otros artículos de papel y cartón</t>
  </si>
  <si>
    <t>1811 - Actividades de impresión</t>
  </si>
  <si>
    <t>1812 - Actividades de servicios relacionados con la impresión</t>
  </si>
  <si>
    <t xml:space="preserve">1820 - Producción de copias a partir de grabaciones originales </t>
  </si>
  <si>
    <t>1910 - Fabricación de productos de hornos de coque</t>
  </si>
  <si>
    <t>1921 - Fabricación de productos de la refinación del petróleo</t>
  </si>
  <si>
    <t>1922 - Actividad de mezcla de combustibles</t>
  </si>
  <si>
    <t>2011 - Fabricación de sustancias y productos químicos básicos</t>
  </si>
  <si>
    <t>2012 - Fabricación de abonos y compuestos inorgánicos nitrogenados</t>
  </si>
  <si>
    <t>2013 - Fabricación de plásticos en formas primarias</t>
  </si>
  <si>
    <t>2014 - Fabricación de caucho sintético en formas primarias</t>
  </si>
  <si>
    <t>2021 - Fabricación de plaguicidas y otros productos químicos de uso agropecuario</t>
  </si>
  <si>
    <t>2022 - Fabricación de pinturas, barnices y revestimientos similares, tintas para impresión y masillas</t>
  </si>
  <si>
    <t>2023 - Fabricación de jabones y detergentes, preparados para limpiar y pulir; perfumes y preparados de tocador</t>
  </si>
  <si>
    <t>2029 - Fabricación de otros productos químicos n.c.p.</t>
  </si>
  <si>
    <t>2030 - Fabricación de fibras sintéticas y artificiales</t>
  </si>
  <si>
    <t>2211 - Fabricación de llantas y neumáticos de caucho</t>
  </si>
  <si>
    <t>2212 - Reencauche de llantas usadas</t>
  </si>
  <si>
    <t>2219 - Fabricación de formas básicas de caucho y otros productos de caucho n.c.p.</t>
  </si>
  <si>
    <t>2221 - Fabricación de formas básicas de plástico</t>
  </si>
  <si>
    <t>2229 - Fabricación de artículos de plástico n.c.p.</t>
  </si>
  <si>
    <t>2310 - Fabricación de vidrio y productos de vidrio</t>
  </si>
  <si>
    <t>2391 - Fabricación de productos refractarios</t>
  </si>
  <si>
    <t>2392 - Fabricación de materiales de arcilla para la construcción</t>
  </si>
  <si>
    <t>2393 - Fabricación de otros productos de cerámica y porcelana</t>
  </si>
  <si>
    <t>2394 - Fabricación de cemento, cal y yeso</t>
  </si>
  <si>
    <t>2395 - Fabricación de artículos de hormigón, cemento y yeso</t>
  </si>
  <si>
    <t>2396 - Corte, tallado y acabado de la piedra</t>
  </si>
  <si>
    <t>2399 - Fabricación de otros productos minerales no metálicos n.c.p.</t>
  </si>
  <si>
    <t>2410 - Industrias básicas de hierro y de acero</t>
  </si>
  <si>
    <t>2421 - Industrias básicas de metales preciosos</t>
  </si>
  <si>
    <t>2429 - Industrias básicas de otros metales no ferrosos</t>
  </si>
  <si>
    <t>2431 - Fundición de hierro y de acero</t>
  </si>
  <si>
    <t xml:space="preserve">2432 - Fundición de metales no ferrosos </t>
  </si>
  <si>
    <t>2511 - Fabricación de productos metálicos para uso estructural</t>
  </si>
  <si>
    <t>2512 - Fabricación de tanques, depósitos y recipientes de metal, excepto los utilizados para el envase o transporte de mercancías</t>
  </si>
  <si>
    <t>2513 - Fabricación de generadores de vapor, excepto calderas de agua caliente para calefacción central</t>
  </si>
  <si>
    <t>2520 - Fabricación de armas y municiones</t>
  </si>
  <si>
    <t>2591 - Forja, prensado, estampado y laminado de metal; pulvimetalurgia</t>
  </si>
  <si>
    <t>2592 - Tratamiento y revestimiento de metales; mecanizado</t>
  </si>
  <si>
    <t>2593 - Fabricación de artículos de cuchillería, herramientas de mano y artículos de ferretería</t>
  </si>
  <si>
    <t>2599 - Fabricación de otros productos elaborados de metal n.c.p.</t>
  </si>
  <si>
    <t>2610 - Fabricación de componentes y tableros electrónicos</t>
  </si>
  <si>
    <t>2620 - Fabricación de computadoras y de equipo periférico</t>
  </si>
  <si>
    <t>2630 - Fabricación de equipos de comunicación</t>
  </si>
  <si>
    <t>2640 - Fabricación de aparatos electrónicos de consumo</t>
  </si>
  <si>
    <t>2651 - Fabricación de equipo de medición, prueba, navegación y control</t>
  </si>
  <si>
    <t>2652 - Fabricación de relojes</t>
  </si>
  <si>
    <t>2660 - Fabricación de equipo de irradiación y equipo electrónico de uso médico y terapéutico</t>
  </si>
  <si>
    <t>2670 - Fabricación de instrumentos ópticos y equipo fotográfico</t>
  </si>
  <si>
    <t>2680 - Fabricación de medios magnéticos y ópticos para almacenamiento de datos</t>
  </si>
  <si>
    <t>2711 - Fabricación de motores, generadores y transformadores eléctricos</t>
  </si>
  <si>
    <t>2712 - Fabricación de aparatos de distribución y control de la energía eléctrica</t>
  </si>
  <si>
    <t>2720 - Fabricación de pilas, baterías y acumuladores eléctricos</t>
  </si>
  <si>
    <t>2731 - Fabricación de hilos y cables eléctricos y de fibra óptica</t>
  </si>
  <si>
    <t>2732 - Fabricación de dispositivos de cableado</t>
  </si>
  <si>
    <t>2740 - Fabricación de equipos eléctricos de iluminación</t>
  </si>
  <si>
    <t>2750 - Fabricación de aparatos de uso doméstico</t>
  </si>
  <si>
    <t>2790 - Fabricación de otros tipos de equipo eléctrico n.c.p.</t>
  </si>
  <si>
    <t>2812 - Fabricación de equipos de potencia hidráulica y neumática</t>
  </si>
  <si>
    <t>2813 - Fabricación de otras bombas, compresores, grifos y válvulas</t>
  </si>
  <si>
    <t>2814 - Fabricación de cojinetes, engranajes, trenes de engranajes y piezas de transmisión</t>
  </si>
  <si>
    <t>2815 - Fabricación de hornos, hogares y quemadores industriales</t>
  </si>
  <si>
    <t>2816 - Fabricación de equipo de elevación y manipulación</t>
  </si>
  <si>
    <t>2817 - Fabricación de maquinaria y equipo de oficina (excepto computadoras y equipo periférico)</t>
  </si>
  <si>
    <t>2818 - Fabricación de herramientas manuales con motor</t>
  </si>
  <si>
    <t>2819 - Fabricación de otros tipos de maquinaria y equipo de uso general n.c.p.</t>
  </si>
  <si>
    <t>2821 - Fabricación de maquinaria agropecuaria y forestal</t>
  </si>
  <si>
    <t>2822 - Fabricación de máquinas formadoras de metal y de máquinas herramienta</t>
  </si>
  <si>
    <t>2823 - Fabricación de maquinaria para la metalurgia</t>
  </si>
  <si>
    <t>2824 - Fabricación de maquinaria para explotación de minas y canteras y para obras de construcción</t>
  </si>
  <si>
    <t>2825 - Fabricación de maquinaria para la elaboración de alimentos, bebidas y tabaco</t>
  </si>
  <si>
    <t>2826 - Fabricación de maquinaria para la elaboración de productos textiles, prendas de vestir y cueros</t>
  </si>
  <si>
    <t>2829 - Fabricación de otros tipos de maquinaria y equipo de uso especial n.c.p.</t>
  </si>
  <si>
    <t>2910 - Fabricación de vehículos automotores y sus motores</t>
  </si>
  <si>
    <t xml:space="preserve">2920 - Fabricación de carrocerías para vehículos automotores; fabricación de remolques y semirremolques </t>
  </si>
  <si>
    <t>2930 - Fabricación de partes, piezas (autopartes) y accesorios (lujos) para vehículos automotores</t>
  </si>
  <si>
    <t>3011 - Construcción de barcos y de estructuras flotantes</t>
  </si>
  <si>
    <t>3012 - Construcción de embarcaciones de recreo y deporte</t>
  </si>
  <si>
    <t>3020 - Fabricación de locomotoras y de material rodante para ferrocarriles</t>
  </si>
  <si>
    <t>3030 - Fabricación de aeronaves, naves espaciales y de maquinaria conexa</t>
  </si>
  <si>
    <t>3040 - Fabricación de vehículos militares de combate</t>
  </si>
  <si>
    <t>3091 - Fabricación de motocicletas</t>
  </si>
  <si>
    <t>3092 - Fabricación de bicicletas y de sillas de ruedas para personas con discapacidad</t>
  </si>
  <si>
    <t>3099 - Fabricación de otros tipos de equipo de transporte n.c.p.</t>
  </si>
  <si>
    <t xml:space="preserve">3110 - Fabricación de muebles </t>
  </si>
  <si>
    <t>3120 - Fabricación de colchones y somieres</t>
  </si>
  <si>
    <t>3210 - Fabricación de joyas, bisutería y artículos conexos</t>
  </si>
  <si>
    <t>3220 - Fabricación de instrumentos musicales</t>
  </si>
  <si>
    <t>3230 - Fabricación de artículos y equipo para la práctica del deporte</t>
  </si>
  <si>
    <t>3240 - Fabricación de juegos, juguetes y rompecabezas</t>
  </si>
  <si>
    <t>3250 - Fabricación de instrumentos, aparatos y materiales médicos y odontológicos (incluido mobiliario)</t>
  </si>
  <si>
    <t>3290 - Otras industrias manufactureras n.c.p.</t>
  </si>
  <si>
    <t>3311 - Mantenimiento y reparación especializado de productos elaborados en metal</t>
  </si>
  <si>
    <t>3312 - Mantenimiento y reparación especializado de maquinaria y equipo</t>
  </si>
  <si>
    <t>3313 - Mantenimiento y reparación especializado de equipo electrónico y óptico</t>
  </si>
  <si>
    <t>3314 - Mantenimiento y reparación especializado de equipo eléctrico</t>
  </si>
  <si>
    <t>3315 - Mantenimiento y reparación especializado de equipo de transporte, excepto los vehículos automotores, motocicletas y bicicletas</t>
  </si>
  <si>
    <t>3319 - Mantenimiento y reparación de otros tipos de equipos y sus componentes n.c.p.</t>
  </si>
  <si>
    <t xml:space="preserve">3320 - Instalación especializada de maquinaria y equipo industrial </t>
  </si>
  <si>
    <t>3511 - Generación de energía eléctrica</t>
  </si>
  <si>
    <t>3512 - Transmisión de energía eléctrica</t>
  </si>
  <si>
    <t>3513 - Distribución de energía eléctrica</t>
  </si>
  <si>
    <t>3514 - Comercialización de energía eléctrica</t>
  </si>
  <si>
    <t>3520 - Producción de gas; distribución de combustibles gaseosos por tuberías</t>
  </si>
  <si>
    <t>3530 - Suministro de vapor y aire acondicionado</t>
  </si>
  <si>
    <t>3600 - Captación, tratamiento y distribución de agua</t>
  </si>
  <si>
    <t>3700 - Evacuación y tratamiento de aguas residuales</t>
  </si>
  <si>
    <t>3811 - Recolección de desechos no peligrosos</t>
  </si>
  <si>
    <t>3812 - Recolección de desechos peligrosos</t>
  </si>
  <si>
    <t>3821 - Tratamiento y disposición de desechos no peligrosos</t>
  </si>
  <si>
    <t>3822 - Tratamiento y disposición de desechos peligrosos</t>
  </si>
  <si>
    <t>3830 - Recuperación de materiales</t>
  </si>
  <si>
    <t>3900 - Actividades de saneamiento ambiental y otros servicios de gestión de desechos</t>
  </si>
  <si>
    <t>4111 - Construcción de edificios residenciales</t>
  </si>
  <si>
    <t>4112 - Construcción de edificios no residenciales</t>
  </si>
  <si>
    <t>4210 - Construcción de carreteras y vías de ferrocarril</t>
  </si>
  <si>
    <t>4220 - Construcción de proyectos de servicio público</t>
  </si>
  <si>
    <t>4290 - Construcción de otras obras de ingeniería civil</t>
  </si>
  <si>
    <t>4311 - Demolición</t>
  </si>
  <si>
    <t>4312 - Preparación del terreno</t>
  </si>
  <si>
    <t>4322 - Instalaciones de fontanería, calefacción y aire acondicionado</t>
  </si>
  <si>
    <t>4329 - Otras instalaciones especializadas</t>
  </si>
  <si>
    <t>4330 - Terminación y acabado de edificios y obras de ingeniería civil</t>
  </si>
  <si>
    <t>4390 - Otras actividades especializadas para la construcción de edificios y obras de ingeniería civil</t>
  </si>
  <si>
    <t>4511 - Comercio de vehículos automotores nuevos</t>
  </si>
  <si>
    <t>4512 - Comercio de vehículos automotores usados</t>
  </si>
  <si>
    <t>4520 - Mantenimiento y reparación de vehículos automotores</t>
  </si>
  <si>
    <t>4530 - Comercio de partes, piezas (autopartes) y accesorios (lujos) para vehículos automotores</t>
  </si>
  <si>
    <t>4541 - Comercio de motocicletas y de sus partes, piezas y accesorios</t>
  </si>
  <si>
    <t>4610 - Comercio al por mayor a cambio de una retribución o por contrata</t>
  </si>
  <si>
    <t>4620 - Comercio al por mayor de materias primas agropecuarias; animales vivos</t>
  </si>
  <si>
    <t>4631 - Comercio al por mayor de productos alimenticios</t>
  </si>
  <si>
    <t>4632 - Comercio al por mayor de bebidas y tabaco</t>
  </si>
  <si>
    <t>4641 - Comercio al por mayor de productos textiles, productos confeccionados para uso doméstico</t>
  </si>
  <si>
    <t>4642 - Comercio al por mayor de prendas de vestir</t>
  </si>
  <si>
    <t>4643 - Comercio al por mayor de calzado</t>
  </si>
  <si>
    <t>4644 - Comercio al por mayor de aparatos y equipo de uso doméstico</t>
  </si>
  <si>
    <t>4645 - Comercio al por mayor de productos farmacéuticos, medicinales, cosméticos y de tocador</t>
  </si>
  <si>
    <t>4649 - Comercio al por mayor de otros utensilios domésticos n.c.p.</t>
  </si>
  <si>
    <t>4651 - Comercio al por mayor de computadores, equipo periférico y programas de informática</t>
  </si>
  <si>
    <t>4652 - Comercio al por mayor de equipo, partes y piezas electrónicos y de telecomunicaciones</t>
  </si>
  <si>
    <t>4653 - Comercio al por mayor de maquinaria y equipo agropecuarios</t>
  </si>
  <si>
    <t>4659 - Comercio al por mayor de otros tipos de maquinaria y equipo n.c.p.</t>
  </si>
  <si>
    <t>4661 - Comercio al por mayor de combustibles sólidos, líquidos, gaseosos y productos conexos</t>
  </si>
  <si>
    <t>4662 - Comercio al por mayor de metales y productos metalíferos</t>
  </si>
  <si>
    <t>4663 - Comercio al por mayor de materiales de construcción, artículos de ferretería, pinturas, productos de vidrio, equipo y materiales de fontanería y calefacción</t>
  </si>
  <si>
    <t>4664 - Comercio al por mayor de productos químicos básicos, cauchos y plásticos en formas primarias y productos químicos de uso agropecuario</t>
  </si>
  <si>
    <t>4665 - Comercio al por mayor de desperdicios, desechos y chatarra</t>
  </si>
  <si>
    <t>4669 - Comercio al por mayor de otros productos n.c.p.</t>
  </si>
  <si>
    <t>4690 - Comercio al por mayor no especializado</t>
  </si>
  <si>
    <t>4711 - Comercio al por menor en establecimientos no especializados con surtido compuesto principalmente por alimentos, bebidas o tabaco</t>
  </si>
  <si>
    <t>4719 - Comercio al por menor en establecimientos no especializados, con surtido compuesto principalmente por productos diferentes de alimentos (víveres en general), bebidas y tabaco</t>
  </si>
  <si>
    <t>4721 - Comercio al por menor de productos agrícolas para el consumo en establecimientos especializados</t>
  </si>
  <si>
    <t>4722 - Comercio al por menor de leche, productos lácteos y huevos, en establecimientos especializados</t>
  </si>
  <si>
    <t>4723 - Comercio al por menor de carnes (incluye aves de corral), productos cárnicos, pescados y productos de mar, en establecimientos especializados</t>
  </si>
  <si>
    <t>4724 - Comercio al por menor de bebidas y productos del tabaco, en establecimientos especializados</t>
  </si>
  <si>
    <t>4729 - Comercio al por menor de otros productos alimenticios n.c.p., en establecimientos especializados</t>
  </si>
  <si>
    <t>4731 - Comercio al por menor de combustible para automotores</t>
  </si>
  <si>
    <t>4732 - Comercio al por menor de lubricantes (aceites, grasas), aditivos y productos de limpieza para vehículos automotores</t>
  </si>
  <si>
    <t>4741 - Comercio al por menor de computadores, equipos periféricos, programas de informática y equipos de telecomunicaciones en establecimientos especializados</t>
  </si>
  <si>
    <t>4742 - Comercio al por menor de equipos y aparatos de sonido y de video, en establecimientos especializados</t>
  </si>
  <si>
    <t>4751 - Comercio al por menor de productos textiles en establecimientos especializados</t>
  </si>
  <si>
    <t>4752 - Comercio al por menor de artículos de ferretería, pinturas y productos de vidrio en establecimientos especializados</t>
  </si>
  <si>
    <t>4753 - Comercio al por menor de tapices, alfombras y cubrimientos para paredes y pisos en establecimientos especializados</t>
  </si>
  <si>
    <t>4754 - Comercio al por menor de electrodomésticos y gasodomésticos de uso doméstico, muebles y equipos de iluminación</t>
  </si>
  <si>
    <t>4755 - Comercio al por menor de artículos y utensilios de uso doméstico</t>
  </si>
  <si>
    <t>4759 - Comercio al por menor de otros artículos domésticos en establecimientos especializados</t>
  </si>
  <si>
    <t>4761 - Comercio al por menor de libros, periódicos, materiales y artículos de papelería y escritorio, en establecimientos especializados</t>
  </si>
  <si>
    <t xml:space="preserve">4762 - Comercio al por menor de artículos deportivos, en establecimientos especializados </t>
  </si>
  <si>
    <t>4769 - Comercio al por menor de otros artículos culturales y de entretenimiento n.c.p. en establecimientos especializados</t>
  </si>
  <si>
    <t>4771 - Comercio al por menor de prendas de vestir y sus accesorios (incluye artículos de piel) en establecimientos especializados</t>
  </si>
  <si>
    <t>4772 - Comercio al por menor de todo tipo de calzado y artículos de cuero y sucedáneos del cuero en establecimientos especializados.</t>
  </si>
  <si>
    <t>4773 - Comercio al por menor de productos farmacéuticos y medicinales, cosméticos y artículos de tocador en establecimientos especializados</t>
  </si>
  <si>
    <t>4774 - Comercio al por menor de otros productos nuevos en establecimientos especializados</t>
  </si>
  <si>
    <t>4775 - Comercio al por menor de artículos de segunda mano</t>
  </si>
  <si>
    <t>4781 - Comercio al por menor de alimentos, bebidas y tabaco, en puestos de venta móviles</t>
  </si>
  <si>
    <t>4782 - Comercio al por menor de productos textiles, prendas de vestir y calzado, en puestos de venta móviles</t>
  </si>
  <si>
    <t>4789 - Comercio al por menor de otros productos en puestos de venta móviles</t>
  </si>
  <si>
    <t>4791 - Comercio al por menor realizado a través de Internet</t>
  </si>
  <si>
    <t>4792 - Comercio al por menor realizado a través de casas de venta o por correo</t>
  </si>
  <si>
    <t>4799 - Otros tipos de comercio al por menor no realizado en establecimientos, puestos de venta o mercados.</t>
  </si>
  <si>
    <t>4911 - Transporte férreo de pasajeros</t>
  </si>
  <si>
    <t xml:space="preserve">4912 - Transporte férreo de carga </t>
  </si>
  <si>
    <t>4921 - Transporte de pasajeros</t>
  </si>
  <si>
    <t>4922 - Transporte mixto</t>
  </si>
  <si>
    <t>4923 - Transporte de carga por carretera</t>
  </si>
  <si>
    <t>4930 - Transporte por tuberías</t>
  </si>
  <si>
    <t xml:space="preserve">5011 - Transporte de pasajeros marítimo y de cabotaje </t>
  </si>
  <si>
    <t xml:space="preserve">5012 - Transporte de carga marítimo y de cabotaje </t>
  </si>
  <si>
    <t>5021 - Transporte fluvial de pasajeros</t>
  </si>
  <si>
    <t>5022 - Transporte fluvial de carga</t>
  </si>
  <si>
    <t xml:space="preserve">5111 - Transporte aéreo nacional de pasajeros </t>
  </si>
  <si>
    <t xml:space="preserve">5112 - Transporte aéreo internacional de pasajeros </t>
  </si>
  <si>
    <t xml:space="preserve">5121 - Transporte aéreo nacional de carga </t>
  </si>
  <si>
    <t xml:space="preserve">5122 - Transporte aéreo internacional de carga </t>
  </si>
  <si>
    <t>5210 - Almacenamiento y depósito</t>
  </si>
  <si>
    <t>5221 - Actividades de estaciones, vías y servicios complementarios para el transporte terrestre</t>
  </si>
  <si>
    <t>5222 - Actividades de puertos y servicios complementarios para el transporte acuático</t>
  </si>
  <si>
    <t>5223 - Actividades de aeropuertos, servicios de navegación aérea y demás actividades conexas al transporte aéreo</t>
  </si>
  <si>
    <t>5224 - Manipulación de carga</t>
  </si>
  <si>
    <t>5229 - Otras actividades complementarias al transporte</t>
  </si>
  <si>
    <t>5310 - Actividades postales nacionales</t>
  </si>
  <si>
    <t>5320 - Actividades de mensajería</t>
  </si>
  <si>
    <t xml:space="preserve">5511 - Alojamiento en hoteles </t>
  </si>
  <si>
    <t>5512 - Alojamiento en apartahoteles</t>
  </si>
  <si>
    <t xml:space="preserve">5513 - Alojamiento en centros vacacionales </t>
  </si>
  <si>
    <t>5514 - Alojamiento rural</t>
  </si>
  <si>
    <t>5519 - Otros tipos de alojamientos para visitantes</t>
  </si>
  <si>
    <t>5520 - Actividades de zonas de camping y parques para vehículos recreacionales</t>
  </si>
  <si>
    <t xml:space="preserve">5530 - Servicio por horas </t>
  </si>
  <si>
    <t>5590 - Otros tipos de alojamiento n.c.p.</t>
  </si>
  <si>
    <t>5611 - Expendio a la mesa de comidas preparadas</t>
  </si>
  <si>
    <t>5612 - Expendio por autoservicio de comidas preparadas</t>
  </si>
  <si>
    <t>5613 - Expendio de comidas preparadas en cafeterías</t>
  </si>
  <si>
    <t>5619 - Otros tipos de expendio de comidas preparadas n.c.p.</t>
  </si>
  <si>
    <t>5621 - Catering para eventos</t>
  </si>
  <si>
    <t>5629 - Actividades de otros servicios de comidas</t>
  </si>
  <si>
    <t>5630 - Expendio de bebidas alcohólicas para el consumo dentro del establecimiento</t>
  </si>
  <si>
    <t>5811 - Edición de libros</t>
  </si>
  <si>
    <t>5812 - Edición de directorios y listas de correo</t>
  </si>
  <si>
    <t>5813 - Edición de periódicos, revistas y otras publicaciones periódicas</t>
  </si>
  <si>
    <t>5819 - Otros trabajos de edición</t>
  </si>
  <si>
    <t>5820 - Edición de programas de informática (software)</t>
  </si>
  <si>
    <t>5911 - Actividades de producción de películas cinematográficas, videos, programas, anuncios y comerciales de televisión</t>
  </si>
  <si>
    <t>5912 - Actividades de posproducción de películas cinematográficas, videos, programas, anuncios y comerciales de televisión</t>
  </si>
  <si>
    <t>5913 - Actividades de distribución de películas cinematográficas, videos, programas, anuncios y comerciales de televisión</t>
  </si>
  <si>
    <t>5914 - Actividades de exhibición de películas cinematográficas y videos</t>
  </si>
  <si>
    <t>5920 - Actividades de grabación de sonido y edición de musica</t>
  </si>
  <si>
    <t>6010 - Actividades de programación y transmisión en el servicio de radiodifusión sonora</t>
  </si>
  <si>
    <t>6020 - Actividades de programación y transmisión de televisión</t>
  </si>
  <si>
    <t>6110 - Actividades de telecomunicaciones alámbricas</t>
  </si>
  <si>
    <t>6120 - Actividades de telecomunicaciones inalámbricas</t>
  </si>
  <si>
    <t>6130 - Actividades de telecomunicación satelital</t>
  </si>
  <si>
    <t>6190 - Otras actividades de telecomunicaciones</t>
  </si>
  <si>
    <t>6201 - Actividades de desarrollo de sistemas informáticos (planificación, análisis, diseño, programación, pruebas)</t>
  </si>
  <si>
    <t>6202 - Actividades de consultoría informática y actividades de administración de instalaciones informáticas</t>
  </si>
  <si>
    <t>6209 - Otras actividades de tecnologías de información y actividades de servicios informáticos</t>
  </si>
  <si>
    <t>6311 - Procesamiento de datos, alojamiento (hosting) y actividades relacionadas</t>
  </si>
  <si>
    <t>6312 - Portales web</t>
  </si>
  <si>
    <t>6391 - Actividades de agencias de noticias</t>
  </si>
  <si>
    <t>6399 - Otras actividades de servicio de información n.c.p.</t>
  </si>
  <si>
    <t>6411 - Banco Central</t>
  </si>
  <si>
    <t>6412 - Bancos comerciales</t>
  </si>
  <si>
    <t>6421 - Actividades de las corporaciones financieras</t>
  </si>
  <si>
    <t>6422 - Actividades de las compañías de financiamiento</t>
  </si>
  <si>
    <t>6423 - Banca de segundo piso</t>
  </si>
  <si>
    <t>6424 - Actividades de las cooperativas financieras</t>
  </si>
  <si>
    <t>6431 - Fideicomisos, fondos y entidades financieras similares</t>
  </si>
  <si>
    <t>6432 - Fondos de cesantías</t>
  </si>
  <si>
    <t>6491 - Leasing financiero (arrendamiento financiero)</t>
  </si>
  <si>
    <t>6492 - Actividades financieras de fondos de empleados y otras formas asociativas del sector solidario</t>
  </si>
  <si>
    <t>6493 - Actividades de compra de cartera o factoring</t>
  </si>
  <si>
    <t>6494 - Otras actividades de distribución de fondos</t>
  </si>
  <si>
    <t>6495 - Instituciones especiales oficiales</t>
  </si>
  <si>
    <t>6499 - Otras actividades de servicio financiero, excepto las de seguros y pensiones n.c.p.</t>
  </si>
  <si>
    <t xml:space="preserve">6511 - Seguros generales </t>
  </si>
  <si>
    <t>6512 - Seguros de vida</t>
  </si>
  <si>
    <t>6513 - Reaseguros</t>
  </si>
  <si>
    <t>6514 - Capitalización</t>
  </si>
  <si>
    <t>6521 - Servicios de seguros sociales de salud</t>
  </si>
  <si>
    <t>6522 - Servicios de seguros sociales de riesgos profesionales</t>
  </si>
  <si>
    <t>6531 - Régimen de prima media con prestación definida (RPM)</t>
  </si>
  <si>
    <t>6532 - Régimen de ahorro individual (RAI)</t>
  </si>
  <si>
    <t>6611 - Administración de mercados financieros</t>
  </si>
  <si>
    <t>6612 - Corretaje de valores y de contratos de productos básicos</t>
  </si>
  <si>
    <t>6613 - Otras actividades relacionadas con el mercado de valores</t>
  </si>
  <si>
    <t>6614 - Actividades de las casas de cambio</t>
  </si>
  <si>
    <t>6615 - Actividades de los profesionales de compra y venta de divisas</t>
  </si>
  <si>
    <t>6619 - Otras actividades auxiliares de las actividades de servicios financieros n.c.p.</t>
  </si>
  <si>
    <t>6621 - Actividades de agentes y corredores de seguros</t>
  </si>
  <si>
    <t>6629 - Evaluación de riesgos y daños, y otras actividades de servicios auxiliares</t>
  </si>
  <si>
    <t>6630 - Actividades de administración de fondos</t>
  </si>
  <si>
    <t>6810 - Actividades inmobiliarias realizadas con bienes propios o arrendados</t>
  </si>
  <si>
    <t xml:space="preserve">6820 - Actividades inmobiliarias realizadas a cambio de una retribución o por contrata </t>
  </si>
  <si>
    <t>6910 - Actividades jurídicas</t>
  </si>
  <si>
    <t>6920 - Actividades de contabilidad, teneduría de libros, auditoría financiera y asesoría tributaria</t>
  </si>
  <si>
    <t>7010 - Actividades de administración empresarial</t>
  </si>
  <si>
    <t>7020 - Actividades de consultaría de gestión</t>
  </si>
  <si>
    <t>7111 - Actividades de arquitectura</t>
  </si>
  <si>
    <t>7112-  Actividad de ingeniería y otras actividades conexas de consultoría técnica</t>
  </si>
  <si>
    <t>7120 - Ensayos y análisis técnicos</t>
  </si>
  <si>
    <t xml:space="preserve">7210 - Investigaciones y desarrollo experimental en el campo de las ciencias naturales y la ingeniería </t>
  </si>
  <si>
    <t>7220 - Investigaciones y desarrollo experimental en el campo de las ciencias sociales y las humanidades</t>
  </si>
  <si>
    <t>7310 - Publicidad</t>
  </si>
  <si>
    <t>7320 - Estudios de mercado y realización de encuestas de opinión pública</t>
  </si>
  <si>
    <t xml:space="preserve">7410 - Actividades especializadas de diseño </t>
  </si>
  <si>
    <t>7420 - Actividades de fotografía</t>
  </si>
  <si>
    <t>7490 - Otras actividades profesionales, científicas y técnicas n.c.p.</t>
  </si>
  <si>
    <t>7500 - Actividades veterinarias</t>
  </si>
  <si>
    <t>7710 - Alquiler y arrendamiento de vehículos automotores</t>
  </si>
  <si>
    <t>7721 - Alquiler y arrendamiento de equipo recreativo y deportivo</t>
  </si>
  <si>
    <t xml:space="preserve">7722 - Alquiler de videos y discos </t>
  </si>
  <si>
    <t>7729 - Alquiler y arrendamiento de otros efectos personales y enseres domésticos n.c.p.</t>
  </si>
  <si>
    <t>7730 - Alquiler y arrendamiento de otros tipos de maquinaria, equipo y bienes tangibles n.c.p.</t>
  </si>
  <si>
    <t>7740 - Arrendamiento de propiedad intelectual y productos similares, excepto obras protegidas por derechos de autor</t>
  </si>
  <si>
    <t>7810 - Actividades de agencias de empleo</t>
  </si>
  <si>
    <t>7820 - Actividades de agencias de empleo temporal</t>
  </si>
  <si>
    <t>7830 - Otras actividades de suministro de recurso humano</t>
  </si>
  <si>
    <t>7911 - Actividades de las agencias de viaje</t>
  </si>
  <si>
    <t>7912 - Actividades de operadores turísticos</t>
  </si>
  <si>
    <t>7990 - Otros servicios de reserva y actividades relacionadas</t>
  </si>
  <si>
    <t>8010 - Actividades de seguridad privada</t>
  </si>
  <si>
    <t>8020 - Actividades de servicios de sistemas de seguridad</t>
  </si>
  <si>
    <t>8030 - Actividades de detectives e investigadores privados</t>
  </si>
  <si>
    <t>8110 - Actividades combinadas de apoyo a instalaciones</t>
  </si>
  <si>
    <t>8121 - Limpieza general interior de edificios</t>
  </si>
  <si>
    <t>8129 - Otras actividades de limpieza de edificios e instalaciones industriales</t>
  </si>
  <si>
    <t>8130 - Actividades de paisajismo y servicios de mantenimiento conexos</t>
  </si>
  <si>
    <t>8211 - Actividades combinadas de servicios administrativos de oficina</t>
  </si>
  <si>
    <t>8219 - Fotocopiado, preparación de documentos y otras actividades especializadas de apoyo a oficina</t>
  </si>
  <si>
    <t>8220 - Actividades de centros de llamadas (Call center)</t>
  </si>
  <si>
    <t>8230 - Organización de convenciones y eventos comerciales</t>
  </si>
  <si>
    <t>8291 - Actividades de agencias de cobranza y oficinas de calificación crediticia</t>
  </si>
  <si>
    <t>8292 - Actividades de envase y empaque</t>
  </si>
  <si>
    <t>8299 - Otras actividades de servicio de apoyo a las empresas n.c.p.</t>
  </si>
  <si>
    <t>8411 - Actividades legislativas de la administración pública</t>
  </si>
  <si>
    <t>8412 - Actividades ejecutivas de la administración pública</t>
  </si>
  <si>
    <t xml:space="preserve">8413 - Regulación de las actividades de organismos que prestan servicios de salud, educativos, culturales y otros servicios sociales, excepto servicios de seguridad social </t>
  </si>
  <si>
    <t>8414 - Actividades reguladoras y facilitadoras de la actividad económica</t>
  </si>
  <si>
    <t>8415 - Actividades de los otros órganos de control</t>
  </si>
  <si>
    <t xml:space="preserve">8421 - Relaciones exteriores </t>
  </si>
  <si>
    <t>8422 - Actividades de defensa</t>
  </si>
  <si>
    <t>8423 - Orden público y actividades de seguridad</t>
  </si>
  <si>
    <t>8424 - Administración de justicia</t>
  </si>
  <si>
    <t>8430 - Actividades de planes de seguridad social de afiliación obligatoria</t>
  </si>
  <si>
    <t>8511 - Educación de la primera infancia</t>
  </si>
  <si>
    <t>8512 - Educación preescolar</t>
  </si>
  <si>
    <t>8513 - Educación básica primaria</t>
  </si>
  <si>
    <t xml:space="preserve">8521 - Educación básica secundaria </t>
  </si>
  <si>
    <t>8522 - Educación media académica</t>
  </si>
  <si>
    <t>8523 - Educación media técnica y de formación laboral</t>
  </si>
  <si>
    <t xml:space="preserve">8530 - Establecimientos que combinan diferentes niveles de educación </t>
  </si>
  <si>
    <t>8541 - Educación técnica profesional</t>
  </si>
  <si>
    <t>8542 - Educación tecnológica</t>
  </si>
  <si>
    <t>8543 - Educación de instituciones universitarias o de escuelas tecnológicas</t>
  </si>
  <si>
    <t>8544 - Educación de universidades</t>
  </si>
  <si>
    <t xml:space="preserve">8551 - Formación académica no formal </t>
  </si>
  <si>
    <t>8552 - Enseñanza deportiva y recreativa</t>
  </si>
  <si>
    <t>8553 - Enseñanza cultural</t>
  </si>
  <si>
    <t>8559 - Otros tipos de educación n.c.p.</t>
  </si>
  <si>
    <t>8560 - Actividades de apoyo a la educación</t>
  </si>
  <si>
    <t>8610 - Actividades de hospitales y clínicas, con internación</t>
  </si>
  <si>
    <t>8621 - Actividades de la práctica médica, sin internación</t>
  </si>
  <si>
    <t>8622 - Actividades de la práctica odontológica</t>
  </si>
  <si>
    <t>8691 - Actividades de apoyo diagnóstico</t>
  </si>
  <si>
    <t>8692 - Actividades de apoyo terapéutico</t>
  </si>
  <si>
    <t>8699 - Otras actividades de atención de la salud humana</t>
  </si>
  <si>
    <t>8710 - Actividades de atención residencial medicalizada de tipo general</t>
  </si>
  <si>
    <t>8720 - Actividades de atención residencial, para el cuidado de pacientes con retardo mental, enfermedad mental y consumo de sustancias psicoactivas</t>
  </si>
  <si>
    <t>8730 - Actividades de atención en instituciones para el cuidado de personas mayores y/o discapacitadas</t>
  </si>
  <si>
    <t>8790 - Otras actividades de atención en instituciones con alojamiento</t>
  </si>
  <si>
    <t>8810 - Actividades de asistencia social sin alojamiento para personas mayores y discapacitadas</t>
  </si>
  <si>
    <t>8890 - Otras actividades de asistencia social sin alojamiento</t>
  </si>
  <si>
    <t>9001 - Creación literaria</t>
  </si>
  <si>
    <t>9002 - Creación musical</t>
  </si>
  <si>
    <t>9003 - Creación teatral</t>
  </si>
  <si>
    <t>9004 - Creación audiovisual</t>
  </si>
  <si>
    <t>9005 - Artes plásticas y visuales</t>
  </si>
  <si>
    <t>9006 - Actividades teatrales</t>
  </si>
  <si>
    <t>9007 - Actividades de espectáculos musicales en vivo</t>
  </si>
  <si>
    <t>9008 - Otras actividades de espectáculos en vivo</t>
  </si>
  <si>
    <t>9101 - Actividades de bibliotecas y archivos</t>
  </si>
  <si>
    <t>9102 - Actividades y funcionamiento de museos, conservación de edificios y sitios históricos</t>
  </si>
  <si>
    <t>9103 - Actividades de jardines botánicos, zoológicos y reservas naturales</t>
  </si>
  <si>
    <t>9200 - Actividades de juegos de azar y apuestas</t>
  </si>
  <si>
    <t>9311 - Gestión de instalaciones deportivas</t>
  </si>
  <si>
    <t>9312 - Actividades de clubes deportivos</t>
  </si>
  <si>
    <t>9319 - Otras actividades deportivas</t>
  </si>
  <si>
    <t>9321 - Actividades de parques de atracciones y parques temáticos</t>
  </si>
  <si>
    <t>9329 - Otras actividades recreativas y de esparcimiento n.c.p.</t>
  </si>
  <si>
    <t>9411 - Actividades de asociaciones empresariales y de empleadores</t>
  </si>
  <si>
    <t>9412 - Actividades de asociaciones profesionales</t>
  </si>
  <si>
    <t>9420 - Actividades de sindicatos de empleados</t>
  </si>
  <si>
    <t>9491 - Actividades de asociaciones religiosas</t>
  </si>
  <si>
    <t>9492 - Actividades de asociaciones políticas</t>
  </si>
  <si>
    <t>9499 - Actividades de otras asociaciones n.c.p.</t>
  </si>
  <si>
    <t>9511 - Mantenimiento y reparación de computadores y de equipo periférico</t>
  </si>
  <si>
    <t>9512 - Mantenimiento y reparación de equipos de comunicación</t>
  </si>
  <si>
    <t>9521 - Mantenimiento y reparación de aparatos electrónicos de consumo</t>
  </si>
  <si>
    <t xml:space="preserve">9522 - Mantenimiento y reparación de aparatos y equipos domésticos y de jardinería </t>
  </si>
  <si>
    <t>9523 - Reparación de calzado y artículos de cuero</t>
  </si>
  <si>
    <t>9524 - Reparación de muebles y accesorios para el hogar</t>
  </si>
  <si>
    <t>9529 - Mantenimiento y reparación de otros efectos personales y enseres domésticos</t>
  </si>
  <si>
    <t>9601 - Lavado y limpieza, incluso la limpieza en seco, de productos textiles y de piel</t>
  </si>
  <si>
    <t>9602 - Peluquería y otros tratamientos de belleza</t>
  </si>
  <si>
    <t>9603 - Pompas fúnebres y actividades relacionadas</t>
  </si>
  <si>
    <t>9609 - Otras actividades de servicios personales n.c.p.</t>
  </si>
  <si>
    <t>Bienes_Biomasa_Biogás</t>
  </si>
  <si>
    <t>Bienes_Biomasa_Gasificación</t>
  </si>
  <si>
    <t>Bienes_Biomasa_Pirolización</t>
  </si>
  <si>
    <t>Bienes_Biomasa_Cultivos_energéticos</t>
  </si>
  <si>
    <t>Bienes_Biomasa_Generación_cogeneración</t>
  </si>
  <si>
    <t>Bienes_Eólica_Eólica</t>
  </si>
  <si>
    <t>Bienes_Geotérmica_Central_de_vapor_seco</t>
  </si>
  <si>
    <t>Bienes_Geotérmica_Central_flash</t>
  </si>
  <si>
    <t>Bienes_Geotérmica_Central_de_ciclo_binario</t>
  </si>
  <si>
    <t>Bienes_PCH_Hidráulica</t>
  </si>
  <si>
    <t>Bienes_PCH_Hidrocinética</t>
  </si>
  <si>
    <t>Bienes_Solar_Fotovoltaica</t>
  </si>
  <si>
    <t>Biodigestores</t>
  </si>
  <si>
    <t>Gasificadores</t>
  </si>
  <si>
    <t>Bunkers (almacenamiento de residuos)</t>
  </si>
  <si>
    <t>Equipos y componentes para la producción de cultivos energéticos (torre de madereo, skidder, harvester, brazo cargador, carreto cosechador, winche o cabrestante, astillador de madera, tractores, grúas y grapas).</t>
  </si>
  <si>
    <t>Motores de CI diseñados para operar con biogás o biocombustibles</t>
  </si>
  <si>
    <t>Equipos LIDAR</t>
  </si>
  <si>
    <t>Bombas centrífugas, electrosumergibles, de calor geotérmicas</t>
  </si>
  <si>
    <t>Tuberías</t>
  </si>
  <si>
    <t>Equipos de medición del recurso solar</t>
  </si>
  <si>
    <t xml:space="preserve">Digestores y post-digestores </t>
  </si>
  <si>
    <t>Sistemas de purificación del gas</t>
  </si>
  <si>
    <t>Trituradoras</t>
  </si>
  <si>
    <t>Equipos para el sistema de riego y drenaje empleados en el establecimiento de cultivos con propósitos energéticos (tuberías de PVC, CPVC, válvulas, tanques, bombas)</t>
  </si>
  <si>
    <t>Calderas para operar con biomasa, biogás o sus derivados, asi como equipos para adaptación de calderas para uso con biomasa, biogás o sus derivados</t>
  </si>
  <si>
    <t>Equipos SODAR</t>
  </si>
  <si>
    <t>Válvulas</t>
  </si>
  <si>
    <t>Chimeneas de equilibrio, aliviaderos</t>
  </si>
  <si>
    <t>Tanques de almacenamiento.</t>
  </si>
  <si>
    <t>Turbinas de gas y de vapor</t>
  </si>
  <si>
    <t>Hornos rotatorios para pirólisis</t>
  </si>
  <si>
    <t>Equipos para mecanización del terreno y extracción de madera (Subsoladores, rastra, caballoneador, taipa, cortamalezas, sembradora)</t>
  </si>
  <si>
    <t>Turbinas de condensación para operar con biogás</t>
  </si>
  <si>
    <t>Torres de medición</t>
  </si>
  <si>
    <t>Silenciadores</t>
  </si>
  <si>
    <t>Válvulas y compuertas</t>
  </si>
  <si>
    <t>Equipos de medición de producción de biogás y concentración de metano</t>
  </si>
  <si>
    <t>Generadores de vapor</t>
  </si>
  <si>
    <t>Cámaras de combustión</t>
  </si>
  <si>
    <t>Máquinas peletizadoras</t>
  </si>
  <si>
    <t>Turbinas de contra-presión para operar con biogás</t>
  </si>
  <si>
    <t>Anemómetros</t>
  </si>
  <si>
    <t>Desarenadoras</t>
  </si>
  <si>
    <t>Turbinas</t>
  </si>
  <si>
    <t>Estaciones meteorológicas</t>
  </si>
  <si>
    <t>Equipos para desulfuración de biogás (y remoción de impurezas)</t>
  </si>
  <si>
    <t>Separador magnético</t>
  </si>
  <si>
    <t>Equipos para la preparación y transformación de biomasa (equipos de torrefacción, secadores de biomasa, maquinas briqueteadoras)</t>
  </si>
  <si>
    <t>Incineradores de residuos y sus componentes para la recuperación de calor para la tecnología “waste to energy”</t>
  </si>
  <si>
    <t>Veletas</t>
  </si>
  <si>
    <t>Tuberías de vapor, salmuera</t>
  </si>
  <si>
    <t>Turbogeneradores</t>
  </si>
  <si>
    <t>Equipos para remoción de CO2 de biogás (equipos para producción de biometano)</t>
  </si>
  <si>
    <t>Equipos para el transporte de biomasa (transportadores de tornillo sinfín, elevadores de cangilones, transportadores de cadena Redler, sinfines, transportadores de banda)</t>
  </si>
  <si>
    <t>Bio-refinerías para transformación de residuos sólidos urbanos en biocombustibles líquidos</t>
  </si>
  <si>
    <t>Data Logger</t>
  </si>
  <si>
    <t>Separadores de vapor o de humedad</t>
  </si>
  <si>
    <t>Dispositivos de regulación y tubos difusores</t>
  </si>
  <si>
    <t>Paneles/módulos o celdas fotovoltaicas</t>
  </si>
  <si>
    <t>Ventiladores / sopladores para flujo de biogás</t>
  </si>
  <si>
    <t>Calderas</t>
  </si>
  <si>
    <t>Generadores</t>
  </si>
  <si>
    <t>Tanques de almacenamiento</t>
  </si>
  <si>
    <t>Bombas y motores</t>
  </si>
  <si>
    <t>Inversores o microinversores (Off Grid, Grid Tie o Híbrido)</t>
  </si>
  <si>
    <t>Filtros de manga</t>
  </si>
  <si>
    <t>Recuperadores de calor</t>
  </si>
  <si>
    <t>Equipos de alimentación DC/AC</t>
  </si>
  <si>
    <t>Intercambiadores de calor, evaporadores o condensadores</t>
  </si>
  <si>
    <t>Elementos hidromecánicos</t>
  </si>
  <si>
    <t>Reguladores o controladores de carga</t>
  </si>
  <si>
    <t>Trampas: de ácido sulfhídrico, de llama, de agua</t>
  </si>
  <si>
    <t>Catalizadores</t>
  </si>
  <si>
    <t>Sistemas de pretratamiento de agua</t>
  </si>
  <si>
    <t>Baterías solares (de ciclo de descarga profunda): Puede ser de plomo-acido, ions de litio, niquel cadmio, u otro.</t>
  </si>
  <si>
    <t>Ventiladores</t>
  </si>
  <si>
    <t>Bóvedas, puertas cortafuego, compuertas de ventilación y sellos cortafuego</t>
  </si>
  <si>
    <t>Sistemas de tratamiento de gases de chimenea de las calderas</t>
  </si>
  <si>
    <t>Aerogeneradores (como un todo)</t>
  </si>
  <si>
    <t>Transformadores de excitación y rectificadores</t>
  </si>
  <si>
    <t>Optimizadores</t>
  </si>
  <si>
    <t>Hornos</t>
  </si>
  <si>
    <t>Celdas AC/DC</t>
  </si>
  <si>
    <t>Sistemas recuperadores de condensados</t>
  </si>
  <si>
    <t>Torres de aerogeneradores</t>
  </si>
  <si>
    <t>Instrumentos de medida de presión (manómetro), temperatura y flujo másico de fluidos y vapor</t>
  </si>
  <si>
    <t>Equipos de regulación de tensión, equipo de regulación de velocidad, control, protección y medida</t>
  </si>
  <si>
    <t>Bases / marcos / estructuras diseñadas para montar, anclar e instalar paneles</t>
  </si>
  <si>
    <t>Teas de emergencia</t>
  </si>
  <si>
    <t>Contadores</t>
  </si>
  <si>
    <t>Sistemas cerrados de refrigeración de auxiliares y turbina</t>
  </si>
  <si>
    <t>Luces de obstrucción y desviadores</t>
  </si>
  <si>
    <t>Eyectores de vapor (NCG &amp; H2S)</t>
  </si>
  <si>
    <t>Equipos de medición</t>
  </si>
  <si>
    <t>Cajas combinadoras</t>
  </si>
  <si>
    <t>Bombas para flujo de sustratos en plantas de biogás</t>
  </si>
  <si>
    <t>Torres de enfriamiento con agua o aerocondensadores</t>
  </si>
  <si>
    <t>Compresores</t>
  </si>
  <si>
    <t>Sistemas de tracking</t>
  </si>
  <si>
    <t>Tuberías en plantas de biogás, incluyendo tuberías de polietileno de alta densidad</t>
  </si>
  <si>
    <t>Sistemas de calentamiento de agua / recuperación de calor residual</t>
  </si>
  <si>
    <t>Sistemas de condensado: condensadores, torres de enfriamiento (tipo húmedo, tipo seco)</t>
  </si>
  <si>
    <t>Dispositivos de control y automatización de procesos anaerobios</t>
  </si>
  <si>
    <t>Válvulas, reguladores y sistemas de control</t>
  </si>
  <si>
    <t>Depuradores</t>
  </si>
  <si>
    <t>Cables solares DC</t>
  </si>
  <si>
    <t xml:space="preserve">Sistema de retorno de condensado, precalentamiento y desgasificador  </t>
  </si>
  <si>
    <t>Elementos estructurales de pozos (de producción y de re-inyección)</t>
  </si>
  <si>
    <t>Equipos de compensación de potencia reactiva</t>
  </si>
  <si>
    <t>Barrajes</t>
  </si>
  <si>
    <t xml:space="preserve">Plantas de tratamiento de agua </t>
  </si>
  <si>
    <t>Removedores y filtros</t>
  </si>
  <si>
    <t>Equipos para la reducción de armónicos</t>
  </si>
  <si>
    <t>Cajas y conduletas</t>
  </si>
  <si>
    <t>Sistemas anti explosión durante perforación</t>
  </si>
  <si>
    <t>Fusibles y portafusibles</t>
  </si>
  <si>
    <t>Equipos para laboratorio</t>
  </si>
  <si>
    <t>Cámara de flash</t>
  </si>
  <si>
    <t>Racks de refrigeración y tuberías</t>
  </si>
  <si>
    <t>Sistemas de recolección y transporte de vapor a la planta</t>
  </si>
  <si>
    <t>Interruptores de baja tensión</t>
  </si>
  <si>
    <t>Sistemas de drenajes y canalizaciones subterráneas</t>
  </si>
  <si>
    <t>Sistemas de recolección y transporte de fluidos (salmuera y condensado) a los pozos de reinyección</t>
  </si>
  <si>
    <t>Estructuras</t>
  </si>
  <si>
    <t>Unidades de potencia ininterrumpida (UPS)</t>
  </si>
  <si>
    <t>Equipos para prospección geofísica y geoquímica</t>
  </si>
  <si>
    <t>Equipos de perforación</t>
  </si>
  <si>
    <t>Equipos de monitoreo, control y automatización (no incluye equipos para conexión a internet)</t>
  </si>
  <si>
    <t>Equipos para monitoreo de temperatura</t>
  </si>
  <si>
    <t>Subestación o Power Station (transformadores, interruptores, seccionadores, trampas de onda, reconectadores, cuchillas, descargadores de sobretensión)</t>
  </si>
  <si>
    <t>Equipos de laboratorio para análisis geoquímicos y geológicos</t>
  </si>
  <si>
    <t>BESS (Sistema de almacenamiento con base en baterías)</t>
  </si>
  <si>
    <t>Instalaciones superficiales para prueba de pozos</t>
  </si>
  <si>
    <t>Sistemas de acopio de biomasa</t>
  </si>
  <si>
    <t>Grupo Electrógeno de Biogás</t>
  </si>
  <si>
    <t>Servicios_Biomasa</t>
  </si>
  <si>
    <t>Servicios_Eólica</t>
  </si>
  <si>
    <t>Servicios_Geotérmica</t>
  </si>
  <si>
    <t>Servicios_PCH</t>
  </si>
  <si>
    <t>Servicios_Solar</t>
  </si>
  <si>
    <t>Estudios de valoración de potencial para uso energético de la biomasa</t>
  </si>
  <si>
    <t>Estudios de valoración de potencial del recurso eólico.</t>
  </si>
  <si>
    <t>Alquiler equipos y plataformas de perforación para exploración geotérmica y pruebas de producción de pozos geotérmicos</t>
  </si>
  <si>
    <t>Estudios de valoración de potencial hidráulico</t>
  </si>
  <si>
    <t>Estudios de valoración de potencial del recurso solar</t>
  </si>
  <si>
    <t>Estudios ambientales</t>
  </si>
  <si>
    <t>Toma de fotografías aéreas; imágenes de satélite; etc para elaboración de cartografía</t>
  </si>
  <si>
    <t>Estudios de conexión.</t>
  </si>
  <si>
    <t>Estudios de conexión</t>
  </si>
  <si>
    <t>Estudios de valoración de potencial del recurso geotérmico</t>
  </si>
  <si>
    <t>Estudios estructurales</t>
  </si>
  <si>
    <t>Diseño e Ingeniería del sistema</t>
  </si>
  <si>
    <t>Estudios de gradiente térmico</t>
  </si>
  <si>
    <t>Transporte asociado al traslado de componentes al sitio de instalación</t>
  </si>
  <si>
    <t>Geología / exploración. Recolección de muestras de roca y ensayos de laboratorio</t>
  </si>
  <si>
    <t>Geoquímica / exploración. Recolección de muestras de líquidos y gases y ensayos de laboratorio para análisis de composición química; análisis de isótopos.</t>
  </si>
  <si>
    <t xml:space="preserve">Preparación / adaptación del terreno para instalación del sistema </t>
  </si>
  <si>
    <t>Obras civiles y estructurales para efectos de medición del recurso eólico</t>
  </si>
  <si>
    <t>Geofísica / exploración. Muestreo; procesamiento y análisis de gravimetría; magnetometría; magnetotelúrica y microsismos)</t>
  </si>
  <si>
    <t>Construcción de digestores; post-digestores y tanques de almacenamiento para proyectos de uso energético de la biomasa</t>
  </si>
  <si>
    <t>Construcción de lagunas para proyectos de uso energético de la biomasa</t>
  </si>
  <si>
    <t>Diseño e Ingeniería del sistema (Incluyendo software especializado)</t>
  </si>
  <si>
    <t>Construcción de instalaciones de recibo y acopio de biomasa para ser usada con fines energéticos</t>
  </si>
  <si>
    <t>ITEMS MARCADOS COMO "BT" EN PEPC QUE FALTAN EN EL FORMATO 3 DEL "PAPÁ DE LOS FORMATOS"</t>
  </si>
  <si>
    <t>Estos elementos aparecen marcados con "BT" en la columna BT de la hoja PEPC pero no están registrados en el FORMATO 3 (ni por código Odoo ni por descripción equivalente). Se excluyen servicios (transporte, nacionalización, instalación, pruebas, etc.).</t>
  </si>
  <si>
    <t>#</t>
  </si>
  <si>
    <t>Código Odoo</t>
  </si>
  <si>
    <t>Descripción (de PEPC)</t>
  </si>
  <si>
    <t>Nombre canónico Odoo (si código existe)</t>
  </si>
  <si>
    <t>P01036</t>
  </si>
  <si>
    <t>Transformador de potencia 17.5kV 13.2/120 500VA</t>
  </si>
  <si>
    <t>Und</t>
  </si>
  <si>
    <t>Nombre Odoo: [P01036] Transformador Potencia 1500 kVA Dyn5 13200/800 V</t>
  </si>
  <si>
    <t>P00609</t>
  </si>
  <si>
    <t>Gabinete, 2 borneras, 2 modem telemedida</t>
  </si>
  <si>
    <t>Nombre Odoo: [P00609] Gabinete</t>
  </si>
  <si>
    <t>P00364</t>
  </si>
  <si>
    <t>Suministro cable XLPE 1/0 Pantalla en hilo 100% Aluminio 15kV (x3 terna)</t>
  </si>
  <si>
    <t>m</t>
  </si>
  <si>
    <t>Nombre Odoo: [P00364] Cable XLPE Pantalla en Cinta (35 KV, 1/0 AWG) - 35 KV / 1/0 AWG</t>
  </si>
  <si>
    <t>P00320</t>
  </si>
  <si>
    <t>Suministro cable ecológico ASCR</t>
  </si>
  <si>
    <t>Nombre Odoo: [P00320] Cable Ecológico ASCR (15 KV, 1/0 AWG) - 15 KV / 1/0 AWG</t>
  </si>
  <si>
    <t>P00572</t>
  </si>
  <si>
    <t>Estación meteorológica</t>
  </si>
  <si>
    <t>Nombre Odoo: [P00572] Estación Metereológica</t>
  </si>
  <si>
    <t>Sin código</t>
  </si>
  <si>
    <t>CABLE 500 kcmil Al RHW 800V (Fases inversores 249 kW - Tablero FV)</t>
  </si>
  <si>
    <t>CABLE 12 AWG Cu 600V (SSAA)</t>
  </si>
  <si>
    <t>Par hembra y macho de MC4</t>
  </si>
  <si>
    <t>Tubo PVC DB Liso 4" x 6M</t>
  </si>
  <si>
    <t>Tubo EMT 3/4" x 6m</t>
  </si>
  <si>
    <t>Tubo anillado de poliamida Interflex Nylofix AGT-12N (paq x 30m)</t>
  </si>
  <si>
    <t>Tubo PVC BD Liso 1/2" x 3m</t>
  </si>
  <si>
    <t>Coraza Americana 1"</t>
  </si>
  <si>
    <t>Puntas captadoras de apantallamiento</t>
  </si>
  <si>
    <t>P01091</t>
  </si>
  <si>
    <t>TPI25 - Tubo corrugado ø 25</t>
  </si>
  <si>
    <t>UV63 - Tubo anti UV en rollos ø 63</t>
  </si>
  <si>
    <t>IEC 61386-1 de 2008,Numeral 20.6.1 del Reglamento Técnico de Instalaciones Eléctricas - RETIE. Resolución 90708 de 30 de agosto
de 2013 del Ministerio de Minas y Energías</t>
  </si>
  <si>
    <t>UV110 - Tubo anti UV en rollos ø 110</t>
  </si>
  <si>
    <t>FUV-25 - Tubo curvable FUV ø 25</t>
  </si>
  <si>
    <t>P01049</t>
  </si>
  <si>
    <t>P01051</t>
  </si>
  <si>
    <t>DRN63 - Tubo enterrado normal en rollos ø 63</t>
  </si>
  <si>
    <t>DRN110 - Tubo enterrado normal en rollos ø 110</t>
  </si>
  <si>
    <t>P01050</t>
  </si>
  <si>
    <t>P01052</t>
  </si>
  <si>
    <t>PRYSMIAN</t>
  </si>
  <si>
    <t>Cable de Baja Tensión XZ1 (S) – VOLTENAX/PE 
240 mm² Aluminio Compactado 0,6/1 (1,2) kV AC</t>
  </si>
  <si>
    <t>IEC 60502-1/2021 y la RESOLUCIÓN 90708 de 2013 del MINISTERIO DE MINAS Y ENERGÍA - RETIE (Numeral 20.2)</t>
  </si>
  <si>
    <t>PRYSMIAN CABOS E SISTEMAS DO BRASIL S/A</t>
  </si>
  <si>
    <t>Cable termoplástico AA Serie 8000 2 AWG 600V concéntrico THHW PVC 90°C Seco Use CT</t>
  </si>
  <si>
    <t>P00304</t>
  </si>
  <si>
    <t>P00348</t>
  </si>
  <si>
    <t>Conexión de tierra desde los inversores hasta el tablero fotovoltaico</t>
  </si>
  <si>
    <t>P00338</t>
  </si>
  <si>
    <t xml:space="preserve">	
Transporta la energía AC proveniente de los inversores hasta el tablero fotovoltaico</t>
  </si>
  <si>
    <t>La tubería se encarga de proteger el cable de comunicación de los inversores  con el smartlogger ubicado en la subestación.</t>
  </si>
  <si>
    <t>Transporta la energía AC proveniente de los inversores hasta el tablero fotovoltaico</t>
  </si>
  <si>
    <t>P00261</t>
  </si>
  <si>
    <t>https://drive.google.com/file/d/1pD1XSkGVYvwam9dqzMHD7JR-SgYduRpk/view?usp=drive_link</t>
  </si>
  <si>
    <t>Tipo K de 65 Amperios para 15 kV - Frecuencia 50-60 Hz</t>
  </si>
  <si>
    <t>P01386</t>
  </si>
  <si>
    <t>Tipo K de 1 Amperio para 15 kV - Frecuencia 50-60 Hz</t>
  </si>
  <si>
    <t>P00588</t>
  </si>
  <si>
    <t>https://drive.google.com/file/d/1cvsBxzgGhwkIH3rbQxqN0UMrB0oS8FVD/view?usp=drive_link</t>
  </si>
  <si>
    <t>https://drive.google.com/file/d/1YJxqQaepEEQ649OUca3H82F8Ekp1SYmq/view?usp=drive_link</t>
  </si>
  <si>
    <t>LR8-66HYD-655M</t>
  </si>
  <si>
    <t>P00283</t>
  </si>
  <si>
    <t>P00285</t>
  </si>
  <si>
    <t>HUAWEI INTERNATIONAL CO LIMITED</t>
  </si>
  <si>
    <t xml:space="preserve">P01775
</t>
  </si>
  <si>
    <t>P01910</t>
  </si>
  <si>
    <t>SmartLogger3000A01AU</t>
  </si>
  <si>
    <t xml:space="preserve">Tableros de baja tensión AC/DC (Incluye los elementos internos) </t>
  </si>
  <si>
    <t>TMI (2) - 100 A- 10 kA - IP 44 - 600,700,250 - enero 2026</t>
  </si>
  <si>
    <t>Cable de cobre suave 12 AWG 600V THHN/THWN-2 PVC 90°C Seco</t>
  </si>
  <si>
    <t>CENTELSA</t>
  </si>
  <si>
    <t>Cables multiconductores de cobre MULTIFLEX 12 AWG 600V PVC/Nylon 90°C</t>
  </si>
  <si>
    <t>UL 1277/2018 Rev. 2022 y la RESOLUCIÓN 90708 de 2013 del MINISTERIO DE MINAS Y ENERGÍA –RETIE (Numeral 20.2)</t>
  </si>
  <si>
    <t>CABLES DE ENERGÍA Y DE TELECOMUNICACIONES S.A.S</t>
  </si>
  <si>
    <t>SONEPAR COLOMBIA SAS</t>
  </si>
  <si>
    <t>Transporta la energía AC proveniente dede el tablero fotovoltaico hasta la estación meteorológica y servicios auxiliares</t>
  </si>
  <si>
    <t>https://drive.google.com/drive/folders/1zFGe3a4-DbsL2umfuFwyjWh9P2n29sFb</t>
  </si>
  <si>
    <t>P00288</t>
  </si>
  <si>
    <t>Cable THHN/THWN-2 600V 8 AWG</t>
  </si>
  <si>
    <t>RESOLUCIÓN 40117 DE 02 DE ABRIL DE 2024 DEL MINISTERIO DE MINAS Y ENERGÍA DE COLOMBIA – RETIE, ARTÍCULO 2.3.10 CONDUCTORES Y CABLES ARTÍCULO 2.3.10.3 CABLES AISLADOS DE BAJA TENSIÓN</t>
  </si>
  <si>
    <t>Transporta la energía AC proveniente dede el tablero fotovoltaico hasta los servicios auxiliares</t>
  </si>
  <si>
    <t>https://drive.google.com/drive/folders/1WuTNtriv1hapgWOEIuTbeC9o5UEvD5IR</t>
  </si>
  <si>
    <t>P04028</t>
  </si>
  <si>
    <t>SG1TN 6519</t>
  </si>
  <si>
    <t>SONEPAR</t>
  </si>
  <si>
    <t>P00723</t>
  </si>
  <si>
    <t>SG1TN 2694</t>
  </si>
  <si>
    <t>P01244</t>
  </si>
  <si>
    <t>ColmenaConduit</t>
  </si>
  <si>
    <t>RESOLUCIÓN 90708 de 2013 del MINISTERIO DE MINAS Y ENERGÍA – RETIE (Numeral 20.6)</t>
  </si>
  <si>
    <t>CONSORCIO METALÚRGICO NACIONAL S.A.S – COLMENA S.A.S.</t>
  </si>
  <si>
    <t>IE INTER ELECTRICAS</t>
  </si>
  <si>
    <t>La tubería se encarga de proteger el cableado AC en media tensión que es instalado desde la celda de protección hasta el punto de interconexión a la red del Operador de Red</t>
  </si>
  <si>
    <t>https://drive.google.com/drive/folders/1MhO1h59Q9qXK_vTaK-CIkpbl3K6HpvYJ</t>
  </si>
  <si>
    <t>P00049</t>
  </si>
  <si>
    <t>P00048</t>
  </si>
  <si>
    <t>P00046</t>
  </si>
  <si>
    <t>https://drive.google.com/file/d/1gLijv4GyNTq7jeEBLdmXbZnNpyotSbFJ/view?usp=drive_link</t>
  </si>
  <si>
    <t>Cable Aluminio 1350 0,6 / 1 kV AC  XLPE 90°C PVC</t>
  </si>
  <si>
    <t>IEC 60502-1 / 2021
(NTC 6074-1 / 2023 para calibres AWG/kcmil)
Resolución 40117 De 02 De Abril De 2024 Del Ministerio De Minas Y Energía De
Colombia – RETIE, Artículo 2.3.10 Conductores Y Cables,
Artículo 2.3.10.3 Cables Aislados De Baja Tensión</t>
  </si>
  <si>
    <t>https://drive.google.com/file/d/1bSJh-OYHclKAlLDpCJWZbB3-hFrInfkN/view?usp=drive_link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</si>
</sst>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
    <numFmt numFmtId="165" formatCode="&quot;$&quot;\ #,##0.00"/>
    <numFmt numFmtId="166" formatCode="_(&quot;$&quot;* #,##0.00_);_(&quot;$&quot;* \(#,##0.00\);_(&quot;$&quot;* &quot;-&quot;??_);_(@_)"/>
    <numFmt numFmtId="167" formatCode="[$$-240A]\ #,##0.00"/>
  </numFmts>
  <fonts count="3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Verdana"/>
      <family val="2"/>
    </font>
    <font>
      <b/>
      <sz val="10"/>
      <color theme="1"/>
      <name val="Verdana"/>
      <family val="2"/>
    </font>
    <font>
      <sz val="10"/>
      <color theme="1"/>
      <name val="Verdana"/>
      <family val="2"/>
    </font>
    <font>
      <b/>
      <sz val="10"/>
      <color rgb="FF0070C0"/>
      <name val="Verdana"/>
      <family val="2"/>
    </font>
    <font>
      <b/>
      <sz val="12"/>
      <color theme="1"/>
      <name val="Verdana"/>
      <family val="2"/>
    </font>
    <font>
      <b/>
      <sz val="11"/>
      <color theme="1"/>
      <name val="Calibri"/>
      <family val="2"/>
    </font>
    <font>
      <sz val="11"/>
      <color theme="1"/>
      <name val="Calibri"/>
      <family val="2"/>
    </font>
    <font>
      <u/>
      <sz val="11"/>
      <color rgb="FF800080"/>
      <name val="Calibri"/>
      <family val="2"/>
    </font>
    <font>
      <u/>
      <sz val="11"/>
      <color rgb="FF800080"/>
      <name val="Calibri"/>
      <family val="2"/>
    </font>
    <font>
      <b/>
      <sz val="11"/>
      <color theme="1"/>
      <name val="Verdana"/>
      <family val="2"/>
    </font>
    <font>
      <sz val="12"/>
      <color theme="1"/>
      <name val="Verdana"/>
      <family val="2"/>
    </font>
    <font>
      <i/>
      <sz val="12"/>
      <color rgb="FF7F7F7F"/>
      <name val="Verdana"/>
      <family val="2"/>
    </font>
    <font>
      <sz val="12"/>
      <color rgb="FF000000"/>
      <name val="Verdana"/>
      <family val="2"/>
    </font>
    <font>
      <sz val="12"/>
      <color rgb="FF000000"/>
      <name val="Calibri"/>
      <family val="2"/>
    </font>
    <font>
      <sz val="12"/>
      <color theme="1"/>
      <name val="Calibri"/>
      <family val="2"/>
    </font>
    <font>
      <i/>
      <sz val="12"/>
      <color rgb="FFA5A5A5"/>
      <name val="Verdana"/>
      <family val="2"/>
    </font>
    <font>
      <u/>
      <sz val="11"/>
      <color rgb="FF0000FF"/>
      <name val="Verdana"/>
      <family val="2"/>
    </font>
    <font>
      <u/>
      <sz val="11"/>
      <color rgb="FF0000FF"/>
      <name val="Verdana"/>
      <family val="2"/>
    </font>
    <font>
      <sz val="11"/>
      <color rgb="FF000000"/>
      <name val="Calibri"/>
      <family val="2"/>
    </font>
    <font>
      <sz val="11"/>
      <color theme="1"/>
      <name val="Calibri"/>
      <family val="2"/>
      <scheme val="minor"/>
    </font>
    <font>
      <sz val="11"/>
      <color rgb="FF2E3D0F"/>
      <name val="Arial"/>
      <family val="2"/>
    </font>
    <font>
      <u/>
      <sz val="11"/>
      <color rgb="FF2E3D0F"/>
      <name val="Arial"/>
      <family val="2"/>
    </font>
    <font>
      <sz val="11"/>
      <color rgb="FF000000"/>
      <name val="Arial"/>
      <family val="2"/>
    </font>
    <font>
      <sz val="9"/>
      <color theme="1"/>
      <name val="Calibri"/>
      <family val="2"/>
    </font>
    <font>
      <sz val="10"/>
      <color theme="1"/>
      <name val="Arial"/>
      <family val="2"/>
    </font>
    <font>
      <b/>
      <sz val="13"/>
      <color rgb="FFFFFFFF"/>
      <name val="Arial"/>
      <family val="2"/>
    </font>
    <font>
      <i/>
      <sz val="10"/>
      <color rgb="FF595959"/>
      <name val="Arial"/>
      <family val="2"/>
    </font>
    <font>
      <b/>
      <sz val="11"/>
      <color rgb="FFFFFFFF"/>
      <name val="Arial"/>
      <family val="2"/>
    </font>
    <font>
      <sz val="10"/>
      <name val="Arial"/>
      <family val="2"/>
    </font>
    <font>
      <b/>
      <sz val="12"/>
      <color rgb="FF303030"/>
      <name val="Google Sans Text"/>
    </font>
    <font>
      <sz val="8"/>
      <name val="Calibri"/>
      <family val="2"/>
      <scheme val="minor"/>
    </font>
    <font>
      <sz val="12"/>
      <color theme="1"/>
      <name val="Arial"/>
      <family val="2"/>
    </font>
    <font>
      <sz val="11"/>
      <color theme="1"/>
      <name val="Calibri"/>
    </font>
    <font>
      <u/>
      <sz val="11"/>
      <color theme="10"/>
      <name val="Calibri"/>
      <scheme val="minor"/>
    </font>
  </fonts>
  <fills count="12">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FFFF00"/>
        <bgColor rgb="FFFFFF00"/>
      </patternFill>
    </fill>
    <fill>
      <patternFill patternType="solid">
        <fgColor rgb="FF548DD4"/>
        <bgColor rgb="FF548DD4"/>
      </patternFill>
    </fill>
    <fill>
      <patternFill patternType="solid">
        <fgColor rgb="FFC4BD97"/>
        <bgColor rgb="FFC4BD97"/>
      </patternFill>
    </fill>
    <fill>
      <patternFill patternType="solid">
        <fgColor rgb="FFDBE5F1"/>
        <bgColor rgb="FFDBE5F1"/>
      </patternFill>
    </fill>
    <fill>
      <patternFill patternType="solid">
        <fgColor rgb="FF1F4E78"/>
      </patternFill>
    </fill>
    <fill>
      <patternFill patternType="solid">
        <fgColor rgb="FF305496"/>
      </patternFill>
    </fill>
    <fill>
      <patternFill patternType="solid">
        <fgColor rgb="FFF2F2F2"/>
      </patternFill>
    </fill>
  </fills>
  <borders count="75">
    <border>
      <left/>
      <right/>
      <top/>
      <bottom/>
      <diagonal/>
    </border>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diagonal/>
    </border>
    <border>
      <left style="medium">
        <color rgb="FF000000"/>
      </left>
      <right/>
      <top/>
      <bottom/>
      <diagonal/>
    </border>
    <border>
      <left/>
      <right style="thin">
        <color rgb="FF000000"/>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CCCCCC"/>
      </top>
      <bottom style="medium">
        <color rgb="FFCCCCCC"/>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2">
    <xf numFmtId="0" fontId="0" fillId="0" borderId="0"/>
    <xf numFmtId="0" fontId="38" fillId="0" borderId="0" applyNumberFormat="0" applyFill="0" applyBorder="0" applyAlignment="0" applyProtection="0"/>
  </cellStyleXfs>
  <cellXfs count="273">
    <xf numFmtId="0" fontId="0" fillId="0" borderId="0" xfId="0"/>
    <xf numFmtId="0" fontId="5" fillId="2" borderId="1" xfId="0" applyFont="1" applyFill="1" applyBorder="1"/>
    <xf numFmtId="0" fontId="5" fillId="0" borderId="0" xfId="0" applyFont="1"/>
    <xf numFmtId="0" fontId="11" fillId="0" borderId="4" xfId="0" applyFont="1" applyBorder="1" applyAlignment="1">
      <alignment horizontal="center" vertical="center" wrapText="1"/>
    </xf>
    <xf numFmtId="0" fontId="9" fillId="0" borderId="12" xfId="0" applyFont="1" applyBorder="1" applyAlignment="1">
      <alignment horizontal="center" vertical="center"/>
    </xf>
    <xf numFmtId="0" fontId="5" fillId="0" borderId="0" xfId="0" applyFont="1" applyAlignment="1">
      <alignment wrapText="1"/>
    </xf>
    <xf numFmtId="0" fontId="9" fillId="0" borderId="32" xfId="0" applyFont="1" applyBorder="1" applyAlignment="1">
      <alignment horizontal="center" vertical="center"/>
    </xf>
    <xf numFmtId="0" fontId="9" fillId="0" borderId="14" xfId="0" applyFont="1" applyBorder="1" applyAlignment="1">
      <alignment vertical="center"/>
    </xf>
    <xf numFmtId="0" fontId="5" fillId="0" borderId="27" xfId="0" applyFont="1" applyBorder="1"/>
    <xf numFmtId="0" fontId="5" fillId="0" borderId="28" xfId="0" applyFont="1" applyBorder="1"/>
    <xf numFmtId="0" fontId="5" fillId="0" borderId="30" xfId="0" applyFont="1" applyBorder="1"/>
    <xf numFmtId="0" fontId="5" fillId="0" borderId="31" xfId="0" applyFont="1" applyBorder="1"/>
    <xf numFmtId="0" fontId="5" fillId="0" borderId="26" xfId="0" applyFont="1" applyBorder="1"/>
    <xf numFmtId="0" fontId="5" fillId="0" borderId="34" xfId="0" applyFont="1" applyBorder="1"/>
    <xf numFmtId="0" fontId="5" fillId="0" borderId="38" xfId="0" applyFont="1" applyBorder="1"/>
    <xf numFmtId="0" fontId="5" fillId="0" borderId="2" xfId="0" applyFont="1" applyBorder="1" applyAlignment="1">
      <alignment horizontal="left"/>
    </xf>
    <xf numFmtId="0" fontId="5" fillId="0" borderId="0" xfId="0" applyFont="1" applyAlignment="1">
      <alignment horizontal="left"/>
    </xf>
    <xf numFmtId="0" fontId="5" fillId="0" borderId="29" xfId="0" applyFont="1" applyBorder="1"/>
    <xf numFmtId="0" fontId="5" fillId="4" borderId="1" xfId="0" applyFont="1" applyFill="1" applyBorder="1"/>
    <xf numFmtId="164" fontId="5" fillId="4" borderId="1" xfId="0" applyNumberFormat="1" applyFont="1" applyFill="1" applyBorder="1"/>
    <xf numFmtId="0" fontId="7" fillId="2" borderId="40" xfId="0" applyFont="1" applyFill="1" applyBorder="1" applyAlignment="1">
      <alignment horizontal="left" vertical="center"/>
    </xf>
    <xf numFmtId="0" fontId="6" fillId="0" borderId="0" xfId="0" applyFont="1" applyAlignment="1">
      <alignment vertical="center" wrapText="1"/>
    </xf>
    <xf numFmtId="0" fontId="7" fillId="2" borderId="1" xfId="0" applyFont="1" applyFill="1" applyBorder="1" applyAlignment="1">
      <alignment vertical="top"/>
    </xf>
    <xf numFmtId="0" fontId="7" fillId="2" borderId="43" xfId="0" applyFont="1" applyFill="1" applyBorder="1" applyAlignment="1">
      <alignment horizontal="left" vertical="center"/>
    </xf>
    <xf numFmtId="0" fontId="5" fillId="4" borderId="0" xfId="0" applyFont="1" applyFill="1"/>
    <xf numFmtId="164" fontId="5" fillId="4" borderId="0" xfId="0" applyNumberFormat="1" applyFont="1" applyFill="1"/>
    <xf numFmtId="0" fontId="14" fillId="5" borderId="41" xfId="0" applyFont="1" applyFill="1" applyBorder="1" applyAlignment="1">
      <alignment horizontal="center" vertical="center" wrapText="1"/>
    </xf>
    <xf numFmtId="164" fontId="14" fillId="5" borderId="41" xfId="0" applyNumberFormat="1" applyFont="1" applyFill="1" applyBorder="1" applyAlignment="1">
      <alignment horizontal="center" vertical="center" wrapText="1"/>
    </xf>
    <xf numFmtId="0" fontId="14" fillId="0" borderId="44" xfId="0" applyFont="1" applyBorder="1" applyAlignment="1">
      <alignment horizontal="center" vertical="center" wrapText="1"/>
    </xf>
    <xf numFmtId="0" fontId="5" fillId="0" borderId="41" xfId="0" applyFont="1" applyBorder="1" applyAlignment="1">
      <alignment vertical="center" wrapText="1"/>
    </xf>
    <xf numFmtId="0" fontId="11" fillId="5" borderId="41" xfId="0" applyFont="1" applyFill="1" applyBorder="1" applyAlignment="1">
      <alignment horizontal="center" vertical="center" wrapText="1"/>
    </xf>
    <xf numFmtId="0" fontId="11" fillId="0" borderId="44" xfId="0" applyFont="1" applyBorder="1" applyAlignment="1">
      <alignment wrapText="1"/>
    </xf>
    <xf numFmtId="0" fontId="21" fillId="0" borderId="44" xfId="0" applyFont="1" applyBorder="1" applyAlignment="1">
      <alignment wrapText="1"/>
    </xf>
    <xf numFmtId="0" fontId="5" fillId="5" borderId="41" xfId="0" applyFont="1" applyFill="1" applyBorder="1" applyAlignment="1">
      <alignment horizontal="center" vertical="center" wrapText="1"/>
    </xf>
    <xf numFmtId="0" fontId="11" fillId="0" borderId="41" xfId="0" applyFont="1" applyBorder="1" applyAlignment="1">
      <alignment horizontal="center" vertical="center" wrapText="1"/>
    </xf>
    <xf numFmtId="165" fontId="11" fillId="5" borderId="41" xfId="0" applyNumberFormat="1" applyFont="1" applyFill="1" applyBorder="1" applyAlignment="1">
      <alignment horizontal="center" vertical="center" wrapText="1"/>
    </xf>
    <xf numFmtId="164" fontId="11" fillId="5" borderId="41" xfId="0" applyNumberFormat="1" applyFont="1" applyFill="1" applyBorder="1" applyAlignment="1">
      <alignment horizontal="center" vertical="center" wrapText="1"/>
    </xf>
    <xf numFmtId="0" fontId="11" fillId="0" borderId="44" xfId="0" applyFont="1" applyBorder="1" applyAlignment="1">
      <alignment horizontal="center" vertical="center" wrapText="1"/>
    </xf>
    <xf numFmtId="0" fontId="5" fillId="0" borderId="44" xfId="0" applyFont="1" applyBorder="1" applyAlignment="1">
      <alignment horizontal="left" vertical="center" wrapText="1"/>
    </xf>
    <xf numFmtId="165" fontId="11" fillId="5" borderId="44" xfId="0" applyNumberFormat="1" applyFont="1" applyFill="1" applyBorder="1" applyAlignment="1">
      <alignment horizontal="center" vertical="center" wrapText="1"/>
    </xf>
    <xf numFmtId="0" fontId="11" fillId="0" borderId="44" xfId="0" applyFont="1" applyBorder="1" applyAlignment="1">
      <alignment horizontal="left" vertical="center" wrapText="1"/>
    </xf>
    <xf numFmtId="0" fontId="11" fillId="5" borderId="44" xfId="0" applyFont="1" applyFill="1" applyBorder="1" applyAlignment="1">
      <alignment horizontal="center" vertical="center" wrapText="1"/>
    </xf>
    <xf numFmtId="164" fontId="11" fillId="5" borderId="44" xfId="0" applyNumberFormat="1" applyFont="1" applyFill="1" applyBorder="1" applyAlignment="1">
      <alignment horizontal="center" vertical="center" wrapText="1"/>
    </xf>
    <xf numFmtId="0" fontId="11" fillId="0" borderId="44" xfId="0" applyFont="1" applyBorder="1" applyAlignment="1">
      <alignment vertical="center" wrapText="1"/>
    </xf>
    <xf numFmtId="165" fontId="11" fillId="5" borderId="44" xfId="0" applyNumberFormat="1" applyFont="1" applyFill="1" applyBorder="1" applyAlignment="1">
      <alignment vertical="center" wrapText="1"/>
    </xf>
    <xf numFmtId="164" fontId="11" fillId="5" borderId="44" xfId="0" applyNumberFormat="1" applyFont="1" applyFill="1" applyBorder="1" applyAlignment="1">
      <alignment horizontal="left" vertical="center" wrapText="1"/>
    </xf>
    <xf numFmtId="0" fontId="5" fillId="0" borderId="44" xfId="0" applyFont="1" applyBorder="1" applyAlignment="1">
      <alignment vertical="center" wrapText="1"/>
    </xf>
    <xf numFmtId="0" fontId="5" fillId="5" borderId="44" xfId="0" applyFont="1" applyFill="1" applyBorder="1" applyAlignment="1">
      <alignment horizontal="center" vertical="center" wrapText="1"/>
    </xf>
    <xf numFmtId="0" fontId="11" fillId="5" borderId="44" xfId="0" applyFont="1" applyFill="1" applyBorder="1" applyAlignment="1">
      <alignment vertical="center" wrapText="1"/>
    </xf>
    <xf numFmtId="0" fontId="5" fillId="0" borderId="44" xfId="0" applyFont="1" applyBorder="1"/>
    <xf numFmtId="0" fontId="5" fillId="2" borderId="44" xfId="0" applyFont="1" applyFill="1" applyBorder="1" applyAlignment="1">
      <alignment horizontal="center" vertical="center" wrapText="1"/>
    </xf>
    <xf numFmtId="0" fontId="11" fillId="2" borderId="44" xfId="0" applyFont="1" applyFill="1" applyBorder="1" applyAlignment="1">
      <alignment horizontal="center" vertical="center" wrapText="1"/>
    </xf>
    <xf numFmtId="0" fontId="23" fillId="0" borderId="44" xfId="0" applyFont="1" applyBorder="1" applyAlignment="1">
      <alignment horizontal="center" vertical="center" wrapText="1"/>
    </xf>
    <xf numFmtId="0" fontId="5" fillId="4" borderId="44" xfId="0" applyFont="1" applyFill="1" applyBorder="1" applyAlignment="1">
      <alignment horizontal="center" vertical="center" wrapText="1"/>
    </xf>
    <xf numFmtId="0" fontId="5" fillId="0" borderId="44" xfId="0" applyFont="1" applyBorder="1" applyAlignment="1">
      <alignment horizontal="center" vertical="center" wrapText="1"/>
    </xf>
    <xf numFmtId="165" fontId="11" fillId="5" borderId="44" xfId="0" applyNumberFormat="1" applyFont="1" applyFill="1" applyBorder="1" applyAlignment="1">
      <alignment horizontal="center" vertical="center"/>
    </xf>
    <xf numFmtId="164" fontId="11" fillId="5" borderId="44" xfId="0" applyNumberFormat="1" applyFont="1" applyFill="1" applyBorder="1" applyAlignment="1">
      <alignment horizontal="center" vertical="center"/>
    </xf>
    <xf numFmtId="0" fontId="5" fillId="5" borderId="0" xfId="0" applyFont="1" applyFill="1"/>
    <xf numFmtId="164" fontId="5" fillId="5" borderId="0" xfId="0" applyNumberFormat="1" applyFont="1" applyFill="1"/>
    <xf numFmtId="0" fontId="24" fillId="4" borderId="0" xfId="0" applyFont="1" applyFill="1"/>
    <xf numFmtId="0" fontId="24" fillId="5" borderId="0" xfId="0" applyFont="1" applyFill="1"/>
    <xf numFmtId="164" fontId="11" fillId="5" borderId="0" xfId="0" applyNumberFormat="1" applyFont="1" applyFill="1"/>
    <xf numFmtId="0" fontId="7" fillId="2" borderId="44" xfId="0" applyFont="1" applyFill="1" applyBorder="1" applyAlignment="1">
      <alignment horizontal="left" vertical="center"/>
    </xf>
    <xf numFmtId="0" fontId="14" fillId="0" borderId="45"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47" xfId="0" applyFont="1" applyBorder="1" applyAlignment="1">
      <alignment horizontal="center" vertical="center" wrapText="1"/>
    </xf>
    <xf numFmtId="0" fontId="14" fillId="0" borderId="48" xfId="0" applyFont="1" applyBorder="1" applyAlignment="1">
      <alignment horizontal="center" vertical="center" wrapText="1"/>
    </xf>
    <xf numFmtId="0" fontId="11" fillId="0" borderId="49" xfId="0" applyFont="1" applyBorder="1" applyAlignment="1">
      <alignment horizontal="center" vertical="center" wrapText="1"/>
    </xf>
    <xf numFmtId="0" fontId="11" fillId="0" borderId="50" xfId="0" applyFont="1" applyBorder="1" applyAlignment="1">
      <alignment horizontal="center" vertical="center" wrapText="1"/>
    </xf>
    <xf numFmtId="0" fontId="11" fillId="0" borderId="37" xfId="0" applyFont="1" applyBorder="1" applyAlignment="1">
      <alignment horizontal="center" vertical="center" wrapText="1"/>
    </xf>
    <xf numFmtId="166" fontId="11" fillId="0" borderId="44" xfId="0" applyNumberFormat="1" applyFont="1" applyBorder="1" applyAlignment="1">
      <alignment horizontal="center" vertical="center" wrapText="1"/>
    </xf>
    <xf numFmtId="166" fontId="11" fillId="0" borderId="51" xfId="0" applyNumberFormat="1" applyFont="1" applyBorder="1" applyAlignment="1">
      <alignment horizontal="center" vertical="center" wrapText="1"/>
    </xf>
    <xf numFmtId="0" fontId="11" fillId="0" borderId="52" xfId="0" applyFont="1" applyBorder="1" applyAlignment="1">
      <alignment horizontal="center" vertical="center" wrapText="1"/>
    </xf>
    <xf numFmtId="0" fontId="5" fillId="0" borderId="52" xfId="0" applyFont="1" applyBorder="1" applyAlignment="1">
      <alignment horizontal="center" vertical="center" wrapText="1"/>
    </xf>
    <xf numFmtId="0" fontId="25" fillId="4" borderId="44" xfId="0" applyFont="1" applyFill="1" applyBorder="1" applyAlignment="1">
      <alignment horizontal="center" wrapText="1"/>
    </xf>
    <xf numFmtId="0" fontId="23" fillId="4" borderId="44" xfId="0" applyFont="1" applyFill="1" applyBorder="1" applyAlignment="1">
      <alignment horizontal="center" wrapText="1"/>
    </xf>
    <xf numFmtId="4" fontId="25" fillId="4" borderId="44" xfId="0" applyNumberFormat="1" applyFont="1" applyFill="1" applyBorder="1" applyAlignment="1">
      <alignment horizontal="center" wrapText="1"/>
    </xf>
    <xf numFmtId="0" fontId="26" fillId="4" borderId="44" xfId="0" applyFont="1" applyFill="1" applyBorder="1" applyAlignment="1">
      <alignment horizontal="center" wrapText="1"/>
    </xf>
    <xf numFmtId="0" fontId="27" fillId="4" borderId="44" xfId="0" applyFont="1" applyFill="1" applyBorder="1" applyAlignment="1">
      <alignment horizontal="center" wrapText="1"/>
    </xf>
    <xf numFmtId="4" fontId="27" fillId="4" borderId="44" xfId="0" applyNumberFormat="1" applyFont="1" applyFill="1" applyBorder="1" applyAlignment="1">
      <alignment horizontal="center" wrapText="1"/>
    </xf>
    <xf numFmtId="0" fontId="5" fillId="0" borderId="53" xfId="0" applyFont="1" applyBorder="1" applyAlignment="1">
      <alignment horizontal="center" vertical="center" wrapText="1"/>
    </xf>
    <xf numFmtId="4" fontId="14" fillId="0" borderId="41" xfId="0" applyNumberFormat="1" applyFont="1" applyBorder="1" applyAlignment="1">
      <alignment horizontal="center" vertical="center" wrapText="1"/>
    </xf>
    <xf numFmtId="4" fontId="14" fillId="0" borderId="54" xfId="0" applyNumberFormat="1" applyFont="1" applyBorder="1" applyAlignment="1">
      <alignment horizontal="center" vertical="center" wrapText="1"/>
    </xf>
    <xf numFmtId="4" fontId="14" fillId="0" borderId="44" xfId="0" applyNumberFormat="1" applyFont="1" applyBorder="1" applyAlignment="1">
      <alignment horizontal="center" vertical="center" wrapText="1"/>
    </xf>
    <xf numFmtId="0" fontId="5" fillId="0" borderId="55" xfId="0" applyFont="1" applyBorder="1" applyAlignment="1">
      <alignment horizontal="center" vertical="center" wrapText="1"/>
    </xf>
    <xf numFmtId="0" fontId="14" fillId="0" borderId="42" xfId="0" applyFont="1" applyBorder="1" applyAlignment="1">
      <alignment horizontal="center" vertical="center" wrapText="1"/>
    </xf>
    <xf numFmtId="4" fontId="14" fillId="0" borderId="42" xfId="0" applyNumberFormat="1" applyFont="1" applyBorder="1" applyAlignment="1">
      <alignment horizontal="center" vertical="center" wrapText="1"/>
    </xf>
    <xf numFmtId="4" fontId="14" fillId="0" borderId="56" xfId="0" applyNumberFormat="1" applyFont="1" applyBorder="1" applyAlignment="1">
      <alignment horizontal="center" vertical="center" wrapText="1"/>
    </xf>
    <xf numFmtId="4" fontId="14" fillId="0" borderId="51" xfId="0" applyNumberFormat="1" applyFont="1" applyBorder="1" applyAlignment="1">
      <alignment horizontal="center" vertical="center" wrapText="1"/>
    </xf>
    <xf numFmtId="0" fontId="5" fillId="0" borderId="57" xfId="0" applyFont="1" applyBorder="1" applyAlignment="1">
      <alignment horizontal="center" vertical="center" wrapText="1"/>
    </xf>
    <xf numFmtId="0" fontId="14" fillId="0" borderId="58" xfId="0" applyFont="1" applyBorder="1" applyAlignment="1">
      <alignment horizontal="center" vertical="center" wrapText="1"/>
    </xf>
    <xf numFmtId="4" fontId="14" fillId="0" borderId="58" xfId="0" applyNumberFormat="1" applyFont="1" applyBorder="1" applyAlignment="1">
      <alignment horizontal="center" vertical="center" wrapText="1"/>
    </xf>
    <xf numFmtId="4" fontId="14" fillId="0" borderId="59" xfId="0" applyNumberFormat="1" applyFont="1" applyBorder="1" applyAlignment="1">
      <alignment horizontal="center" vertical="center" wrapText="1"/>
    </xf>
    <xf numFmtId="0" fontId="24" fillId="0" borderId="0" xfId="0" applyFont="1"/>
    <xf numFmtId="0" fontId="11" fillId="6" borderId="44" xfId="0" applyFont="1" applyFill="1" applyBorder="1" applyAlignment="1">
      <alignment horizontal="center"/>
    </xf>
    <xf numFmtId="0" fontId="11" fillId="0" borderId="44" xfId="0" applyFont="1" applyBorder="1" applyAlignment="1">
      <alignment horizontal="center"/>
    </xf>
    <xf numFmtId="0" fontId="11" fillId="2" borderId="44" xfId="0" applyFont="1" applyFill="1" applyBorder="1" applyAlignment="1">
      <alignment horizontal="center"/>
    </xf>
    <xf numFmtId="0" fontId="11" fillId="0" borderId="0" xfId="0" applyFont="1" applyAlignment="1">
      <alignment horizontal="center"/>
    </xf>
    <xf numFmtId="0" fontId="11" fillId="0" borderId="44" xfId="0" applyFont="1" applyBorder="1" applyAlignment="1">
      <alignment horizontal="left"/>
    </xf>
    <xf numFmtId="0" fontId="11" fillId="0" borderId="0" xfId="0" applyFont="1"/>
    <xf numFmtId="0" fontId="11" fillId="0" borderId="44" xfId="0" applyFont="1" applyBorder="1" applyAlignment="1">
      <alignment horizontal="center" wrapText="1"/>
    </xf>
    <xf numFmtId="0" fontId="11" fillId="7" borderId="1" xfId="0" applyFont="1" applyFill="1" applyBorder="1"/>
    <xf numFmtId="0" fontId="11" fillId="8" borderId="44" xfId="0" applyFont="1" applyFill="1" applyBorder="1" applyAlignment="1">
      <alignment horizontal="center"/>
    </xf>
    <xf numFmtId="0" fontId="28" fillId="0" borderId="44" xfId="0" applyFont="1" applyBorder="1"/>
    <xf numFmtId="0" fontId="28" fillId="2" borderId="44" xfId="0" applyFont="1" applyFill="1" applyBorder="1" applyAlignment="1">
      <alignment vertical="top"/>
    </xf>
    <xf numFmtId="0" fontId="11" fillId="0" borderId="0" xfId="0" applyFont="1" applyAlignment="1">
      <alignment wrapText="1"/>
    </xf>
    <xf numFmtId="0" fontId="29" fillId="2" borderId="44" xfId="0" applyFont="1" applyFill="1" applyBorder="1" applyAlignment="1">
      <alignment vertical="top"/>
    </xf>
    <xf numFmtId="0" fontId="29" fillId="0" borderId="0" xfId="0" applyFont="1"/>
    <xf numFmtId="0" fontId="10" fillId="0" borderId="0" xfId="0" applyFont="1"/>
    <xf numFmtId="0" fontId="14" fillId="0" borderId="41" xfId="0" applyFont="1" applyBorder="1" applyAlignment="1">
      <alignment horizontal="center" vertical="center" wrapText="1"/>
    </xf>
    <xf numFmtId="0" fontId="22" fillId="0" borderId="44" xfId="0" applyFont="1" applyBorder="1" applyAlignment="1">
      <alignment horizontal="center" vertical="center" wrapText="1"/>
    </xf>
    <xf numFmtId="0" fontId="32" fillId="10" borderId="70" xfId="0" applyFont="1" applyFill="1" applyBorder="1" applyAlignment="1">
      <alignment horizontal="center" vertical="center" wrapText="1"/>
    </xf>
    <xf numFmtId="0" fontId="33" fillId="0" borderId="70" xfId="0" applyFont="1" applyBorder="1" applyAlignment="1">
      <alignment horizontal="center" vertical="center" wrapText="1"/>
    </xf>
    <xf numFmtId="0" fontId="33" fillId="0" borderId="70" xfId="0" applyFont="1" applyBorder="1" applyAlignment="1">
      <alignment vertical="center" wrapText="1"/>
    </xf>
    <xf numFmtId="0" fontId="33" fillId="11" borderId="70" xfId="0" applyFont="1" applyFill="1" applyBorder="1" applyAlignment="1">
      <alignment horizontal="center" vertical="center" wrapText="1"/>
    </xf>
    <xf numFmtId="0" fontId="33" fillId="11" borderId="70" xfId="0" applyFont="1" applyFill="1" applyBorder="1" applyAlignment="1">
      <alignment vertical="center" wrapText="1"/>
    </xf>
    <xf numFmtId="0" fontId="11" fillId="0" borderId="70" xfId="0" applyFont="1" applyBorder="1" applyAlignment="1">
      <alignment vertical="center" wrapText="1"/>
    </xf>
    <xf numFmtId="0" fontId="11" fillId="5" borderId="70" xfId="0" applyFont="1" applyFill="1" applyBorder="1" applyAlignment="1">
      <alignment horizontal="center" vertical="center" wrapText="1"/>
    </xf>
    <xf numFmtId="0" fontId="11" fillId="0" borderId="70" xfId="0" applyFont="1" applyBorder="1" applyAlignment="1">
      <alignment horizontal="center" vertical="center" wrapText="1"/>
    </xf>
    <xf numFmtId="0" fontId="11" fillId="5" borderId="70" xfId="0" applyFont="1" applyFill="1" applyBorder="1" applyAlignment="1">
      <alignment vertical="center" wrapText="1"/>
    </xf>
    <xf numFmtId="0" fontId="22" fillId="0" borderId="70" xfId="0" applyFont="1" applyBorder="1" applyAlignment="1">
      <alignment horizontal="center" vertical="center" wrapText="1"/>
    </xf>
    <xf numFmtId="0" fontId="5" fillId="0" borderId="70" xfId="0" applyFont="1" applyBorder="1"/>
    <xf numFmtId="0" fontId="34" fillId="0" borderId="0" xfId="0" applyFont="1" applyAlignment="1">
      <alignment horizontal="center" vertical="center" wrapText="1"/>
    </xf>
    <xf numFmtId="0" fontId="5"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5" fillId="0" borderId="6" xfId="0" applyFont="1" applyBorder="1" applyAlignment="1">
      <alignment horizontal="center" vertical="center" wrapText="1"/>
    </xf>
    <xf numFmtId="0" fontId="5" fillId="0" borderId="43" xfId="0" applyFont="1" applyBorder="1" applyAlignment="1">
      <alignment horizontal="center" vertical="center" wrapText="1"/>
    </xf>
    <xf numFmtId="0" fontId="34" fillId="0" borderId="71" xfId="0" applyFont="1" applyBorder="1" applyAlignment="1">
      <alignment horizontal="center" vertical="center" wrapText="1"/>
    </xf>
    <xf numFmtId="0" fontId="11" fillId="0" borderId="71" xfId="0" applyFont="1" applyBorder="1" applyAlignment="1">
      <alignment horizontal="center" vertical="center" wrapText="1"/>
    </xf>
    <xf numFmtId="0" fontId="5" fillId="0" borderId="71" xfId="0" applyFont="1" applyBorder="1" applyAlignment="1">
      <alignment horizontal="center" vertical="center" wrapText="1"/>
    </xf>
    <xf numFmtId="0" fontId="4" fillId="0" borderId="72" xfId="0" applyFont="1" applyBorder="1" applyAlignment="1">
      <alignment horizontal="center" vertical="center" wrapText="1"/>
    </xf>
    <xf numFmtId="0" fontId="5" fillId="0" borderId="71" xfId="0" applyFont="1" applyBorder="1" applyAlignment="1" applyProtection="1">
      <alignment horizontal="left" vertical="center" wrapText="1"/>
      <protection locked="0"/>
    </xf>
    <xf numFmtId="0" fontId="5" fillId="0" borderId="71" xfId="0" applyFont="1" applyBorder="1" applyAlignment="1" applyProtection="1">
      <alignment horizontal="center" vertical="center" wrapText="1"/>
      <protection locked="0"/>
    </xf>
    <xf numFmtId="4" fontId="5" fillId="0" borderId="71" xfId="0" applyNumberFormat="1" applyFont="1" applyBorder="1" applyAlignment="1" applyProtection="1">
      <alignment horizontal="center" vertical="center" wrapText="1"/>
      <protection locked="0"/>
    </xf>
    <xf numFmtId="0" fontId="5" fillId="0" borderId="73" xfId="0" applyFont="1" applyBorder="1" applyAlignment="1" applyProtection="1">
      <alignment horizontal="center" vertical="center" wrapText="1"/>
      <protection locked="0"/>
    </xf>
    <xf numFmtId="0" fontId="3" fillId="0" borderId="0" xfId="0" applyFont="1"/>
    <xf numFmtId="0" fontId="11" fillId="0" borderId="18" xfId="0" applyFont="1" applyBorder="1" applyAlignment="1">
      <alignment horizontal="center" vertical="center" wrapText="1"/>
    </xf>
    <xf numFmtId="4" fontId="11" fillId="5" borderId="6" xfId="0" applyNumberFormat="1" applyFont="1" applyFill="1" applyBorder="1" applyAlignment="1">
      <alignment horizontal="center" vertical="center" wrapText="1"/>
    </xf>
    <xf numFmtId="4" fontId="11" fillId="5" borderId="25" xfId="0" applyNumberFormat="1" applyFont="1" applyFill="1" applyBorder="1" applyAlignment="1">
      <alignment horizontal="center" vertical="center" wrapText="1"/>
    </xf>
    <xf numFmtId="0" fontId="5" fillId="0" borderId="4" xfId="0" applyFont="1" applyBorder="1"/>
    <xf numFmtId="0" fontId="5" fillId="0" borderId="41" xfId="0" applyFont="1" applyBorder="1"/>
    <xf numFmtId="0" fontId="5" fillId="0" borderId="43" xfId="0" applyFont="1" applyBorder="1"/>
    <xf numFmtId="0" fontId="5" fillId="0" borderId="71" xfId="0" applyFont="1" applyBorder="1"/>
    <xf numFmtId="0" fontId="2" fillId="0" borderId="71" xfId="0" applyFont="1" applyBorder="1"/>
    <xf numFmtId="0" fontId="36" fillId="0" borderId="0" xfId="0" applyFont="1"/>
    <xf numFmtId="0" fontId="5" fillId="0" borderId="44" xfId="0" applyFont="1" applyBorder="1" applyAlignment="1">
      <alignment wrapText="1"/>
    </xf>
    <xf numFmtId="0" fontId="37" fillId="0" borderId="6" xfId="0" applyFont="1" applyBorder="1" applyAlignment="1">
      <alignment horizontal="center" vertical="center" wrapText="1"/>
    </xf>
    <xf numFmtId="0" fontId="37" fillId="0" borderId="70" xfId="0" applyFont="1" applyBorder="1" applyAlignment="1">
      <alignment horizontal="center" vertical="center" wrapText="1"/>
    </xf>
    <xf numFmtId="0" fontId="37" fillId="5" borderId="70" xfId="0" applyFont="1" applyFill="1" applyBorder="1" applyAlignment="1">
      <alignment horizontal="center" vertical="center" wrapText="1"/>
    </xf>
    <xf numFmtId="0" fontId="37" fillId="0" borderId="11" xfId="0" applyFont="1" applyBorder="1" applyAlignment="1">
      <alignment horizontal="center" vertical="center" wrapText="1"/>
    </xf>
    <xf numFmtId="4" fontId="37" fillId="5" borderId="6" xfId="0" applyNumberFormat="1" applyFont="1" applyFill="1" applyBorder="1" applyAlignment="1">
      <alignment horizontal="center" vertical="center" wrapText="1"/>
    </xf>
    <xf numFmtId="167" fontId="37" fillId="5" borderId="51" xfId="0" applyNumberFormat="1" applyFont="1" applyFill="1" applyBorder="1" applyAlignment="1">
      <alignment horizontal="center" vertical="center" wrapText="1"/>
    </xf>
    <xf numFmtId="0" fontId="0" fillId="0" borderId="74" xfId="0" applyBorder="1"/>
    <xf numFmtId="0" fontId="1" fillId="0" borderId="74" xfId="0" applyFont="1" applyBorder="1"/>
    <xf numFmtId="0" fontId="38" fillId="0" borderId="44" xfId="1" applyBorder="1" applyAlignment="1">
      <alignment horizontal="center" vertical="center" wrapText="1"/>
    </xf>
    <xf numFmtId="0" fontId="38" fillId="0" borderId="0" xfId="1"/>
    <xf numFmtId="0" fontId="5" fillId="4" borderId="44" xfId="0" applyFont="1" applyFill="1" applyBorder="1" applyAlignment="1">
      <alignment horizontal="center"/>
    </xf>
    <xf numFmtId="0" fontId="0" fillId="0" borderId="3" xfId="0" applyBorder="1"/>
    <xf numFmtId="0" fontId="0" fillId="0" borderId="7" xfId="0" applyBorder="1"/>
    <xf numFmtId="0" fontId="0" fillId="0" borderId="8" xfId="0" applyBorder="1"/>
    <xf numFmtId="0" fontId="0" fillId="0" borderId="9" xfId="0" applyBorder="1"/>
    <xf numFmtId="0" fontId="0" fillId="0" borderId="11" xfId="0" applyBorder="1"/>
    <xf numFmtId="0" fontId="7" fillId="2" borderId="44" xfId="0" applyFont="1" applyFill="1" applyBorder="1" applyAlignment="1">
      <alignment horizontal="left" vertical="center"/>
    </xf>
    <xf numFmtId="0" fontId="0" fillId="0" borderId="42" xfId="0" applyBorder="1"/>
    <xf numFmtId="0" fontId="9" fillId="4" borderId="69" xfId="0" applyFont="1" applyFill="1" applyBorder="1" applyAlignment="1">
      <alignment horizontal="center" vertical="center" wrapText="1"/>
    </xf>
    <xf numFmtId="0" fontId="0" fillId="0" borderId="27" xfId="0" applyBorder="1"/>
    <xf numFmtId="0" fontId="0" fillId="0" borderId="28" xfId="0" applyBorder="1"/>
    <xf numFmtId="0" fontId="6" fillId="0" borderId="44" xfId="0" applyFont="1" applyBorder="1" applyAlignment="1">
      <alignment horizontal="center" vertical="center" wrapText="1"/>
    </xf>
    <xf numFmtId="0" fontId="0" fillId="0" borderId="2" xfId="0" applyBorder="1"/>
    <xf numFmtId="0" fontId="0" fillId="0" borderId="0" xfId="0"/>
    <xf numFmtId="0" fontId="0" fillId="0" borderId="10" xfId="0" applyBorder="1"/>
    <xf numFmtId="0" fontId="8" fillId="2" borderId="1" xfId="0" applyFont="1" applyFill="1" applyBorder="1" applyAlignment="1">
      <alignment horizontal="center"/>
    </xf>
    <xf numFmtId="0" fontId="5" fillId="0" borderId="62" xfId="0" applyFont="1" applyBorder="1" applyAlignment="1">
      <alignment horizontal="center"/>
    </xf>
    <xf numFmtId="0" fontId="0" fillId="0" borderId="30" xfId="0" applyBorder="1"/>
    <xf numFmtId="0" fontId="0" fillId="0" borderId="35" xfId="0" applyBorder="1"/>
    <xf numFmtId="0" fontId="5" fillId="0" borderId="64" xfId="0" applyFont="1" applyBorder="1" applyAlignment="1">
      <alignment horizontal="center" vertical="center" wrapText="1"/>
    </xf>
    <xf numFmtId="0" fontId="0" fillId="0" borderId="21" xfId="0" applyBorder="1"/>
    <xf numFmtId="0" fontId="0" fillId="0" borderId="23" xfId="0" applyBorder="1"/>
    <xf numFmtId="0" fontId="14" fillId="0" borderId="34" xfId="0" applyFont="1" applyBorder="1" applyAlignment="1">
      <alignment horizontal="left"/>
    </xf>
    <xf numFmtId="0" fontId="9" fillId="0" borderId="12" xfId="0" applyFont="1" applyBorder="1" applyAlignment="1">
      <alignment horizontal="center" vertical="center"/>
    </xf>
    <xf numFmtId="0" fontId="0" fillId="0" borderId="13" xfId="0" applyBorder="1"/>
    <xf numFmtId="0" fontId="5" fillId="0" borderId="51" xfId="0" applyFont="1" applyBorder="1" applyAlignment="1">
      <alignment horizontal="center"/>
    </xf>
    <xf numFmtId="0" fontId="0" fillId="0" borderId="5" xfId="0" applyBorder="1"/>
    <xf numFmtId="0" fontId="0" fillId="0" borderId="19" xfId="0" applyBorder="1"/>
    <xf numFmtId="0" fontId="11" fillId="0" borderId="18" xfId="0" applyFont="1" applyBorder="1" applyAlignment="1">
      <alignment horizontal="left" vertical="center"/>
    </xf>
    <xf numFmtId="0" fontId="12" fillId="0" borderId="59" xfId="0" applyFont="1" applyBorder="1" applyAlignment="1">
      <alignment horizontal="center" wrapText="1"/>
    </xf>
    <xf numFmtId="0" fontId="11" fillId="0" borderId="51" xfId="0" applyFont="1" applyBorder="1" applyAlignment="1">
      <alignment horizontal="center" wrapText="1" readingOrder="1"/>
    </xf>
    <xf numFmtId="0" fontId="11" fillId="0" borderId="52" xfId="0" applyFont="1" applyBorder="1" applyAlignment="1">
      <alignment horizontal="left" vertical="center"/>
    </xf>
    <xf numFmtId="0" fontId="0" fillId="0" borderId="6" xfId="0" applyBorder="1"/>
    <xf numFmtId="0" fontId="11" fillId="0" borderId="56" xfId="0" applyFont="1" applyBorder="1" applyAlignment="1">
      <alignment horizontal="center"/>
    </xf>
    <xf numFmtId="0" fontId="0" fillId="0" borderId="25" xfId="0" applyBorder="1"/>
    <xf numFmtId="0" fontId="11" fillId="0" borderId="52" xfId="0" applyFont="1" applyBorder="1" applyAlignment="1">
      <alignment horizontal="left"/>
    </xf>
    <xf numFmtId="0" fontId="11" fillId="0" borderId="18" xfId="0" applyFont="1" applyBorder="1" applyAlignment="1">
      <alignment horizontal="left"/>
    </xf>
    <xf numFmtId="0" fontId="11" fillId="0" borderId="20" xfId="0" applyFont="1" applyBorder="1" applyAlignment="1">
      <alignment horizontal="left"/>
    </xf>
    <xf numFmtId="0" fontId="9" fillId="3" borderId="32" xfId="0" applyFont="1" applyFill="1" applyBorder="1" applyAlignment="1">
      <alignment horizontal="center" vertical="center"/>
    </xf>
    <xf numFmtId="0" fontId="0" fillId="0" borderId="14" xfId="0" applyBorder="1"/>
    <xf numFmtId="164" fontId="5" fillId="0" borderId="63" xfId="0" applyNumberFormat="1" applyFont="1" applyBorder="1" applyAlignment="1">
      <alignment horizontal="center" vertical="center"/>
    </xf>
    <xf numFmtId="0" fontId="0" fillId="0" borderId="15" xfId="0" applyBorder="1"/>
    <xf numFmtId="0" fontId="0" fillId="0" borderId="16" xfId="0" applyBorder="1"/>
    <xf numFmtId="0" fontId="5" fillId="0" borderId="61" xfId="0" applyFont="1" applyBorder="1" applyAlignment="1">
      <alignment horizontal="center"/>
    </xf>
    <xf numFmtId="0" fontId="0" fillId="0" borderId="33" xfId="0" applyBorder="1"/>
    <xf numFmtId="0" fontId="11" fillId="0" borderId="24" xfId="0" applyFont="1" applyBorder="1" applyAlignment="1">
      <alignment horizontal="left"/>
    </xf>
    <xf numFmtId="0" fontId="11" fillId="0" borderId="51" xfId="0" applyFont="1" applyBorder="1" applyAlignment="1">
      <alignment horizontal="center"/>
    </xf>
    <xf numFmtId="0" fontId="5" fillId="0" borderId="44" xfId="0" applyFont="1" applyBorder="1" applyAlignment="1">
      <alignment horizontal="center" wrapText="1"/>
    </xf>
    <xf numFmtId="0" fontId="11" fillId="0" borderId="67" xfId="0" applyFont="1" applyBorder="1" applyAlignment="1">
      <alignment horizontal="left" vertical="center"/>
    </xf>
    <xf numFmtId="0" fontId="13" fillId="0" borderId="59" xfId="0" applyFont="1" applyBorder="1" applyAlignment="1">
      <alignment horizontal="center"/>
    </xf>
    <xf numFmtId="0" fontId="10" fillId="0" borderId="65" xfId="0" applyFont="1" applyBorder="1" applyAlignment="1">
      <alignment horizontal="left"/>
    </xf>
    <xf numFmtId="0" fontId="11" fillId="0" borderId="51" xfId="0" applyFont="1" applyBorder="1" applyAlignment="1">
      <alignment horizontal="center" vertical="center" wrapText="1" readingOrder="1"/>
    </xf>
    <xf numFmtId="0" fontId="9" fillId="0" borderId="32" xfId="0" applyFont="1" applyBorder="1" applyAlignment="1">
      <alignment horizontal="center" vertical="center" wrapText="1"/>
    </xf>
    <xf numFmtId="0" fontId="11" fillId="0" borderId="51" xfId="0" applyFont="1" applyBorder="1" applyAlignment="1">
      <alignment horizontal="center" wrapText="1"/>
    </xf>
    <xf numFmtId="0" fontId="11" fillId="0" borderId="18" xfId="0" applyFont="1" applyBorder="1" applyAlignment="1">
      <alignment horizontal="left" vertical="center" wrapText="1"/>
    </xf>
    <xf numFmtId="0" fontId="5" fillId="0" borderId="44" xfId="0" applyFont="1" applyBorder="1" applyAlignment="1">
      <alignment horizontal="center"/>
    </xf>
    <xf numFmtId="0" fontId="11" fillId="0" borderId="66" xfId="0" applyFont="1" applyBorder="1" applyAlignment="1">
      <alignment horizontal="left" vertical="center"/>
    </xf>
    <xf numFmtId="0" fontId="0" fillId="0" borderId="17" xfId="0" applyBorder="1"/>
    <xf numFmtId="0" fontId="5" fillId="0" borderId="0" xfId="0" applyFont="1" applyAlignment="1">
      <alignment horizontal="center"/>
    </xf>
    <xf numFmtId="0" fontId="11" fillId="0" borderId="57" xfId="0" applyFont="1" applyBorder="1" applyAlignment="1">
      <alignment horizontal="left"/>
    </xf>
    <xf numFmtId="0" fontId="0" fillId="0" borderId="22" xfId="0" applyBorder="1"/>
    <xf numFmtId="0" fontId="6" fillId="0" borderId="6" xfId="0" applyFont="1" applyBorder="1" applyAlignment="1">
      <alignment horizontal="center" vertical="center" wrapText="1"/>
    </xf>
    <xf numFmtId="0" fontId="9" fillId="0" borderId="32" xfId="0" applyFont="1" applyBorder="1" applyAlignment="1">
      <alignment horizontal="left" vertical="center" wrapText="1"/>
    </xf>
    <xf numFmtId="0" fontId="11" fillId="0" borderId="55" xfId="0" applyFont="1" applyBorder="1" applyAlignment="1">
      <alignment horizontal="left"/>
    </xf>
    <xf numFmtId="0" fontId="9" fillId="3" borderId="60" xfId="0" applyFont="1" applyFill="1" applyBorder="1" applyAlignment="1">
      <alignment horizontal="center" vertical="center"/>
    </xf>
    <xf numFmtId="0" fontId="14" fillId="0" borderId="49" xfId="0" applyFont="1" applyBorder="1" applyAlignment="1">
      <alignment horizontal="center" vertical="center"/>
    </xf>
    <xf numFmtId="0" fontId="0" fillId="0" borderId="36" xfId="0" applyBorder="1"/>
    <xf numFmtId="0" fontId="9" fillId="0" borderId="14" xfId="0" applyFont="1" applyBorder="1" applyAlignment="1">
      <alignment horizontal="center" vertical="center" wrapText="1"/>
    </xf>
    <xf numFmtId="0" fontId="9" fillId="0" borderId="32" xfId="0" applyFont="1" applyBorder="1" applyAlignment="1">
      <alignment horizontal="center" vertical="center"/>
    </xf>
    <xf numFmtId="49" fontId="9" fillId="0" borderId="32" xfId="0" applyNumberFormat="1" applyFont="1" applyBorder="1" applyAlignment="1">
      <alignment horizontal="center" vertical="center"/>
    </xf>
    <xf numFmtId="0" fontId="0" fillId="0" borderId="29" xfId="0" applyBorder="1"/>
    <xf numFmtId="0" fontId="0" fillId="0" borderId="31" xfId="0" applyBorder="1"/>
    <xf numFmtId="37" fontId="5" fillId="0" borderId="63" xfId="0" applyNumberFormat="1" applyFont="1" applyBorder="1" applyAlignment="1">
      <alignment horizontal="center" vertical="center"/>
    </xf>
    <xf numFmtId="0" fontId="5" fillId="0" borderId="27" xfId="0" applyFont="1" applyBorder="1" applyAlignment="1">
      <alignment horizontal="center"/>
    </xf>
    <xf numFmtId="0" fontId="15" fillId="0" borderId="51" xfId="0" applyFont="1" applyBorder="1" applyAlignment="1">
      <alignment horizontal="center" vertical="center"/>
    </xf>
    <xf numFmtId="0" fontId="10" fillId="3" borderId="32" xfId="0" applyFont="1" applyFill="1" applyBorder="1" applyAlignment="1">
      <alignment horizontal="center"/>
    </xf>
    <xf numFmtId="0" fontId="14" fillId="0" borderId="7" xfId="0" applyFont="1" applyBorder="1" applyAlignment="1">
      <alignment horizontal="left"/>
    </xf>
    <xf numFmtId="0" fontId="11" fillId="0" borderId="51" xfId="0" applyFont="1" applyBorder="1" applyAlignment="1">
      <alignment horizontal="center" vertical="center" wrapText="1"/>
    </xf>
    <xf numFmtId="0" fontId="9" fillId="3" borderId="32" xfId="0" applyFont="1" applyFill="1" applyBorder="1" applyAlignment="1">
      <alignment horizontal="center"/>
    </xf>
    <xf numFmtId="4" fontId="15" fillId="0" borderId="67" xfId="0" applyNumberFormat="1" applyFont="1" applyBorder="1" applyAlignment="1">
      <alignment horizontal="center" vertical="center" wrapText="1"/>
    </xf>
    <xf numFmtId="0" fontId="16" fillId="0" borderId="32" xfId="0" applyFont="1" applyBorder="1" applyAlignment="1">
      <alignment horizontal="center" vertical="center" wrapText="1"/>
    </xf>
    <xf numFmtId="0" fontId="15" fillId="0" borderId="32" xfId="0" applyFont="1" applyBorder="1" applyAlignment="1">
      <alignment horizontal="left"/>
    </xf>
    <xf numFmtId="0" fontId="20" fillId="0" borderId="64" xfId="0" applyFont="1" applyBorder="1" applyAlignment="1">
      <alignment horizontal="center" vertical="center" wrapText="1"/>
    </xf>
    <xf numFmtId="0" fontId="18" fillId="0" borderId="32" xfId="0" applyFont="1" applyBorder="1" applyAlignment="1">
      <alignment horizontal="center" vertical="center" wrapText="1"/>
    </xf>
    <xf numFmtId="0" fontId="15" fillId="0" borderId="45" xfId="0" applyFont="1" applyBorder="1" applyAlignment="1">
      <alignment vertical="center"/>
    </xf>
    <xf numFmtId="0" fontId="0" fillId="0" borderId="34" xfId="0" applyBorder="1"/>
    <xf numFmtId="0" fontId="15" fillId="0" borderId="32" xfId="0" applyFont="1" applyBorder="1" applyAlignment="1">
      <alignment horizontal="left" vertical="center" wrapText="1"/>
    </xf>
    <xf numFmtId="0" fontId="15" fillId="0" borderId="64" xfId="0" applyFont="1" applyBorder="1" applyAlignment="1">
      <alignment horizontal="left" vertical="center" wrapText="1"/>
    </xf>
    <xf numFmtId="0" fontId="17" fillId="0" borderId="34" xfId="0" applyFont="1" applyBorder="1" applyAlignment="1">
      <alignment horizontal="left" vertical="center" wrapText="1"/>
    </xf>
    <xf numFmtId="0" fontId="15" fillId="0" borderId="68" xfId="0" applyFont="1" applyBorder="1" applyAlignment="1">
      <alignment vertical="center"/>
    </xf>
    <xf numFmtId="0" fontId="0" fillId="0" borderId="38" xfId="0" applyBorder="1"/>
    <xf numFmtId="0" fontId="15" fillId="0" borderId="14" xfId="0" applyFont="1" applyBorder="1" applyAlignment="1">
      <alignment horizontal="center" vertical="center" wrapText="1"/>
    </xf>
    <xf numFmtId="49" fontId="5" fillId="0" borderId="32" xfId="0" applyNumberFormat="1" applyFont="1" applyBorder="1" applyAlignment="1">
      <alignment horizontal="center"/>
    </xf>
    <xf numFmtId="4" fontId="15" fillId="0" borderId="65" xfId="0" applyNumberFormat="1" applyFont="1" applyBorder="1" applyAlignment="1">
      <alignment horizontal="center" vertical="center" wrapText="1"/>
    </xf>
    <xf numFmtId="0" fontId="15" fillId="0" borderId="67" xfId="0" applyFont="1" applyBorder="1" applyAlignment="1">
      <alignment horizontal="left" vertical="center" wrapText="1"/>
    </xf>
    <xf numFmtId="0" fontId="17" fillId="0" borderId="49" xfId="0" applyFont="1" applyBorder="1" applyAlignment="1">
      <alignment horizontal="left" vertical="center" wrapText="1"/>
    </xf>
    <xf numFmtId="14" fontId="16" fillId="0" borderId="67" xfId="0" applyNumberFormat="1" applyFont="1" applyBorder="1" applyAlignment="1">
      <alignment horizontal="center" vertical="center" wrapText="1"/>
    </xf>
    <xf numFmtId="0" fontId="17" fillId="0" borderId="57" xfId="0" applyFont="1" applyBorder="1" applyAlignment="1">
      <alignment horizontal="left" vertical="center" wrapText="1"/>
    </xf>
    <xf numFmtId="0" fontId="15" fillId="0" borderId="52" xfId="0" applyFont="1" applyBorder="1" applyAlignment="1">
      <alignment horizontal="left" vertical="center" wrapText="1"/>
    </xf>
    <xf numFmtId="0" fontId="17" fillId="0" borderId="52" xfId="0" applyFont="1" applyBorder="1" applyAlignment="1">
      <alignment horizontal="left" vertical="center" wrapText="1"/>
    </xf>
    <xf numFmtId="0" fontId="15" fillId="0" borderId="65" xfId="0" applyFont="1" applyBorder="1" applyAlignment="1">
      <alignment horizontal="left" vertical="center" wrapText="1"/>
    </xf>
    <xf numFmtId="0" fontId="15" fillId="0" borderId="32" xfId="0" applyFont="1" applyBorder="1" applyAlignment="1">
      <alignment horizontal="center" vertical="center" wrapText="1"/>
    </xf>
    <xf numFmtId="0" fontId="17" fillId="0" borderId="65" xfId="0" applyFont="1" applyBorder="1" applyAlignment="1">
      <alignment horizontal="left" vertical="center" wrapText="1"/>
    </xf>
    <xf numFmtId="0" fontId="15" fillId="0" borderId="64" xfId="0" applyFont="1" applyBorder="1" applyAlignment="1">
      <alignment vertical="center"/>
    </xf>
    <xf numFmtId="0" fontId="15" fillId="0" borderId="32" xfId="0" applyFont="1" applyBorder="1" applyAlignment="1">
      <alignment vertical="center"/>
    </xf>
    <xf numFmtId="0" fontId="15" fillId="2" borderId="32" xfId="0" applyFont="1" applyFill="1" applyBorder="1" applyAlignment="1">
      <alignment horizontal="center"/>
    </xf>
    <xf numFmtId="0" fontId="15" fillId="0" borderId="65" xfId="0" applyFont="1" applyBorder="1" applyAlignment="1">
      <alignment vertical="center"/>
    </xf>
    <xf numFmtId="0" fontId="0" fillId="0" borderId="24" xfId="0" applyBorder="1"/>
    <xf numFmtId="0" fontId="15" fillId="0" borderId="67" xfId="0" applyFont="1" applyBorder="1" applyAlignment="1">
      <alignment horizontal="center" vertical="center" wrapText="1"/>
    </xf>
    <xf numFmtId="0" fontId="15" fillId="0" borderId="32" xfId="0" applyFont="1" applyBorder="1" applyAlignment="1">
      <alignment horizontal="left" vertical="center"/>
    </xf>
    <xf numFmtId="0" fontId="15" fillId="0" borderId="45" xfId="0" applyFont="1" applyBorder="1" applyAlignment="1">
      <alignment horizontal="center" vertical="center" wrapText="1"/>
    </xf>
    <xf numFmtId="0" fontId="0" fillId="0" borderId="39" xfId="0" applyBorder="1"/>
    <xf numFmtId="0" fontId="17" fillId="0" borderId="68" xfId="0" applyFont="1" applyBorder="1" applyAlignment="1">
      <alignment horizontal="left" vertical="center" wrapText="1"/>
    </xf>
    <xf numFmtId="0" fontId="19" fillId="0" borderId="65" xfId="0" applyFont="1" applyBorder="1" applyAlignment="1">
      <alignment horizontal="center" vertical="center" wrapText="1"/>
    </xf>
    <xf numFmtId="0" fontId="6" fillId="0" borderId="4" xfId="0" applyFont="1" applyBorder="1" applyAlignment="1">
      <alignment horizontal="center" vertical="center" wrapText="1"/>
    </xf>
    <xf numFmtId="0" fontId="31" fillId="0" borderId="0" xfId="0" applyFont="1" applyAlignment="1">
      <alignment horizontal="left" vertical="center" wrapText="1"/>
    </xf>
    <xf numFmtId="0" fontId="30" fillId="9" borderId="0" xfId="0" applyFont="1" applyFill="1" applyAlignment="1">
      <alignment horizontal="center" vertical="center" wrapText="1"/>
    </xf>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4</xdr:col>
      <xdr:colOff>19050</xdr:colOff>
      <xdr:row>27</xdr:row>
      <xdr:rowOff>9525</xdr:rowOff>
    </xdr:from>
    <xdr:ext cx="171450" cy="171450"/>
    <xdr:pic>
      <xdr:nvPicPr>
        <xdr:cNvPr id="2" name="image3.png" descr="Informació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0</xdr:col>
      <xdr:colOff>647700</xdr:colOff>
      <xdr:row>1</xdr:row>
      <xdr:rowOff>57150</xdr:rowOff>
    </xdr:from>
    <xdr:ext cx="628650" cy="76200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3</xdr:col>
      <xdr:colOff>9525</xdr:colOff>
      <xdr:row>27</xdr:row>
      <xdr:rowOff>9525</xdr:rowOff>
    </xdr:from>
    <xdr:ext cx="171450" cy="180975"/>
    <xdr:pic>
      <xdr:nvPicPr>
        <xdr:cNvPr id="4" name="image1.png" descr="Información">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18</xdr:col>
      <xdr:colOff>371475</xdr:colOff>
      <xdr:row>27</xdr:row>
      <xdr:rowOff>9525</xdr:rowOff>
    </xdr:from>
    <xdr:ext cx="171450" cy="171450"/>
    <xdr:pic>
      <xdr:nvPicPr>
        <xdr:cNvPr id="5" name="image1.png" descr="Información">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228600</xdr:colOff>
      <xdr:row>22</xdr:row>
      <xdr:rowOff>123825</xdr:rowOff>
    </xdr:from>
    <xdr:ext cx="180975" cy="171450"/>
    <xdr:pic>
      <xdr:nvPicPr>
        <xdr:cNvPr id="2" name="image3.png" descr="Informació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0</xdr:col>
      <xdr:colOff>438150</xdr:colOff>
      <xdr:row>1</xdr:row>
      <xdr:rowOff>38100</xdr:rowOff>
    </xdr:from>
    <xdr:ext cx="619125" cy="762000"/>
    <xdr:pic>
      <xdr:nvPicPr>
        <xdr:cNvPr id="3" name="image4.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228600</xdr:colOff>
      <xdr:row>45</xdr:row>
      <xdr:rowOff>47625</xdr:rowOff>
    </xdr:from>
    <xdr:ext cx="200025" cy="190500"/>
    <xdr:pic>
      <xdr:nvPicPr>
        <xdr:cNvPr id="4" name="image1.png" descr="Información">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0</xdr:col>
      <xdr:colOff>9525</xdr:colOff>
      <xdr:row>45</xdr:row>
      <xdr:rowOff>47625</xdr:rowOff>
    </xdr:from>
    <xdr:ext cx="209550" cy="190500"/>
    <xdr:pic>
      <xdr:nvPicPr>
        <xdr:cNvPr id="5" name="image1.png" descr="Información">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504825</xdr:colOff>
      <xdr:row>1</xdr:row>
      <xdr:rowOff>38100</xdr:rowOff>
    </xdr:from>
    <xdr:ext cx="657225" cy="752475"/>
    <xdr:pic>
      <xdr:nvPicPr>
        <xdr:cNvPr id="2" name="image5.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381000</xdr:colOff>
      <xdr:row>1</xdr:row>
      <xdr:rowOff>19050</xdr:rowOff>
    </xdr:from>
    <xdr:ext cx="657225" cy="771525"/>
    <xdr:pic>
      <xdr:nvPicPr>
        <xdr:cNvPr id="2" name="image5.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shortcut-targets-by-id\1Yel3u3vQe47YNUfn-FnuDApv-8Xunsop\04_GP\02_PPA\02098_Ladrillera%20del%20Meta\06_Financial\03_Tax%20benefits\01.Principal\LadrilleradelMeta-B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1"/>
      <sheetName val="FORMATO 2"/>
      <sheetName val="FORMATO 3"/>
      <sheetName val="FORMATO 4"/>
      <sheetName val="Listas2"/>
      <sheetName val="Listas"/>
      <sheetName val="Bienes"/>
      <sheetName val="Servicios"/>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drive/folders/1-2SDtnilKVkzbzm9670h4Q6m2h67DLEr" TargetMode="External"/><Relationship Id="rId21" Type="http://schemas.openxmlformats.org/officeDocument/2006/relationships/hyperlink" Target="https://drive.google.com/drive/folders/1RRBxfJPuzZMLRVIzMTb4NSErLaOxCt5w" TargetMode="External"/><Relationship Id="rId42" Type="http://schemas.openxmlformats.org/officeDocument/2006/relationships/hyperlink" Target="https://drive.google.com/drive/folders/1rg2fKpw96CeTPlhwxBy9lKUmkBluhuSD" TargetMode="External"/><Relationship Id="rId47" Type="http://schemas.openxmlformats.org/officeDocument/2006/relationships/hyperlink" Target="https://drive.google.com/drive/folders/1EWcp25cWf4rxmKDGWWA4b7J2Mrcppp9t" TargetMode="External"/><Relationship Id="rId63" Type="http://schemas.openxmlformats.org/officeDocument/2006/relationships/hyperlink" Target="https://drive.google.com/drive/folders/1mapuxMqv4bBnC7lfc-hqPE-GkTStiuHX" TargetMode="External"/><Relationship Id="rId68" Type="http://schemas.openxmlformats.org/officeDocument/2006/relationships/hyperlink" Target="https://drive.google.com/drive/folders/16DfZviR3HK2rweX-OL9dVN7BhLUkxsmx" TargetMode="External"/><Relationship Id="rId84" Type="http://schemas.openxmlformats.org/officeDocument/2006/relationships/hyperlink" Target="https://drive.google.com/drive/folders/1Avw32_rbo6CYnhy6rrgWk4I6QwIKCB1N" TargetMode="External"/><Relationship Id="rId89" Type="http://schemas.openxmlformats.org/officeDocument/2006/relationships/hyperlink" Target="https://drive.google.com/drive/folders/1MhO1h59Q9qXK_vTaK-CIkpbl3K6HpvYJ" TargetMode="External"/><Relationship Id="rId16" Type="http://schemas.openxmlformats.org/officeDocument/2006/relationships/hyperlink" Target="https://drive.google.com/drive/folders/1rsZFZeulPRCYwiMXlaM-GcvB3vIGGO3x" TargetMode="External"/><Relationship Id="rId11" Type="http://schemas.openxmlformats.org/officeDocument/2006/relationships/hyperlink" Target="https://drive.google.com/drive/folders/1W0chWWJxQITFQX8qZPlnjboQTzuztD1F" TargetMode="External"/><Relationship Id="rId32" Type="http://schemas.openxmlformats.org/officeDocument/2006/relationships/hyperlink" Target="https://drive.google.com/drive/folders/1Z1p6iVbf8ZfNUNKctMlV-gTfT9a90dUO" TargetMode="External"/><Relationship Id="rId37" Type="http://schemas.openxmlformats.org/officeDocument/2006/relationships/hyperlink" Target="https://drive.google.com/drive/folders/1WQcos9JHcWphjLlluEt1u6QqWwPv16T6" TargetMode="External"/><Relationship Id="rId53" Type="http://schemas.openxmlformats.org/officeDocument/2006/relationships/hyperlink" Target="https://drive.google.com/drive/folders/19UyhofeeZK-Q-4qGkg9urPR2kjNeYMOC" TargetMode="External"/><Relationship Id="rId58" Type="http://schemas.openxmlformats.org/officeDocument/2006/relationships/hyperlink" Target="https://drive.google.com/drive/folders/1mapuxMqv4bBnC7lfc-hqPE-GkTStiuHX" TargetMode="External"/><Relationship Id="rId74" Type="http://schemas.openxmlformats.org/officeDocument/2006/relationships/hyperlink" Target="https://drive.google.com/drive/folders/1pk3Chg0WPdSs3zFuvtOAq2cZq7GmCGiH" TargetMode="External"/><Relationship Id="rId79" Type="http://schemas.openxmlformats.org/officeDocument/2006/relationships/hyperlink" Target="https://drive.google.com/drive/folders/1NtmZ4yB99ueHXrp27z2cSBUmOCh153xK" TargetMode="External"/><Relationship Id="rId5" Type="http://schemas.openxmlformats.org/officeDocument/2006/relationships/hyperlink" Target="https://drive.google.com/drive/folders/13HHTDddZaBxA5miHhexjxiByePe9BqxS" TargetMode="External"/><Relationship Id="rId90" Type="http://schemas.openxmlformats.org/officeDocument/2006/relationships/hyperlink" Target="https://drive.google.com/file/d/1gLijv4GyNTq7jeEBLdmXbZnNpyotSbFJ/view?usp=drive_link" TargetMode="External"/><Relationship Id="rId14" Type="http://schemas.openxmlformats.org/officeDocument/2006/relationships/hyperlink" Target="https://drive.google.com/drive/folders/19efuYBKjM8Oh-ZfVDbMFTiX1XJq4P8ez" TargetMode="External"/><Relationship Id="rId22" Type="http://schemas.openxmlformats.org/officeDocument/2006/relationships/hyperlink" Target="https://drive.google.com/drive/folders/1XVHXVNZhsQLqJm55cowRAr7WgAyCuGG9" TargetMode="External"/><Relationship Id="rId27" Type="http://schemas.openxmlformats.org/officeDocument/2006/relationships/hyperlink" Target="https://drive.google.com/drive/folders/1amUHJ6EEV4uoBb1yKnPdglVV4cfaXurS" TargetMode="External"/><Relationship Id="rId30" Type="http://schemas.openxmlformats.org/officeDocument/2006/relationships/hyperlink" Target="https://drive.google.com/drive/folders/1Z1p6iVbf8ZfNUNKctMlV-gTfT9a90dUO" TargetMode="External"/><Relationship Id="rId35" Type="http://schemas.openxmlformats.org/officeDocument/2006/relationships/hyperlink" Target="https://drive.google.com/drive/folders/130FN_7LTt8PzogdEZa6eTOhOl920Wfrj" TargetMode="External"/><Relationship Id="rId43" Type="http://schemas.openxmlformats.org/officeDocument/2006/relationships/hyperlink" Target="https://drive.google.com/drive/folders/1OsuQpqPHBUB_kOYJ3FmLaR4JtacmLQk-" TargetMode="External"/><Relationship Id="rId48" Type="http://schemas.openxmlformats.org/officeDocument/2006/relationships/hyperlink" Target="https://drive.google.com/drive/folders/1eQubYT9_KBWjAItKXkUTaLGeGpY3h7BO" TargetMode="External"/><Relationship Id="rId56" Type="http://schemas.openxmlformats.org/officeDocument/2006/relationships/hyperlink" Target="https://drive.google.com/drive/folders/1zNd1D2h-z-VYbFcd_0_QKnoePDwbyND-" TargetMode="External"/><Relationship Id="rId64" Type="http://schemas.openxmlformats.org/officeDocument/2006/relationships/hyperlink" Target="https://drive.google.com/drive/folders/1mapuxMqv4bBnC7lfc-hqPE-GkTStiuHX" TargetMode="External"/><Relationship Id="rId69" Type="http://schemas.openxmlformats.org/officeDocument/2006/relationships/hyperlink" Target="https://drive.google.com/drive/folders/1k72A9tHRxR4FYo5g4XGyAuGmLdv4Ehbz" TargetMode="External"/><Relationship Id="rId77" Type="http://schemas.openxmlformats.org/officeDocument/2006/relationships/hyperlink" Target="https://drive.google.com/drive/folders/1tps3gz5TqHg0vAXmzvpr4j8-QrZLp9BC" TargetMode="External"/><Relationship Id="rId8" Type="http://schemas.openxmlformats.org/officeDocument/2006/relationships/hyperlink" Target="https://drive.google.com/drive/folders/1rzFaWfqPq962WWIfcZTMSwxV9pyxXJao" TargetMode="External"/><Relationship Id="rId51" Type="http://schemas.openxmlformats.org/officeDocument/2006/relationships/hyperlink" Target="https://drive.google.com/drive/folders/1EgEUg71TCUVyqx5EBRpi-b4OsHDeFAan" TargetMode="External"/><Relationship Id="rId72" Type="http://schemas.openxmlformats.org/officeDocument/2006/relationships/hyperlink" Target="https://drive.google.com/drive/folders/1zltBsmz7UT_9bFiuYPX3SOcyXyvmfjUO" TargetMode="External"/><Relationship Id="rId80" Type="http://schemas.openxmlformats.org/officeDocument/2006/relationships/hyperlink" Target="https://drive.google.com/drive/folders/1OPYaLQLL6VZHhXpN15KvOt-I2PiB0Fu0" TargetMode="External"/><Relationship Id="rId85" Type="http://schemas.openxmlformats.org/officeDocument/2006/relationships/hyperlink" Target="https://drive.google.com/drive/folders/1Avw32_rbo6CYnhy6rrgWk4I6QwIKCB1N" TargetMode="External"/><Relationship Id="rId3" Type="http://schemas.openxmlformats.org/officeDocument/2006/relationships/hyperlink" Target="https://drive.google.com/drive/folders/1cc5cpb9x2xwyAoBBs67LEUqpqbe4cNCu" TargetMode="External"/><Relationship Id="rId12" Type="http://schemas.openxmlformats.org/officeDocument/2006/relationships/hyperlink" Target="https://drive.google.com/drive/folders/1Xzeum8R9QMY_Y8iTd8-rQO30BLzR3Cru" TargetMode="External"/><Relationship Id="rId17" Type="http://schemas.openxmlformats.org/officeDocument/2006/relationships/hyperlink" Target="https://drive.google.com/drive/folders/1W0chWWJxQITFQX8qZPlnjboQTzuztD1F" TargetMode="External"/><Relationship Id="rId25" Type="http://schemas.openxmlformats.org/officeDocument/2006/relationships/hyperlink" Target="https://drive.google.com/drive/folders/17nqi9n1BchtoHKfbCfSFiqh2-gNWBx-3" TargetMode="External"/><Relationship Id="rId33" Type="http://schemas.openxmlformats.org/officeDocument/2006/relationships/hyperlink" Target="https://drive.google.com/drive/folders/130FN_7LTt8PzogdEZa6eTOhOl920Wfrj" TargetMode="External"/><Relationship Id="rId38" Type="http://schemas.openxmlformats.org/officeDocument/2006/relationships/hyperlink" Target="https://drive.google.com/drive/folders/1WQcos9JHcWphjLlluEt1u6QqWwPv16T6" TargetMode="External"/><Relationship Id="rId46" Type="http://schemas.openxmlformats.org/officeDocument/2006/relationships/hyperlink" Target="https://drive.google.com/drive/folders/1aolEGj-F-Yl7o1AgeN3vMol0tvM7HgB8" TargetMode="External"/><Relationship Id="rId59" Type="http://schemas.openxmlformats.org/officeDocument/2006/relationships/hyperlink" Target="https://drive.google.com/drive/folders/1mapuxMqv4bBnC7lfc-hqPE-GkTStiuHX" TargetMode="External"/><Relationship Id="rId67" Type="http://schemas.openxmlformats.org/officeDocument/2006/relationships/hyperlink" Target="https://drive.google.com/drive/folders/16DfZviR3HK2rweX-OL9dVN7BhLUkxsmx" TargetMode="External"/><Relationship Id="rId20" Type="http://schemas.openxmlformats.org/officeDocument/2006/relationships/hyperlink" Target="https://drive.google.com/drive/folders/1IYQfLVwNswfcGO-dKZOEcPAWXMJShUL_" TargetMode="External"/><Relationship Id="rId41" Type="http://schemas.openxmlformats.org/officeDocument/2006/relationships/hyperlink" Target="https://drive.google.com/drive/folders/19CYDdqWguMc87HwvJqG6ls0_1yVbusJk" TargetMode="External"/><Relationship Id="rId54" Type="http://schemas.openxmlformats.org/officeDocument/2006/relationships/hyperlink" Target="https://drive.google.com/drive/folders/19UyhofeeZK-Q-4qGkg9urPR2kjNeYMOC" TargetMode="External"/><Relationship Id="rId62" Type="http://schemas.openxmlformats.org/officeDocument/2006/relationships/hyperlink" Target="https://drive.google.com/drive/folders/1mapuxMqv4bBnC7lfc-hqPE-GkTStiuHX" TargetMode="External"/><Relationship Id="rId70" Type="http://schemas.openxmlformats.org/officeDocument/2006/relationships/hyperlink" Target="https://drive.google.com/drive/folders/1zltBsmz7UT_9bFiuYPX3SOcyXyvmfjUO" TargetMode="External"/><Relationship Id="rId75" Type="http://schemas.openxmlformats.org/officeDocument/2006/relationships/hyperlink" Target="https://drive.google.com/drive/folders/1952XiGV0w36dsIiIExLhkqevtMrpHBRI" TargetMode="External"/><Relationship Id="rId83" Type="http://schemas.openxmlformats.org/officeDocument/2006/relationships/hyperlink" Target="https://drive.google.com/drive/folders/1EWcp25cWf4rxmKDGWWA4b7J2Mrcppp9t" TargetMode="External"/><Relationship Id="rId88" Type="http://schemas.openxmlformats.org/officeDocument/2006/relationships/hyperlink" Target="https://drive.google.com/drive/folders/1MhO1h59Q9qXK_vTaK-CIkpbl3K6HpvYJ" TargetMode="External"/><Relationship Id="rId91" Type="http://schemas.openxmlformats.org/officeDocument/2006/relationships/hyperlink" Target="https://drive.google.com/file/d/1bSJh-OYHclKAlLDpCJWZbB3-hFrInfkN/view?usp=drive_link" TargetMode="External"/><Relationship Id="rId1" Type="http://schemas.openxmlformats.org/officeDocument/2006/relationships/hyperlink" Target="https://drive.google.com/drive/folders/149PiE67rtKaDRx-CQfP_LsUKNH8RPryo" TargetMode="External"/><Relationship Id="rId6" Type="http://schemas.openxmlformats.org/officeDocument/2006/relationships/hyperlink" Target="https://drive.google.com/drive/folders/1LGlr0snTHTDmlIvybUh5fmdkNjI15f5y" TargetMode="External"/><Relationship Id="rId15" Type="http://schemas.openxmlformats.org/officeDocument/2006/relationships/hyperlink" Target="https://drive.google.com/drive/folders/14zrIbdPCsxdJuhHTGBpgY2jL9lzFebsN" TargetMode="External"/><Relationship Id="rId23" Type="http://schemas.openxmlformats.org/officeDocument/2006/relationships/hyperlink" Target="https://drive.google.com/drive/folders/1aYvYiIGK0bLmaslxX5eWDsY5gIgAxGE5" TargetMode="External"/><Relationship Id="rId28" Type="http://schemas.openxmlformats.org/officeDocument/2006/relationships/hyperlink" Target="https://drive.google.com/drive/folders/1OJ3kxVxw9yhyVvPcj4lAtZVRvI6UtXs_" TargetMode="External"/><Relationship Id="rId36" Type="http://schemas.openxmlformats.org/officeDocument/2006/relationships/hyperlink" Target="https://drive.google.com/drive/folders/1WQcos9JHcWphjLlluEt1u6QqWwPv16T6" TargetMode="External"/><Relationship Id="rId49" Type="http://schemas.openxmlformats.org/officeDocument/2006/relationships/hyperlink" Target="https://drive.google.com/drive/folders/1eQubYT9_KBWjAItKXkUTaLGeGpY3h7BO" TargetMode="External"/><Relationship Id="rId57" Type="http://schemas.openxmlformats.org/officeDocument/2006/relationships/hyperlink" Target="https://drive.google.com/drive/folders/1mapuxMqv4bBnC7lfc-hqPE-GkTStiuHX" TargetMode="External"/><Relationship Id="rId10" Type="http://schemas.openxmlformats.org/officeDocument/2006/relationships/hyperlink" Target="https://drive.google.com/drive/folders/1v5PFo_rL5WEAQ9DsjzwtKHaQqFWCfoNn" TargetMode="External"/><Relationship Id="rId31" Type="http://schemas.openxmlformats.org/officeDocument/2006/relationships/hyperlink" Target="https://drive.google.com/drive/folders/1Z1p6iVbf8ZfNUNKctMlV-gTfT9a90dUO" TargetMode="External"/><Relationship Id="rId44" Type="http://schemas.openxmlformats.org/officeDocument/2006/relationships/hyperlink" Target="https://drive.google.com/drive/folders/1zfK8iusdA9tBDpVodUvhgzm_uIYKWr-w" TargetMode="External"/><Relationship Id="rId52" Type="http://schemas.openxmlformats.org/officeDocument/2006/relationships/hyperlink" Target="https://drive.google.com/drive/folders/1fJEhGAAG1s9UUSD3w3L0iQ9ukZ8oTd4Y" TargetMode="External"/><Relationship Id="rId60" Type="http://schemas.openxmlformats.org/officeDocument/2006/relationships/hyperlink" Target="https://drive.google.com/drive/folders/1mapuxMqv4bBnC7lfc-hqPE-GkTStiuHX" TargetMode="External"/><Relationship Id="rId65" Type="http://schemas.openxmlformats.org/officeDocument/2006/relationships/hyperlink" Target="https://drive.google.com/drive/folders/18WAq4KTY-TdgMUjHENyO8NWivHUMqTEy" TargetMode="External"/><Relationship Id="rId73" Type="http://schemas.openxmlformats.org/officeDocument/2006/relationships/hyperlink" Target="https://drive.google.com/drive/folders/17k0D3Iq77oQe-UuiCTdFj3qmrrBOhjpT" TargetMode="External"/><Relationship Id="rId78" Type="http://schemas.openxmlformats.org/officeDocument/2006/relationships/hyperlink" Target="https://drive.google.com/drive/folders/1Avw32_rbo6CYnhy6rrgWk4I6QwIKCB1N" TargetMode="External"/><Relationship Id="rId81" Type="http://schemas.openxmlformats.org/officeDocument/2006/relationships/hyperlink" Target="https://drive.google.com/drive/folders/1bgF94U4rhIaJc_Zw8FBt3IamQ1AVSDqu" TargetMode="External"/><Relationship Id="rId86" Type="http://schemas.openxmlformats.org/officeDocument/2006/relationships/hyperlink" Target="https://drive.google.com/drive/folders/17nqi9n1BchtoHKfbCfSFiqh2-gNWBx-3" TargetMode="External"/><Relationship Id="rId4" Type="http://schemas.openxmlformats.org/officeDocument/2006/relationships/hyperlink" Target="https://drive.google.com/drive/folders/184IyEgfQEVb0mxUHFCwhbcytQbdnM25v" TargetMode="External"/><Relationship Id="rId9" Type="http://schemas.openxmlformats.org/officeDocument/2006/relationships/hyperlink" Target="https://drive.google.com/drive/folders/1rzFaWfqPq962WWIfcZTMSwxV9pyxXJao" TargetMode="External"/><Relationship Id="rId13" Type="http://schemas.openxmlformats.org/officeDocument/2006/relationships/hyperlink" Target="https://drive.google.com/drive/folders/1W0chWWJxQITFQX8qZPlnjboQTzuztD1F" TargetMode="External"/><Relationship Id="rId18" Type="http://schemas.openxmlformats.org/officeDocument/2006/relationships/hyperlink" Target="https://drive.google.com/drive/folders/1uzr6NJKRStMhnDDofeFaPjLjh0KdD8f5" TargetMode="External"/><Relationship Id="rId39" Type="http://schemas.openxmlformats.org/officeDocument/2006/relationships/hyperlink" Target="https://drive.google.com/drive/folders/142PceXJfvcSHBq42bMrcYZ0T8zoGQkbR" TargetMode="External"/><Relationship Id="rId34" Type="http://schemas.openxmlformats.org/officeDocument/2006/relationships/hyperlink" Target="https://drive.google.com/drive/folders/130FN_7LTt8PzogdEZa6eTOhOl920Wfrj" TargetMode="External"/><Relationship Id="rId50" Type="http://schemas.openxmlformats.org/officeDocument/2006/relationships/hyperlink" Target="https://drive.google.com/drive/folders/1EgEUg71TCUVyqx5EBRpi-b4OsHDeFAan" TargetMode="External"/><Relationship Id="rId55" Type="http://schemas.openxmlformats.org/officeDocument/2006/relationships/hyperlink" Target="https://drive.google.com/drive/folders/19UyhofeeZK-Q-4qGkg9urPR2kjNeYMOC" TargetMode="External"/><Relationship Id="rId76" Type="http://schemas.openxmlformats.org/officeDocument/2006/relationships/hyperlink" Target="https://drive.google.com/drive/folders/1zM0Rev7y-YlY1Lu-IhgyfZF61zp_12Pg" TargetMode="External"/><Relationship Id="rId7" Type="http://schemas.openxmlformats.org/officeDocument/2006/relationships/hyperlink" Target="https://drive.google.com/drive/folders/13R5ydcDZsTgU9S9CVxafW9PKXeEsitjV?usp=drive_link" TargetMode="External"/><Relationship Id="rId71" Type="http://schemas.openxmlformats.org/officeDocument/2006/relationships/hyperlink" Target="https://drive.google.com/drive/folders/1zltBsmz7UT_9bFiuYPX3SOcyXyvmfjUO" TargetMode="External"/><Relationship Id="rId92" Type="http://schemas.openxmlformats.org/officeDocument/2006/relationships/drawing" Target="../drawings/drawing3.xml"/><Relationship Id="rId2" Type="http://schemas.openxmlformats.org/officeDocument/2006/relationships/hyperlink" Target="https://drive.google.com/drive/folders/1BZTPlrGbiOcKSSlGhOfzdjAdnugKSXtF" TargetMode="External"/><Relationship Id="rId29" Type="http://schemas.openxmlformats.org/officeDocument/2006/relationships/hyperlink" Target="https://drive.google.com/drive/folders/1Fp0aiedr33njv9LVd2JC0tg1MAvEB5L_" TargetMode="External"/><Relationship Id="rId24" Type="http://schemas.openxmlformats.org/officeDocument/2006/relationships/hyperlink" Target="https://drive.google.com/drive/folders/1u2EMBQNnKkj1JWL4zsJCQgYfEQb8s4QG" TargetMode="External"/><Relationship Id="rId40" Type="http://schemas.openxmlformats.org/officeDocument/2006/relationships/hyperlink" Target="https://drive.google.com/drive/folders/19CYDdqWguMc87HwvJqG6ls0_1yVbusJk" TargetMode="External"/><Relationship Id="rId45" Type="http://schemas.openxmlformats.org/officeDocument/2006/relationships/hyperlink" Target="https://drive.google.com/drive/folders/1rg2fKpw96CeTPlhwxBy9lKUmkBluhuSD" TargetMode="External"/><Relationship Id="rId66" Type="http://schemas.openxmlformats.org/officeDocument/2006/relationships/hyperlink" Target="https://drive.google.com/drive/folders/16DfZviR3HK2rweX-OL9dVN7BhLUkxsmx" TargetMode="External"/><Relationship Id="rId87" Type="http://schemas.openxmlformats.org/officeDocument/2006/relationships/hyperlink" Target="https://drive.google.com/drive/folders/1MhO1h59Q9qXK_vTaK-CIkpbl3K6HpvYJ" TargetMode="External"/><Relationship Id="rId61" Type="http://schemas.openxmlformats.org/officeDocument/2006/relationships/hyperlink" Target="https://drive.google.com/drive/folders/1mapuxMqv4bBnC7lfc-hqPE-GkTStiuHX" TargetMode="External"/><Relationship Id="rId82" Type="http://schemas.openxmlformats.org/officeDocument/2006/relationships/hyperlink" Target="https://drive.google.com/drive/folders/1eQubYT9_KBWjAItKXkUTaLGeGpY3h7BO" TargetMode="External"/><Relationship Id="rId19" Type="http://schemas.openxmlformats.org/officeDocument/2006/relationships/hyperlink" Target="https://drive.google.com/drive/folders/1RRBxfJPuzZMLRVIzMTb4NSErLaOxCt5w"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W1000"/>
  <sheetViews>
    <sheetView showGridLines="0" topLeftCell="A13" workbookViewId="0"/>
  </sheetViews>
  <sheetFormatPr defaultColWidth="14.453125" defaultRowHeight="15" customHeight="1"/>
  <cols>
    <col min="1" max="2" width="11.453125" customWidth="1"/>
    <col min="3" max="3" width="5.54296875" customWidth="1"/>
    <col min="4" max="4" width="5.1796875" customWidth="1"/>
    <col min="5" max="5" width="4.453125" customWidth="1"/>
    <col min="6" max="6" width="2.54296875" customWidth="1"/>
    <col min="7" max="7" width="5.453125" customWidth="1"/>
    <col min="8" max="8" width="11.453125" customWidth="1"/>
    <col min="9" max="9" width="5" customWidth="1"/>
    <col min="10" max="10" width="1.81640625" customWidth="1"/>
    <col min="11" max="11" width="10.81640625" customWidth="1"/>
    <col min="12" max="12" width="5.453125" customWidth="1"/>
    <col min="13" max="13" width="4.54296875" customWidth="1"/>
    <col min="14" max="14" width="3.1796875" customWidth="1"/>
    <col min="15" max="15" width="0.81640625" customWidth="1"/>
    <col min="16" max="16" width="9.453125" customWidth="1"/>
    <col min="17" max="17" width="5.453125" customWidth="1"/>
    <col min="18" max="18" width="4.81640625" customWidth="1"/>
    <col min="19" max="19" width="8.54296875" customWidth="1"/>
    <col min="20" max="20" width="11.81640625" customWidth="1"/>
    <col min="21" max="21" width="7.54296875" customWidth="1"/>
    <col min="22" max="22" width="9.81640625" customWidth="1"/>
    <col min="23" max="23" width="5.54296875" customWidth="1"/>
    <col min="24" max="24" width="3.81640625" customWidth="1"/>
    <col min="25" max="25" width="5.453125" customWidth="1"/>
    <col min="26" max="26" width="8.81640625" customWidth="1"/>
    <col min="27" max="27" width="0.453125" hidden="1" customWidth="1"/>
    <col min="28" max="28" width="0.54296875" hidden="1" customWidth="1"/>
    <col min="29" max="29" width="5" customWidth="1"/>
    <col min="30" max="30" width="0.54296875" customWidth="1"/>
    <col min="31" max="31" width="2.54296875" customWidth="1"/>
    <col min="32" max="32" width="3.1796875" customWidth="1"/>
    <col min="33" max="45" width="11.453125" hidden="1" customWidth="1"/>
    <col min="46" max="49" width="14.453125" hidden="1" customWidth="1"/>
  </cols>
  <sheetData>
    <row r="1" spans="1:45"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23.25" customHeight="1">
      <c r="A2" s="211"/>
      <c r="B2" s="168"/>
      <c r="C2" s="157"/>
      <c r="D2" s="217" t="s">
        <v>0</v>
      </c>
      <c r="E2" s="168"/>
      <c r="F2" s="168"/>
      <c r="G2" s="168"/>
      <c r="H2" s="168"/>
      <c r="I2" s="168"/>
      <c r="J2" s="168"/>
      <c r="K2" s="168"/>
      <c r="L2" s="168"/>
      <c r="M2" s="168"/>
      <c r="N2" s="168"/>
      <c r="O2" s="168"/>
      <c r="P2" s="168"/>
      <c r="Q2" s="168"/>
      <c r="R2" s="168"/>
      <c r="S2" s="168"/>
      <c r="T2" s="168"/>
      <c r="U2" s="168"/>
      <c r="V2" s="168"/>
      <c r="W2" s="168"/>
      <c r="X2" s="157"/>
      <c r="Y2" s="162" t="s">
        <v>1</v>
      </c>
      <c r="Z2" s="182"/>
      <c r="AA2" s="182"/>
      <c r="AB2" s="182"/>
      <c r="AC2" s="188"/>
      <c r="AD2" s="1"/>
      <c r="AE2" s="1"/>
      <c r="AF2" s="1"/>
      <c r="AG2" s="1"/>
      <c r="AH2" s="1"/>
      <c r="AI2" s="1"/>
      <c r="AJ2" s="1"/>
      <c r="AK2" s="1"/>
      <c r="AL2" s="1"/>
      <c r="AM2" s="1"/>
      <c r="AN2" s="1"/>
      <c r="AO2" s="1"/>
      <c r="AP2" s="1"/>
      <c r="AQ2" s="1"/>
      <c r="AR2" s="1"/>
      <c r="AS2" s="1"/>
    </row>
    <row r="3" spans="1:45" ht="11.25" customHeight="1">
      <c r="A3" s="158"/>
      <c r="B3" s="169"/>
      <c r="C3" s="159"/>
      <c r="D3" s="169"/>
      <c r="E3" s="169"/>
      <c r="F3" s="169"/>
      <c r="G3" s="169"/>
      <c r="H3" s="169"/>
      <c r="I3" s="169"/>
      <c r="J3" s="169"/>
      <c r="K3" s="169"/>
      <c r="L3" s="169"/>
      <c r="M3" s="169"/>
      <c r="N3" s="169"/>
      <c r="O3" s="169"/>
      <c r="P3" s="169"/>
      <c r="Q3" s="169"/>
      <c r="R3" s="169"/>
      <c r="S3" s="169"/>
      <c r="T3" s="169"/>
      <c r="U3" s="169"/>
      <c r="V3" s="169"/>
      <c r="W3" s="169"/>
      <c r="X3" s="159"/>
      <c r="Y3" s="162" t="s">
        <v>2</v>
      </c>
      <c r="Z3" s="168"/>
      <c r="AA3" s="168"/>
      <c r="AB3" s="168"/>
      <c r="AC3" s="157"/>
      <c r="AD3" s="1"/>
      <c r="AE3" s="1"/>
      <c r="AF3" s="1"/>
      <c r="AG3" s="1"/>
      <c r="AH3" s="1"/>
      <c r="AI3" s="1"/>
      <c r="AJ3" s="1"/>
      <c r="AK3" s="1"/>
      <c r="AL3" s="1"/>
      <c r="AM3" s="1"/>
      <c r="AN3" s="1"/>
      <c r="AO3" s="1"/>
      <c r="AP3" s="1"/>
      <c r="AQ3" s="1"/>
      <c r="AR3" s="1"/>
      <c r="AS3" s="1"/>
    </row>
    <row r="4" spans="1:45" ht="9.75" customHeight="1">
      <c r="A4" s="158"/>
      <c r="B4" s="169"/>
      <c r="C4" s="159"/>
      <c r="D4" s="169"/>
      <c r="E4" s="169"/>
      <c r="F4" s="169"/>
      <c r="G4" s="169"/>
      <c r="H4" s="169"/>
      <c r="I4" s="169"/>
      <c r="J4" s="169"/>
      <c r="K4" s="169"/>
      <c r="L4" s="169"/>
      <c r="M4" s="169"/>
      <c r="N4" s="169"/>
      <c r="O4" s="169"/>
      <c r="P4" s="169"/>
      <c r="Q4" s="169"/>
      <c r="R4" s="169"/>
      <c r="S4" s="169"/>
      <c r="T4" s="169"/>
      <c r="U4" s="169"/>
      <c r="V4" s="169"/>
      <c r="W4" s="169"/>
      <c r="X4" s="159"/>
      <c r="Y4" s="160"/>
      <c r="Z4" s="170"/>
      <c r="AA4" s="170"/>
      <c r="AB4" s="170"/>
      <c r="AC4" s="161"/>
      <c r="AD4" s="1"/>
      <c r="AE4" s="1"/>
      <c r="AF4" s="1"/>
      <c r="AG4" s="1"/>
      <c r="AH4" s="1"/>
      <c r="AI4" s="1"/>
      <c r="AJ4" s="1"/>
      <c r="AK4" s="1"/>
      <c r="AL4" s="1"/>
      <c r="AM4" s="1"/>
      <c r="AN4" s="1"/>
      <c r="AO4" s="1"/>
      <c r="AP4" s="1"/>
      <c r="AQ4" s="1"/>
      <c r="AR4" s="1"/>
      <c r="AS4" s="1"/>
    </row>
    <row r="5" spans="1:45" ht="23.25" customHeight="1">
      <c r="A5" s="160"/>
      <c r="B5" s="170"/>
      <c r="C5" s="161"/>
      <c r="D5" s="170"/>
      <c r="E5" s="170"/>
      <c r="F5" s="170"/>
      <c r="G5" s="170"/>
      <c r="H5" s="170"/>
      <c r="I5" s="170"/>
      <c r="J5" s="170"/>
      <c r="K5" s="170"/>
      <c r="L5" s="170"/>
      <c r="M5" s="170"/>
      <c r="N5" s="170"/>
      <c r="O5" s="170"/>
      <c r="P5" s="170"/>
      <c r="Q5" s="170"/>
      <c r="R5" s="170"/>
      <c r="S5" s="170"/>
      <c r="T5" s="170"/>
      <c r="U5" s="170"/>
      <c r="V5" s="170"/>
      <c r="W5" s="170"/>
      <c r="X5" s="161"/>
      <c r="Y5" s="162" t="s">
        <v>3</v>
      </c>
      <c r="Z5" s="182"/>
      <c r="AA5" s="182"/>
      <c r="AB5" s="182"/>
      <c r="AC5" s="188"/>
      <c r="AD5" s="1"/>
      <c r="AE5" s="1"/>
      <c r="AF5" s="1"/>
      <c r="AG5" s="1"/>
      <c r="AH5" s="1"/>
      <c r="AI5" s="1"/>
      <c r="AJ5" s="1"/>
      <c r="AK5" s="1"/>
      <c r="AL5" s="1"/>
      <c r="AM5" s="1"/>
      <c r="AN5" s="1"/>
      <c r="AO5" s="1"/>
      <c r="AP5" s="1"/>
      <c r="AQ5" s="1"/>
      <c r="AR5" s="1"/>
      <c r="AS5" s="1"/>
    </row>
    <row r="6" spans="1:45" ht="14.25" customHeight="1">
      <c r="A6" s="1"/>
      <c r="B6" s="171"/>
      <c r="C6" s="169"/>
      <c r="D6" s="169"/>
      <c r="E6" s="169"/>
      <c r="F6" s="169"/>
      <c r="G6" s="169"/>
      <c r="H6" s="169"/>
      <c r="I6" s="169"/>
      <c r="J6" s="169"/>
      <c r="K6" s="169"/>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14.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row>
    <row r="8" spans="1:45" ht="14.25"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row>
    <row r="9" spans="1:45" ht="14.2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row>
    <row r="10" spans="1:45"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row>
    <row r="11" spans="1:45"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row>
    <row r="12" spans="1:45"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row>
    <row r="13" spans="1:45" ht="57" customHeight="1">
      <c r="A13" s="208" t="s">
        <v>4</v>
      </c>
      <c r="B13" s="180"/>
      <c r="C13" s="180"/>
      <c r="D13" s="180"/>
      <c r="E13" s="180"/>
      <c r="F13" s="180"/>
      <c r="G13" s="180"/>
      <c r="H13" s="180"/>
      <c r="I13" s="180"/>
      <c r="J13" s="180"/>
      <c r="K13" s="180"/>
      <c r="L13" s="180"/>
      <c r="M13" s="180"/>
      <c r="N13" s="180"/>
      <c r="O13" s="180"/>
      <c r="P13" s="180"/>
      <c r="Q13" s="180"/>
      <c r="R13" s="180"/>
      <c r="S13" s="180"/>
      <c r="T13" s="180"/>
      <c r="U13" s="180"/>
      <c r="V13" s="180"/>
      <c r="W13" s="180"/>
      <c r="X13" s="180"/>
      <c r="Y13" s="180"/>
      <c r="Z13" s="180"/>
      <c r="AA13" s="180"/>
      <c r="AB13" s="180"/>
      <c r="AC13" s="180"/>
      <c r="AD13" s="195"/>
      <c r="AE13" s="2"/>
      <c r="AF13" s="2"/>
      <c r="AG13" s="2"/>
      <c r="AH13" s="2"/>
      <c r="AI13" s="2"/>
      <c r="AJ13" s="2"/>
      <c r="AK13" s="2"/>
      <c r="AL13" s="2"/>
      <c r="AM13" s="2"/>
      <c r="AN13" s="2"/>
      <c r="AO13" s="2"/>
      <c r="AP13" s="2"/>
      <c r="AQ13" s="2"/>
      <c r="AR13" s="2"/>
      <c r="AS13" s="2"/>
    </row>
    <row r="14" spans="1:45" ht="14.25" customHeight="1">
      <c r="A14" s="194" t="s">
        <v>5</v>
      </c>
      <c r="B14" s="180"/>
      <c r="C14" s="180"/>
      <c r="D14" s="180"/>
      <c r="E14" s="180"/>
      <c r="F14" s="180"/>
      <c r="G14" s="180"/>
      <c r="H14" s="180"/>
      <c r="I14" s="180"/>
      <c r="J14" s="180"/>
      <c r="K14" s="180"/>
      <c r="L14" s="180"/>
      <c r="M14" s="180"/>
      <c r="N14" s="180"/>
      <c r="O14" s="180"/>
      <c r="P14" s="180"/>
      <c r="Q14" s="180"/>
      <c r="R14" s="180"/>
      <c r="S14" s="180"/>
      <c r="T14" s="180"/>
      <c r="U14" s="180"/>
      <c r="V14" s="180"/>
      <c r="W14" s="180"/>
      <c r="X14" s="180"/>
      <c r="Y14" s="180"/>
      <c r="Z14" s="180"/>
      <c r="AA14" s="180"/>
      <c r="AB14" s="180"/>
      <c r="AC14" s="180"/>
      <c r="AD14" s="195"/>
      <c r="AE14" s="2"/>
      <c r="AF14" s="2"/>
      <c r="AG14" s="2"/>
      <c r="AH14" s="2"/>
      <c r="AI14" s="2"/>
      <c r="AJ14" s="2"/>
      <c r="AK14" s="2"/>
      <c r="AL14" s="2"/>
      <c r="AM14" s="2"/>
      <c r="AN14" s="2"/>
      <c r="AO14" s="2"/>
      <c r="AP14" s="2"/>
      <c r="AQ14" s="2"/>
      <c r="AR14" s="2"/>
      <c r="AS14" s="2"/>
    </row>
    <row r="15" spans="1:45" ht="14.25" customHeight="1">
      <c r="A15" s="206" t="s">
        <v>6</v>
      </c>
      <c r="B15" s="197"/>
      <c r="C15" s="197"/>
      <c r="D15" s="197"/>
      <c r="E15" s="197"/>
      <c r="F15" s="197"/>
      <c r="G15" s="197"/>
      <c r="H15" s="197"/>
      <c r="I15" s="197"/>
      <c r="J15" s="197"/>
      <c r="K15" s="197"/>
      <c r="L15" s="197"/>
      <c r="M15" s="197"/>
      <c r="N15" s="197"/>
      <c r="O15" s="198"/>
      <c r="P15" s="206" t="s">
        <v>7</v>
      </c>
      <c r="Q15" s="197"/>
      <c r="R15" s="197"/>
      <c r="S15" s="197"/>
      <c r="T15" s="197"/>
      <c r="U15" s="197"/>
      <c r="V15" s="197"/>
      <c r="W15" s="197"/>
      <c r="X15" s="197"/>
      <c r="Y15" s="197"/>
      <c r="Z15" s="197"/>
      <c r="AA15" s="197"/>
      <c r="AB15" s="197"/>
      <c r="AC15" s="197"/>
      <c r="AD15" s="198"/>
      <c r="AE15" s="2"/>
      <c r="AF15" s="2"/>
      <c r="AG15" s="2"/>
      <c r="AH15" s="2"/>
      <c r="AI15" s="2"/>
      <c r="AJ15" s="2"/>
      <c r="AK15" s="2"/>
      <c r="AL15" s="2"/>
      <c r="AM15" s="2"/>
      <c r="AN15" s="2"/>
      <c r="AO15" s="2"/>
      <c r="AP15" s="2"/>
      <c r="AQ15" s="2"/>
      <c r="AR15" s="2"/>
      <c r="AS15" s="2"/>
    </row>
    <row r="16" spans="1:45" ht="14.25" customHeight="1">
      <c r="A16" s="212" t="s">
        <v>8</v>
      </c>
      <c r="B16" s="168"/>
      <c r="C16" s="168"/>
      <c r="D16" s="168"/>
      <c r="E16" s="168"/>
      <c r="F16" s="168"/>
      <c r="G16" s="168"/>
      <c r="H16" s="168"/>
      <c r="I16" s="168"/>
      <c r="J16" s="168"/>
      <c r="K16" s="168"/>
      <c r="L16" s="168"/>
      <c r="M16" s="168"/>
      <c r="N16" s="168"/>
      <c r="O16" s="213"/>
      <c r="P16" s="212" t="s">
        <v>8</v>
      </c>
      <c r="Q16" s="168"/>
      <c r="R16" s="168"/>
      <c r="S16" s="168"/>
      <c r="T16" s="168"/>
      <c r="U16" s="168"/>
      <c r="V16" s="168"/>
      <c r="W16" s="168"/>
      <c r="X16" s="168"/>
      <c r="Y16" s="168"/>
      <c r="Z16" s="168"/>
      <c r="AA16" s="168"/>
      <c r="AB16" s="168"/>
      <c r="AC16" s="168"/>
      <c r="AD16" s="213"/>
      <c r="AE16" s="2"/>
      <c r="AF16" s="2"/>
      <c r="AG16" s="2"/>
      <c r="AH16" s="2"/>
      <c r="AI16" s="2"/>
      <c r="AJ16" s="2"/>
      <c r="AK16" s="2"/>
      <c r="AL16" s="2"/>
      <c r="AM16" s="2"/>
      <c r="AN16" s="2"/>
      <c r="AO16" s="2"/>
      <c r="AP16" s="2"/>
      <c r="AQ16" s="2"/>
      <c r="AR16" s="2"/>
      <c r="AS16" s="2"/>
    </row>
    <row r="17" spans="1:45" ht="14.25" customHeight="1">
      <c r="A17" s="204" t="s">
        <v>9</v>
      </c>
      <c r="B17" s="182"/>
      <c r="C17" s="182"/>
      <c r="D17" s="182"/>
      <c r="E17" s="182"/>
      <c r="F17" s="182"/>
      <c r="G17" s="182"/>
      <c r="H17" s="182"/>
      <c r="I17" s="182"/>
      <c r="J17" s="182"/>
      <c r="K17" s="182"/>
      <c r="L17" s="182"/>
      <c r="M17" s="182"/>
      <c r="N17" s="182"/>
      <c r="O17" s="183"/>
      <c r="P17" s="204" t="s">
        <v>10</v>
      </c>
      <c r="Q17" s="182"/>
      <c r="R17" s="182"/>
      <c r="S17" s="182"/>
      <c r="T17" s="182"/>
      <c r="U17" s="182"/>
      <c r="V17" s="182"/>
      <c r="W17" s="182"/>
      <c r="X17" s="182"/>
      <c r="Y17" s="182"/>
      <c r="Z17" s="182"/>
      <c r="AA17" s="182"/>
      <c r="AB17" s="182"/>
      <c r="AC17" s="182"/>
      <c r="AD17" s="183"/>
      <c r="AE17" s="2"/>
      <c r="AF17" s="2"/>
      <c r="AG17" s="2"/>
      <c r="AH17" s="2"/>
      <c r="AI17" s="2"/>
      <c r="AJ17" s="2"/>
      <c r="AK17" s="2"/>
      <c r="AL17" s="2"/>
      <c r="AM17" s="2"/>
      <c r="AN17" s="2"/>
      <c r="AO17" s="2"/>
      <c r="AP17" s="2"/>
      <c r="AQ17" s="2"/>
      <c r="AR17" s="2"/>
      <c r="AS17" s="2"/>
    </row>
    <row r="18" spans="1:45" ht="14.25" customHeight="1">
      <c r="A18" s="187" t="s">
        <v>11</v>
      </c>
      <c r="B18" s="182"/>
      <c r="C18" s="182"/>
      <c r="D18" s="182"/>
      <c r="E18" s="182"/>
      <c r="F18" s="188"/>
      <c r="G18" s="202"/>
      <c r="H18" s="182"/>
      <c r="I18" s="182"/>
      <c r="J18" s="182"/>
      <c r="K18" s="182"/>
      <c r="L18" s="182"/>
      <c r="M18" s="182"/>
      <c r="N18" s="182"/>
      <c r="O18" s="183"/>
      <c r="P18" s="184" t="s">
        <v>11</v>
      </c>
      <c r="Q18" s="182"/>
      <c r="R18" s="182"/>
      <c r="S18" s="182"/>
      <c r="T18" s="182"/>
      <c r="U18" s="182"/>
      <c r="V18" s="186" t="s">
        <v>12</v>
      </c>
      <c r="W18" s="182"/>
      <c r="X18" s="182"/>
      <c r="Y18" s="182"/>
      <c r="Z18" s="182"/>
      <c r="AA18" s="182"/>
      <c r="AB18" s="182"/>
      <c r="AC18" s="182"/>
      <c r="AD18" s="183"/>
      <c r="AE18" s="2"/>
      <c r="AF18" s="2"/>
      <c r="AG18" s="2"/>
      <c r="AH18" s="2"/>
      <c r="AI18" s="2"/>
      <c r="AJ18" s="2"/>
      <c r="AK18" s="2"/>
      <c r="AL18" s="2"/>
      <c r="AM18" s="2"/>
      <c r="AN18" s="2"/>
      <c r="AO18" s="2"/>
      <c r="AP18" s="2"/>
      <c r="AQ18" s="2"/>
      <c r="AR18" s="2"/>
      <c r="AS18" s="2"/>
    </row>
    <row r="19" spans="1:45" ht="14.25" customHeight="1">
      <c r="A19" s="191" t="s">
        <v>13</v>
      </c>
      <c r="B19" s="182"/>
      <c r="C19" s="182"/>
      <c r="D19" s="182"/>
      <c r="E19" s="182"/>
      <c r="F19" s="188"/>
      <c r="G19" s="181"/>
      <c r="H19" s="182"/>
      <c r="I19" s="182"/>
      <c r="J19" s="182"/>
      <c r="K19" s="182"/>
      <c r="L19" s="182"/>
      <c r="M19" s="182"/>
      <c r="N19" s="182"/>
      <c r="O19" s="183"/>
      <c r="P19" s="192" t="s">
        <v>13</v>
      </c>
      <c r="Q19" s="182"/>
      <c r="R19" s="182"/>
      <c r="S19" s="182"/>
      <c r="T19" s="182"/>
      <c r="U19" s="182"/>
      <c r="V19" s="186" t="s">
        <v>14</v>
      </c>
      <c r="W19" s="182"/>
      <c r="X19" s="182"/>
      <c r="Y19" s="182"/>
      <c r="Z19" s="182"/>
      <c r="AA19" s="182"/>
      <c r="AB19" s="182"/>
      <c r="AC19" s="182"/>
      <c r="AD19" s="183"/>
      <c r="AE19" s="2"/>
      <c r="AF19" s="2"/>
      <c r="AG19" s="2"/>
      <c r="AH19" s="2"/>
      <c r="AI19" s="2"/>
      <c r="AJ19" s="2"/>
      <c r="AK19" s="2"/>
      <c r="AL19" s="2"/>
      <c r="AM19" s="2"/>
      <c r="AN19" s="2"/>
      <c r="AO19" s="2"/>
      <c r="AP19" s="2"/>
      <c r="AQ19" s="2"/>
      <c r="AR19" s="2"/>
      <c r="AS19" s="2"/>
    </row>
    <row r="20" spans="1:45" ht="14.25" customHeight="1">
      <c r="A20" s="191" t="s">
        <v>15</v>
      </c>
      <c r="B20" s="182"/>
      <c r="C20" s="182"/>
      <c r="D20" s="182"/>
      <c r="E20" s="182"/>
      <c r="F20" s="188"/>
      <c r="G20" s="181"/>
      <c r="H20" s="182"/>
      <c r="I20" s="182"/>
      <c r="J20" s="182"/>
      <c r="K20" s="182"/>
      <c r="L20" s="182"/>
      <c r="M20" s="182"/>
      <c r="N20" s="182"/>
      <c r="O20" s="183"/>
      <c r="P20" s="192" t="s">
        <v>15</v>
      </c>
      <c r="Q20" s="182"/>
      <c r="R20" s="182"/>
      <c r="S20" s="182"/>
      <c r="T20" s="182"/>
      <c r="U20" s="182"/>
      <c r="V20" s="186" t="s">
        <v>16</v>
      </c>
      <c r="W20" s="182"/>
      <c r="X20" s="182"/>
      <c r="Y20" s="182"/>
      <c r="Z20" s="182"/>
      <c r="AA20" s="182"/>
      <c r="AB20" s="182"/>
      <c r="AC20" s="182"/>
      <c r="AD20" s="183"/>
      <c r="AE20" s="2"/>
      <c r="AF20" s="2"/>
      <c r="AG20" s="2"/>
      <c r="AH20" s="2"/>
      <c r="AI20" s="2"/>
      <c r="AJ20" s="2"/>
      <c r="AK20" s="2"/>
      <c r="AL20" s="2"/>
      <c r="AM20" s="2"/>
      <c r="AN20" s="2"/>
      <c r="AO20" s="2"/>
      <c r="AP20" s="2"/>
      <c r="AQ20" s="2"/>
      <c r="AR20" s="2"/>
      <c r="AS20" s="2"/>
    </row>
    <row r="21" spans="1:45" ht="14.25" customHeight="1">
      <c r="A21" s="187" t="s">
        <v>17</v>
      </c>
      <c r="B21" s="182"/>
      <c r="C21" s="182"/>
      <c r="D21" s="182"/>
      <c r="E21" s="182"/>
      <c r="F21" s="188"/>
      <c r="G21" s="202"/>
      <c r="H21" s="182"/>
      <c r="I21" s="182"/>
      <c r="J21" s="182"/>
      <c r="K21" s="182"/>
      <c r="L21" s="182"/>
      <c r="M21" s="182"/>
      <c r="N21" s="182"/>
      <c r="O21" s="183"/>
      <c r="P21" s="184" t="s">
        <v>17</v>
      </c>
      <c r="Q21" s="182"/>
      <c r="R21" s="182"/>
      <c r="S21" s="182"/>
      <c r="T21" s="182"/>
      <c r="U21" s="182"/>
      <c r="V21" s="186" t="s">
        <v>18</v>
      </c>
      <c r="W21" s="182"/>
      <c r="X21" s="182"/>
      <c r="Y21" s="182"/>
      <c r="Z21" s="182"/>
      <c r="AA21" s="182"/>
      <c r="AB21" s="182"/>
      <c r="AC21" s="182"/>
      <c r="AD21" s="183"/>
      <c r="AE21" s="2"/>
      <c r="AF21" s="2"/>
      <c r="AG21" s="2"/>
      <c r="AH21" s="2"/>
      <c r="AI21" s="2"/>
      <c r="AJ21" s="2"/>
      <c r="AK21" s="2"/>
      <c r="AL21" s="2"/>
      <c r="AM21" s="2"/>
      <c r="AN21" s="2"/>
      <c r="AO21" s="2"/>
      <c r="AP21" s="2"/>
      <c r="AQ21" s="2"/>
      <c r="AR21" s="2"/>
      <c r="AS21" s="2"/>
    </row>
    <row r="22" spans="1:45" ht="14.25" customHeight="1">
      <c r="A22" s="187" t="s">
        <v>19</v>
      </c>
      <c r="B22" s="182"/>
      <c r="C22" s="182"/>
      <c r="D22" s="182"/>
      <c r="E22" s="182"/>
      <c r="F22" s="188"/>
      <c r="G22" s="233"/>
      <c r="H22" s="182"/>
      <c r="I22" s="182"/>
      <c r="J22" s="182"/>
      <c r="K22" s="182"/>
      <c r="L22" s="182"/>
      <c r="M22" s="182"/>
      <c r="N22" s="182"/>
      <c r="O22" s="183"/>
      <c r="P22" s="210" t="s">
        <v>19</v>
      </c>
      <c r="Q22" s="182"/>
      <c r="R22" s="182"/>
      <c r="S22" s="182"/>
      <c r="T22" s="182"/>
      <c r="U22" s="182"/>
      <c r="V22" s="207" t="s">
        <v>20</v>
      </c>
      <c r="W22" s="182"/>
      <c r="X22" s="182"/>
      <c r="Y22" s="182"/>
      <c r="Z22" s="182"/>
      <c r="AA22" s="182"/>
      <c r="AB22" s="182"/>
      <c r="AC22" s="182"/>
      <c r="AD22" s="183"/>
      <c r="AE22" s="2"/>
      <c r="AF22" s="2"/>
      <c r="AG22" s="2"/>
      <c r="AH22" s="2"/>
      <c r="AI22" s="2"/>
      <c r="AJ22" s="2"/>
      <c r="AK22" s="2"/>
      <c r="AL22" s="2"/>
      <c r="AM22" s="2"/>
      <c r="AN22" s="2"/>
      <c r="AO22" s="2"/>
      <c r="AP22" s="2"/>
      <c r="AQ22" s="2"/>
      <c r="AR22" s="2"/>
      <c r="AS22" s="2"/>
    </row>
    <row r="23" spans="1:45" ht="15" customHeight="1">
      <c r="A23" s="191" t="s">
        <v>21</v>
      </c>
      <c r="B23" s="182"/>
      <c r="C23" s="182"/>
      <c r="D23" s="182"/>
      <c r="E23" s="182"/>
      <c r="F23" s="188"/>
      <c r="G23" s="209" t="s">
        <v>22</v>
      </c>
      <c r="H23" s="182"/>
      <c r="I23" s="182"/>
      <c r="J23" s="182"/>
      <c r="K23" s="182"/>
      <c r="L23" s="182"/>
      <c r="M23" s="182"/>
      <c r="N23" s="182"/>
      <c r="O23" s="183"/>
      <c r="P23" s="192" t="s">
        <v>21</v>
      </c>
      <c r="Q23" s="182"/>
      <c r="R23" s="182"/>
      <c r="S23" s="182"/>
      <c r="T23" s="182"/>
      <c r="U23" s="182"/>
      <c r="V23" s="186" t="s">
        <v>23</v>
      </c>
      <c r="W23" s="182"/>
      <c r="X23" s="182"/>
      <c r="Y23" s="182"/>
      <c r="Z23" s="182"/>
      <c r="AA23" s="182"/>
      <c r="AB23" s="182"/>
      <c r="AC23" s="182"/>
      <c r="AD23" s="183"/>
      <c r="AE23" s="2"/>
      <c r="AF23" s="2"/>
      <c r="AG23" s="2"/>
      <c r="AH23" s="2"/>
      <c r="AI23" s="2"/>
      <c r="AJ23" s="2"/>
      <c r="AK23" s="2"/>
      <c r="AL23" s="2"/>
      <c r="AM23" s="2"/>
      <c r="AN23" s="2"/>
      <c r="AO23" s="2"/>
      <c r="AP23" s="2"/>
      <c r="AQ23" s="2"/>
      <c r="AR23" s="2"/>
      <c r="AS23" s="2"/>
    </row>
    <row r="24" spans="1:45" ht="14.25" customHeight="1">
      <c r="A24" s="191" t="s">
        <v>24</v>
      </c>
      <c r="B24" s="182"/>
      <c r="C24" s="182"/>
      <c r="D24" s="182"/>
      <c r="E24" s="182"/>
      <c r="F24" s="188"/>
      <c r="G24" s="209"/>
      <c r="H24" s="182"/>
      <c r="I24" s="182"/>
      <c r="J24" s="182"/>
      <c r="K24" s="182"/>
      <c r="L24" s="182"/>
      <c r="M24" s="182"/>
      <c r="N24" s="182"/>
      <c r="O24" s="183"/>
      <c r="P24" s="192" t="s">
        <v>24</v>
      </c>
      <c r="Q24" s="182"/>
      <c r="R24" s="182"/>
      <c r="S24" s="182"/>
      <c r="T24" s="182"/>
      <c r="U24" s="182"/>
      <c r="V24" s="186" t="s">
        <v>25</v>
      </c>
      <c r="W24" s="182"/>
      <c r="X24" s="182"/>
      <c r="Y24" s="182"/>
      <c r="Z24" s="182"/>
      <c r="AA24" s="182"/>
      <c r="AB24" s="182"/>
      <c r="AC24" s="182"/>
      <c r="AD24" s="183"/>
      <c r="AE24" s="2"/>
      <c r="AF24" s="2"/>
      <c r="AG24" s="2"/>
      <c r="AH24" s="2"/>
      <c r="AI24" s="2"/>
      <c r="AJ24" s="2"/>
      <c r="AK24" s="2"/>
      <c r="AL24" s="2"/>
      <c r="AM24" s="2"/>
      <c r="AN24" s="2"/>
      <c r="AO24" s="2"/>
      <c r="AP24" s="2"/>
      <c r="AQ24" s="2"/>
      <c r="AR24" s="2"/>
      <c r="AS24" s="2"/>
    </row>
    <row r="25" spans="1:45" ht="14.25" customHeight="1">
      <c r="A25" s="191" t="s">
        <v>26</v>
      </c>
      <c r="B25" s="182"/>
      <c r="C25" s="182"/>
      <c r="D25" s="182"/>
      <c r="E25" s="182"/>
      <c r="F25" s="188"/>
      <c r="G25" s="209"/>
      <c r="H25" s="182"/>
      <c r="I25" s="182"/>
      <c r="J25" s="182"/>
      <c r="K25" s="182"/>
      <c r="L25" s="182"/>
      <c r="M25" s="182"/>
      <c r="N25" s="182"/>
      <c r="O25" s="183"/>
      <c r="P25" s="192" t="s">
        <v>26</v>
      </c>
      <c r="Q25" s="182"/>
      <c r="R25" s="182"/>
      <c r="S25" s="182"/>
      <c r="T25" s="182"/>
      <c r="U25" s="182"/>
      <c r="V25" s="186" t="s">
        <v>27</v>
      </c>
      <c r="W25" s="182"/>
      <c r="X25" s="182"/>
      <c r="Y25" s="182"/>
      <c r="Z25" s="182"/>
      <c r="AA25" s="182"/>
      <c r="AB25" s="182"/>
      <c r="AC25" s="182"/>
      <c r="AD25" s="183"/>
      <c r="AE25" s="2"/>
      <c r="AF25" s="2"/>
      <c r="AG25" s="2"/>
      <c r="AH25" s="2"/>
      <c r="AI25" s="2"/>
      <c r="AJ25" s="2"/>
      <c r="AK25" s="2"/>
      <c r="AL25" s="2"/>
      <c r="AM25" s="2"/>
      <c r="AN25" s="2"/>
      <c r="AO25" s="2"/>
      <c r="AP25" s="2"/>
      <c r="AQ25" s="2"/>
      <c r="AR25" s="2"/>
      <c r="AS25" s="2"/>
    </row>
    <row r="26" spans="1:45" ht="15" customHeight="1">
      <c r="A26" s="187" t="s">
        <v>28</v>
      </c>
      <c r="B26" s="182"/>
      <c r="C26" s="182"/>
      <c r="D26" s="182"/>
      <c r="E26" s="182"/>
      <c r="F26" s="188"/>
      <c r="G26" s="202"/>
      <c r="H26" s="182"/>
      <c r="I26" s="182"/>
      <c r="J26" s="182"/>
      <c r="K26" s="182"/>
      <c r="L26" s="182"/>
      <c r="M26" s="182"/>
      <c r="N26" s="182"/>
      <c r="O26" s="183"/>
      <c r="P26" s="184" t="s">
        <v>28</v>
      </c>
      <c r="Q26" s="182"/>
      <c r="R26" s="182"/>
      <c r="S26" s="182"/>
      <c r="T26" s="182"/>
      <c r="U26" s="182"/>
      <c r="V26" s="186" t="s">
        <v>29</v>
      </c>
      <c r="W26" s="182"/>
      <c r="X26" s="182"/>
      <c r="Y26" s="182"/>
      <c r="Z26" s="182"/>
      <c r="AA26" s="182"/>
      <c r="AB26" s="182"/>
      <c r="AC26" s="182"/>
      <c r="AD26" s="183"/>
      <c r="AE26" s="2"/>
      <c r="AF26" s="2"/>
      <c r="AG26" s="2"/>
      <c r="AH26" s="2"/>
      <c r="AI26" s="2"/>
      <c r="AJ26" s="2"/>
      <c r="AK26" s="2"/>
      <c r="AL26" s="2"/>
      <c r="AM26" s="2"/>
      <c r="AN26" s="2"/>
      <c r="AO26" s="2"/>
      <c r="AP26" s="2"/>
      <c r="AQ26" s="2"/>
      <c r="AR26" s="2"/>
      <c r="AS26" s="2"/>
    </row>
    <row r="27" spans="1:45" ht="14.25" customHeight="1">
      <c r="A27" s="187" t="s">
        <v>30</v>
      </c>
      <c r="B27" s="182"/>
      <c r="C27" s="182"/>
      <c r="D27" s="182"/>
      <c r="E27" s="182"/>
      <c r="F27" s="188"/>
      <c r="G27" s="202"/>
      <c r="H27" s="182"/>
      <c r="I27" s="182"/>
      <c r="J27" s="182"/>
      <c r="K27" s="182"/>
      <c r="L27" s="182"/>
      <c r="M27" s="182"/>
      <c r="N27" s="182"/>
      <c r="O27" s="183"/>
      <c r="P27" s="184" t="s">
        <v>30</v>
      </c>
      <c r="Q27" s="182"/>
      <c r="R27" s="182"/>
      <c r="S27" s="182"/>
      <c r="T27" s="182"/>
      <c r="U27" s="182"/>
      <c r="V27" s="186">
        <v>1152203750</v>
      </c>
      <c r="W27" s="182"/>
      <c r="X27" s="182"/>
      <c r="Y27" s="182"/>
      <c r="Z27" s="182"/>
      <c r="AA27" s="182"/>
      <c r="AB27" s="182"/>
      <c r="AC27" s="182"/>
      <c r="AD27" s="183"/>
      <c r="AE27" s="2"/>
      <c r="AF27" s="2"/>
      <c r="AG27" s="2"/>
      <c r="AH27" s="2"/>
      <c r="AI27" s="2"/>
      <c r="AJ27" s="2"/>
      <c r="AK27" s="2"/>
      <c r="AL27" s="2"/>
      <c r="AM27" s="2"/>
      <c r="AN27" s="2"/>
      <c r="AO27" s="2"/>
      <c r="AP27" s="2"/>
      <c r="AQ27" s="2"/>
      <c r="AR27" s="2"/>
      <c r="AS27" s="2"/>
    </row>
    <row r="28" spans="1:45" ht="14.25" customHeight="1">
      <c r="A28" s="215" t="s">
        <v>31</v>
      </c>
      <c r="B28" s="176"/>
      <c r="C28" s="176"/>
      <c r="D28" s="176"/>
      <c r="E28" s="176"/>
      <c r="F28" s="216"/>
      <c r="G28" s="185"/>
      <c r="H28" s="176"/>
      <c r="I28" s="176"/>
      <c r="J28" s="176"/>
      <c r="K28" s="176"/>
      <c r="L28" s="176"/>
      <c r="M28" s="176"/>
      <c r="N28" s="176"/>
      <c r="O28" s="177"/>
      <c r="P28" s="193" t="s">
        <v>31</v>
      </c>
      <c r="Q28" s="176"/>
      <c r="R28" s="176"/>
      <c r="S28" s="176"/>
      <c r="T28" s="176"/>
      <c r="U28" s="176"/>
      <c r="V28" s="186" t="s">
        <v>32</v>
      </c>
      <c r="W28" s="182"/>
      <c r="X28" s="182"/>
      <c r="Y28" s="182"/>
      <c r="Z28" s="182"/>
      <c r="AA28" s="182"/>
      <c r="AB28" s="182"/>
      <c r="AC28" s="182"/>
      <c r="AD28" s="183"/>
      <c r="AE28" s="2"/>
      <c r="AF28" s="2"/>
      <c r="AG28" s="2"/>
      <c r="AH28" s="2"/>
      <c r="AI28" s="2"/>
      <c r="AJ28" s="2"/>
      <c r="AK28" s="2"/>
      <c r="AL28" s="2"/>
      <c r="AM28" s="2"/>
      <c r="AN28" s="2"/>
      <c r="AO28" s="2"/>
      <c r="AP28" s="2"/>
      <c r="AQ28" s="2"/>
      <c r="AR28" s="2"/>
      <c r="AS28" s="2"/>
    </row>
    <row r="29" spans="1:45" ht="14.25" customHeight="1">
      <c r="A29" s="231" t="s">
        <v>33</v>
      </c>
      <c r="B29" s="180"/>
      <c r="C29" s="180"/>
      <c r="D29" s="180"/>
      <c r="E29" s="180"/>
      <c r="F29" s="180"/>
      <c r="G29" s="180"/>
      <c r="H29" s="180"/>
      <c r="I29" s="180"/>
      <c r="J29" s="180"/>
      <c r="K29" s="180"/>
      <c r="L29" s="180"/>
      <c r="M29" s="180"/>
      <c r="N29" s="180"/>
      <c r="O29" s="195"/>
      <c r="P29" s="231" t="s">
        <v>33</v>
      </c>
      <c r="Q29" s="180"/>
      <c r="R29" s="180"/>
      <c r="S29" s="180"/>
      <c r="T29" s="180"/>
      <c r="U29" s="180"/>
      <c r="V29" s="180"/>
      <c r="W29" s="180"/>
      <c r="X29" s="180"/>
      <c r="Y29" s="180"/>
      <c r="Z29" s="180"/>
      <c r="AA29" s="180"/>
      <c r="AB29" s="180"/>
      <c r="AC29" s="180"/>
      <c r="AD29" s="195"/>
      <c r="AE29" s="2"/>
      <c r="AF29" s="2"/>
      <c r="AG29" s="2"/>
      <c r="AH29" s="2"/>
      <c r="AI29" s="2"/>
      <c r="AJ29" s="2"/>
      <c r="AK29" s="2"/>
      <c r="AL29" s="2"/>
      <c r="AM29" s="2"/>
      <c r="AN29" s="2"/>
      <c r="AO29" s="2"/>
      <c r="AP29" s="2"/>
      <c r="AQ29" s="2"/>
      <c r="AR29" s="2"/>
      <c r="AS29" s="2"/>
    </row>
    <row r="30" spans="1:45" ht="14.25" customHeight="1">
      <c r="A30" s="219" t="s">
        <v>34</v>
      </c>
      <c r="B30" s="170"/>
      <c r="C30" s="170"/>
      <c r="D30" s="170"/>
      <c r="E30" s="170"/>
      <c r="F30" s="161"/>
      <c r="G30" s="189"/>
      <c r="H30" s="170"/>
      <c r="I30" s="170"/>
      <c r="J30" s="170"/>
      <c r="K30" s="170"/>
      <c r="L30" s="170"/>
      <c r="M30" s="170"/>
      <c r="N30" s="170"/>
      <c r="O30" s="190"/>
      <c r="P30" s="201" t="s">
        <v>34</v>
      </c>
      <c r="Q30" s="170"/>
      <c r="R30" s="170"/>
      <c r="S30" s="170"/>
      <c r="T30" s="170"/>
      <c r="U30" s="170"/>
      <c r="V30" s="186" t="s">
        <v>35</v>
      </c>
      <c r="W30" s="182"/>
      <c r="X30" s="182"/>
      <c r="Y30" s="182"/>
      <c r="Z30" s="182"/>
      <c r="AA30" s="182"/>
      <c r="AB30" s="182"/>
      <c r="AC30" s="182"/>
      <c r="AD30" s="183"/>
      <c r="AE30" s="2"/>
      <c r="AF30" s="2"/>
      <c r="AG30" s="2"/>
      <c r="AH30" s="2"/>
      <c r="AI30" s="2"/>
      <c r="AJ30" s="2"/>
      <c r="AK30" s="2"/>
      <c r="AL30" s="2"/>
      <c r="AM30" s="2"/>
      <c r="AN30" s="2"/>
      <c r="AO30" s="2"/>
      <c r="AP30" s="2"/>
      <c r="AQ30" s="2"/>
      <c r="AR30" s="2"/>
      <c r="AS30" s="2"/>
    </row>
    <row r="31" spans="1:45" ht="14.25" customHeight="1">
      <c r="A31" s="191" t="s">
        <v>36</v>
      </c>
      <c r="B31" s="182"/>
      <c r="C31" s="182"/>
      <c r="D31" s="182"/>
      <c r="E31" s="182"/>
      <c r="F31" s="188"/>
      <c r="G31" s="202"/>
      <c r="H31" s="182"/>
      <c r="I31" s="182"/>
      <c r="J31" s="182"/>
      <c r="K31" s="182"/>
      <c r="L31" s="182"/>
      <c r="M31" s="182"/>
      <c r="N31" s="182"/>
      <c r="O31" s="183"/>
      <c r="P31" s="192" t="s">
        <v>36</v>
      </c>
      <c r="Q31" s="182"/>
      <c r="R31" s="182"/>
      <c r="S31" s="182"/>
      <c r="T31" s="182"/>
      <c r="U31" s="182"/>
      <c r="V31" s="186" t="s">
        <v>37</v>
      </c>
      <c r="W31" s="182"/>
      <c r="X31" s="182"/>
      <c r="Y31" s="182"/>
      <c r="Z31" s="182"/>
      <c r="AA31" s="182"/>
      <c r="AB31" s="182"/>
      <c r="AC31" s="182"/>
      <c r="AD31" s="183"/>
      <c r="AE31" s="2"/>
      <c r="AF31" s="2"/>
      <c r="AG31" s="2"/>
      <c r="AH31" s="2"/>
      <c r="AI31" s="2"/>
      <c r="AJ31" s="2"/>
      <c r="AK31" s="2"/>
      <c r="AL31" s="2"/>
      <c r="AM31" s="2"/>
      <c r="AN31" s="2"/>
      <c r="AO31" s="2"/>
      <c r="AP31" s="2"/>
      <c r="AQ31" s="2"/>
      <c r="AR31" s="2"/>
      <c r="AS31" s="2"/>
    </row>
    <row r="32" spans="1:45" ht="14.25" customHeight="1">
      <c r="A32" s="215" t="s">
        <v>38</v>
      </c>
      <c r="B32" s="176"/>
      <c r="C32" s="176"/>
      <c r="D32" s="176"/>
      <c r="E32" s="176"/>
      <c r="F32" s="216"/>
      <c r="G32" s="205"/>
      <c r="H32" s="176"/>
      <c r="I32" s="176"/>
      <c r="J32" s="176"/>
      <c r="K32" s="176"/>
      <c r="L32" s="176"/>
      <c r="M32" s="176"/>
      <c r="N32" s="176"/>
      <c r="O32" s="177"/>
      <c r="P32" s="193" t="s">
        <v>38</v>
      </c>
      <c r="Q32" s="176"/>
      <c r="R32" s="176"/>
      <c r="S32" s="176"/>
      <c r="T32" s="176"/>
      <c r="U32" s="176"/>
      <c r="V32" s="186" t="s">
        <v>39</v>
      </c>
      <c r="W32" s="182"/>
      <c r="X32" s="182"/>
      <c r="Y32" s="182"/>
      <c r="Z32" s="182"/>
      <c r="AA32" s="182"/>
      <c r="AB32" s="182"/>
      <c r="AC32" s="182"/>
      <c r="AD32" s="183"/>
      <c r="AE32" s="2"/>
      <c r="AF32" s="2"/>
      <c r="AG32" s="2"/>
      <c r="AH32" s="2"/>
      <c r="AI32" s="2"/>
      <c r="AJ32" s="2"/>
      <c r="AK32" s="2"/>
      <c r="AL32" s="2"/>
      <c r="AM32" s="2"/>
      <c r="AN32" s="2"/>
      <c r="AO32" s="2"/>
      <c r="AP32" s="2"/>
      <c r="AQ32" s="2"/>
      <c r="AR32" s="2"/>
      <c r="AS32" s="2"/>
    </row>
    <row r="33" spans="1:45" ht="14.25" customHeight="1">
      <c r="A33" s="194" t="s">
        <v>40</v>
      </c>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95"/>
      <c r="AE33" s="2"/>
      <c r="AF33" s="2"/>
      <c r="AG33" s="2"/>
      <c r="AH33" s="2"/>
      <c r="AI33" s="2"/>
      <c r="AJ33" s="2"/>
      <c r="AK33" s="2"/>
      <c r="AL33" s="2"/>
      <c r="AM33" s="2"/>
      <c r="AN33" s="2"/>
      <c r="AO33" s="2"/>
      <c r="AP33" s="2"/>
      <c r="AQ33" s="2"/>
      <c r="AR33" s="2"/>
      <c r="AS33" s="2"/>
    </row>
    <row r="34" spans="1:45" ht="14.25" customHeight="1">
      <c r="A34" s="225" t="s">
        <v>41</v>
      </c>
      <c r="B34" s="165"/>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6"/>
      <c r="AE34" s="2"/>
      <c r="AF34" s="2"/>
      <c r="AG34" s="2"/>
      <c r="AH34" s="2"/>
      <c r="AI34" s="2"/>
      <c r="AJ34" s="2"/>
      <c r="AK34" s="2"/>
      <c r="AL34" s="2"/>
      <c r="AM34" s="2"/>
      <c r="AN34" s="2"/>
      <c r="AO34" s="2"/>
      <c r="AP34" s="2"/>
      <c r="AQ34" s="2"/>
      <c r="AR34" s="2"/>
      <c r="AS34" s="2"/>
    </row>
    <row r="35" spans="1:45" ht="15" customHeight="1">
      <c r="A35" s="226"/>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c r="AA35" s="173"/>
      <c r="AB35" s="173"/>
      <c r="AC35" s="173"/>
      <c r="AD35" s="227"/>
      <c r="AE35" s="2"/>
      <c r="AF35" s="2"/>
      <c r="AG35" s="2"/>
      <c r="AH35" s="2"/>
      <c r="AI35" s="2"/>
      <c r="AJ35" s="2"/>
      <c r="AK35" s="2"/>
      <c r="AL35" s="2"/>
      <c r="AM35" s="2"/>
      <c r="AN35" s="2"/>
      <c r="AO35" s="2"/>
      <c r="AP35" s="2"/>
      <c r="AQ35" s="2"/>
      <c r="AR35" s="2"/>
      <c r="AS35" s="2"/>
    </row>
    <row r="36" spans="1:45" ht="14.25" customHeight="1">
      <c r="A36" s="194" t="s">
        <v>42</v>
      </c>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c r="AA36" s="180"/>
      <c r="AB36" s="180"/>
      <c r="AC36" s="180"/>
      <c r="AD36" s="195"/>
      <c r="AE36" s="2"/>
      <c r="AF36" s="2"/>
      <c r="AG36" s="2"/>
      <c r="AH36" s="2"/>
      <c r="AI36" s="2"/>
      <c r="AJ36" s="2"/>
      <c r="AK36" s="2"/>
      <c r="AL36" s="2"/>
      <c r="AM36" s="2"/>
      <c r="AN36" s="2"/>
      <c r="AO36" s="2"/>
      <c r="AP36" s="2"/>
      <c r="AQ36" s="2"/>
      <c r="AR36" s="2"/>
      <c r="AS36" s="2"/>
    </row>
    <row r="37" spans="1:45" ht="15" customHeight="1">
      <c r="A37" s="224" t="s">
        <v>43</v>
      </c>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c r="AA37" s="180"/>
      <c r="AB37" s="180"/>
      <c r="AC37" s="180"/>
      <c r="AD37" s="195"/>
      <c r="AE37" s="2"/>
      <c r="AF37" s="2"/>
      <c r="AG37" s="2"/>
      <c r="AH37" s="2"/>
      <c r="AI37" s="2"/>
      <c r="AJ37" s="2"/>
      <c r="AK37" s="2"/>
      <c r="AL37" s="2"/>
      <c r="AM37" s="2"/>
      <c r="AN37" s="2"/>
      <c r="AO37" s="2"/>
      <c r="AP37" s="2"/>
      <c r="AQ37" s="2"/>
      <c r="AR37" s="2"/>
      <c r="AS37" s="2"/>
    </row>
    <row r="38" spans="1:45" ht="15" customHeight="1">
      <c r="A38" s="194" t="s">
        <v>44</v>
      </c>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c r="AA38" s="180"/>
      <c r="AB38" s="180"/>
      <c r="AC38" s="180"/>
      <c r="AD38" s="195"/>
      <c r="AE38" s="2"/>
      <c r="AF38" s="2"/>
      <c r="AG38" s="2"/>
      <c r="AH38" s="2"/>
      <c r="AI38" s="2"/>
      <c r="AJ38" s="2"/>
      <c r="AK38" s="2"/>
      <c r="AL38" s="2"/>
      <c r="AM38" s="2"/>
      <c r="AN38" s="2"/>
      <c r="AO38" s="2"/>
      <c r="AP38" s="2"/>
      <c r="AQ38" s="2"/>
      <c r="AR38" s="2"/>
      <c r="AS38" s="2"/>
    </row>
    <row r="39" spans="1:45" ht="30" customHeight="1">
      <c r="A39" s="218" t="s">
        <v>45</v>
      </c>
      <c r="B39" s="180"/>
      <c r="C39" s="180"/>
      <c r="D39" s="180"/>
      <c r="E39" s="180"/>
      <c r="F39" s="180"/>
      <c r="G39" s="180"/>
      <c r="H39" s="180"/>
      <c r="I39" s="180"/>
      <c r="J39" s="180"/>
      <c r="K39" s="195"/>
      <c r="L39" s="223"/>
      <c r="M39" s="180"/>
      <c r="N39" s="180"/>
      <c r="O39" s="180"/>
      <c r="P39" s="180"/>
      <c r="Q39" s="195"/>
      <c r="R39" s="218" t="s">
        <v>46</v>
      </c>
      <c r="S39" s="180"/>
      <c r="T39" s="195"/>
      <c r="U39" s="223"/>
      <c r="V39" s="180"/>
      <c r="W39" s="180"/>
      <c r="X39" s="180"/>
      <c r="Y39" s="180"/>
      <c r="Z39" s="180"/>
      <c r="AA39" s="180"/>
      <c r="AB39" s="180"/>
      <c r="AC39" s="180"/>
      <c r="AD39" s="195"/>
      <c r="AE39" s="5"/>
      <c r="AF39" s="5"/>
      <c r="AG39" s="5"/>
      <c r="AH39" s="5"/>
      <c r="AI39" s="5"/>
      <c r="AJ39" s="5"/>
      <c r="AK39" s="5"/>
      <c r="AL39" s="5"/>
      <c r="AM39" s="5"/>
      <c r="AN39" s="5"/>
      <c r="AO39" s="5"/>
      <c r="AP39" s="5"/>
      <c r="AQ39" s="5"/>
      <c r="AR39" s="5"/>
      <c r="AS39" s="5"/>
    </row>
    <row r="40" spans="1:45" ht="15.75" customHeight="1">
      <c r="A40" s="220" t="s">
        <v>47</v>
      </c>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6"/>
      <c r="AE40" s="2"/>
      <c r="AF40" s="2"/>
      <c r="AG40" s="2"/>
      <c r="AH40" s="2"/>
      <c r="AI40" s="2"/>
      <c r="AJ40" s="2"/>
      <c r="AK40" s="2"/>
      <c r="AL40" s="2"/>
      <c r="AM40" s="2"/>
      <c r="AN40" s="2"/>
      <c r="AO40" s="2"/>
      <c r="AP40" s="2"/>
      <c r="AQ40" s="2"/>
      <c r="AR40" s="2"/>
      <c r="AS40" s="2"/>
    </row>
    <row r="41" spans="1:45" ht="14.25" customHeight="1">
      <c r="A41" s="179" t="s">
        <v>48</v>
      </c>
      <c r="B41" s="180"/>
      <c r="C41" s="180"/>
      <c r="D41" s="6" t="s">
        <v>49</v>
      </c>
      <c r="E41" s="224" t="s">
        <v>50</v>
      </c>
      <c r="F41" s="180"/>
      <c r="G41" s="180"/>
      <c r="H41" s="180"/>
      <c r="I41" s="180"/>
      <c r="J41" s="180"/>
      <c r="K41" s="195"/>
      <c r="L41" s="6" t="s">
        <v>49</v>
      </c>
      <c r="M41" s="179" t="s">
        <v>51</v>
      </c>
      <c r="N41" s="180"/>
      <c r="O41" s="180"/>
      <c r="P41" s="180"/>
      <c r="Q41" s="180"/>
      <c r="R41" s="180"/>
      <c r="S41" s="180"/>
      <c r="T41" s="6" t="s">
        <v>49</v>
      </c>
      <c r="U41" s="179" t="s">
        <v>52</v>
      </c>
      <c r="V41" s="180"/>
      <c r="W41" s="180"/>
      <c r="X41" s="180"/>
      <c r="Y41" s="180"/>
      <c r="Z41" s="180"/>
      <c r="AA41" s="180"/>
      <c r="AB41" s="180"/>
      <c r="AC41" s="4" t="s">
        <v>49</v>
      </c>
      <c r="AD41" s="7"/>
      <c r="AE41" s="2"/>
      <c r="AF41" s="2"/>
      <c r="AG41" s="2"/>
      <c r="AH41" s="2"/>
      <c r="AI41" s="2"/>
      <c r="AJ41" s="2"/>
      <c r="AK41" s="2"/>
      <c r="AL41" s="2"/>
      <c r="AM41" s="2"/>
      <c r="AN41" s="2"/>
      <c r="AO41" s="2"/>
      <c r="AP41" s="2"/>
      <c r="AQ41" s="2"/>
      <c r="AR41" s="2"/>
      <c r="AS41" s="2"/>
    </row>
    <row r="42" spans="1:45" ht="14.25" customHeight="1">
      <c r="A42" s="194" t="s">
        <v>53</v>
      </c>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c r="AA42" s="180"/>
      <c r="AB42" s="180"/>
      <c r="AC42" s="180"/>
      <c r="AD42" s="195"/>
      <c r="AE42" s="2"/>
      <c r="AF42" s="2"/>
      <c r="AG42" s="2"/>
      <c r="AH42" s="2"/>
      <c r="AI42" s="2"/>
      <c r="AJ42" s="2"/>
      <c r="AK42" s="2"/>
      <c r="AL42" s="2"/>
      <c r="AM42" s="2"/>
      <c r="AN42" s="2"/>
      <c r="AO42" s="2"/>
      <c r="AP42" s="2"/>
      <c r="AQ42" s="2"/>
      <c r="AR42" s="2"/>
      <c r="AS42" s="2"/>
    </row>
    <row r="43" spans="1:45" ht="14.25" customHeight="1">
      <c r="A43" s="199"/>
      <c r="B43" s="165"/>
      <c r="C43" s="165"/>
      <c r="D43" s="165"/>
      <c r="E43" s="165"/>
      <c r="F43" s="165"/>
      <c r="G43" s="165"/>
      <c r="H43" s="165"/>
      <c r="I43" s="165"/>
      <c r="J43" s="165"/>
      <c r="K43" s="165"/>
      <c r="L43" s="165"/>
      <c r="M43" s="165"/>
      <c r="N43" s="165"/>
      <c r="O43" s="200"/>
      <c r="P43" s="8"/>
      <c r="Q43" s="8"/>
      <c r="R43" s="8"/>
      <c r="S43" s="8"/>
      <c r="T43" s="8"/>
      <c r="U43" s="8"/>
      <c r="V43" s="8"/>
      <c r="W43" s="8"/>
      <c r="X43" s="8"/>
      <c r="Y43" s="8"/>
      <c r="Z43" s="8"/>
      <c r="AA43" s="8"/>
      <c r="AB43" s="8"/>
      <c r="AC43" s="8"/>
      <c r="AD43" s="9"/>
      <c r="AE43" s="2"/>
      <c r="AF43" s="2"/>
      <c r="AG43" s="2"/>
      <c r="AH43" s="2"/>
      <c r="AI43" s="2"/>
      <c r="AJ43" s="2"/>
      <c r="AK43" s="2"/>
      <c r="AL43" s="2"/>
      <c r="AM43" s="2"/>
      <c r="AN43" s="2"/>
      <c r="AO43" s="2"/>
      <c r="AP43" s="2"/>
      <c r="AQ43" s="2"/>
      <c r="AR43" s="2"/>
      <c r="AS43" s="2"/>
    </row>
    <row r="44" spans="1:45" ht="14.25" customHeight="1">
      <c r="A44" s="178" t="s">
        <v>54</v>
      </c>
      <c r="B44" s="169"/>
      <c r="C44" s="169"/>
      <c r="D44" s="169"/>
      <c r="E44" s="169"/>
      <c r="F44" s="203" t="s">
        <v>55</v>
      </c>
      <c r="G44" s="182"/>
      <c r="H44" s="182"/>
      <c r="I44" s="182"/>
      <c r="J44" s="182"/>
      <c r="K44" s="182"/>
      <c r="L44" s="182"/>
      <c r="M44" s="182"/>
      <c r="N44" s="182"/>
      <c r="O44" s="188"/>
      <c r="P44" s="232" t="s">
        <v>56</v>
      </c>
      <c r="Q44" s="169"/>
      <c r="R44" s="169"/>
      <c r="S44" s="169"/>
      <c r="T44" s="230" t="s">
        <v>57</v>
      </c>
      <c r="U44" s="182"/>
      <c r="V44" s="182"/>
      <c r="W44" s="182"/>
      <c r="X44" s="182"/>
      <c r="Y44" s="182"/>
      <c r="Z44" s="182"/>
      <c r="AA44" s="182"/>
      <c r="AB44" s="182"/>
      <c r="AC44" s="182"/>
      <c r="AD44" s="183"/>
      <c r="AE44" s="2"/>
      <c r="AF44" s="2"/>
      <c r="AG44" s="2"/>
      <c r="AH44" s="2"/>
      <c r="AI44" s="2"/>
      <c r="AJ44" s="2"/>
      <c r="AK44" s="2"/>
      <c r="AL44" s="2"/>
      <c r="AM44" s="2"/>
      <c r="AN44" s="2"/>
      <c r="AO44" s="2"/>
      <c r="AP44" s="2"/>
      <c r="AQ44" s="2"/>
      <c r="AR44" s="2"/>
      <c r="AS44" s="2"/>
    </row>
    <row r="45" spans="1:45" ht="14.25" customHeight="1">
      <c r="A45" s="172"/>
      <c r="B45" s="173"/>
      <c r="C45" s="173"/>
      <c r="D45" s="173"/>
      <c r="E45" s="173"/>
      <c r="F45" s="173"/>
      <c r="G45" s="173"/>
      <c r="H45" s="173"/>
      <c r="I45" s="173"/>
      <c r="J45" s="173"/>
      <c r="K45" s="173"/>
      <c r="L45" s="173"/>
      <c r="M45" s="173"/>
      <c r="N45" s="173"/>
      <c r="O45" s="174"/>
      <c r="P45" s="10"/>
      <c r="Q45" s="10"/>
      <c r="R45" s="10"/>
      <c r="S45" s="10"/>
      <c r="T45" s="10"/>
      <c r="U45" s="10"/>
      <c r="V45" s="10"/>
      <c r="W45" s="10"/>
      <c r="X45" s="10"/>
      <c r="Y45" s="10"/>
      <c r="Z45" s="10"/>
      <c r="AA45" s="10"/>
      <c r="AB45" s="10"/>
      <c r="AC45" s="10"/>
      <c r="AD45" s="11"/>
      <c r="AE45" s="2"/>
      <c r="AF45" s="2"/>
      <c r="AG45" s="2"/>
      <c r="AH45" s="2"/>
      <c r="AI45" s="2"/>
      <c r="AJ45" s="2"/>
      <c r="AK45" s="2"/>
      <c r="AL45" s="2"/>
      <c r="AM45" s="2"/>
      <c r="AN45" s="2"/>
      <c r="AO45" s="2"/>
      <c r="AP45" s="2"/>
      <c r="AQ45" s="2"/>
      <c r="AR45" s="2"/>
      <c r="AS45" s="2"/>
    </row>
    <row r="46" spans="1:45" ht="14.25" customHeight="1">
      <c r="A46" s="194" t="s">
        <v>58</v>
      </c>
      <c r="B46" s="180"/>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95"/>
      <c r="AE46" s="2"/>
      <c r="AF46" s="2"/>
      <c r="AG46" s="2"/>
      <c r="AH46" s="2"/>
      <c r="AI46" s="2"/>
      <c r="AJ46" s="2"/>
      <c r="AK46" s="2"/>
      <c r="AL46" s="2"/>
      <c r="AM46" s="2"/>
      <c r="AN46" s="2"/>
      <c r="AO46" s="2"/>
      <c r="AP46" s="2"/>
      <c r="AQ46" s="2"/>
      <c r="AR46" s="2"/>
      <c r="AS46" s="2"/>
    </row>
    <row r="47" spans="1:45" ht="14.25" customHeight="1">
      <c r="A47" s="221" t="s">
        <v>59</v>
      </c>
      <c r="B47" s="197"/>
      <c r="C47" s="197"/>
      <c r="D47" s="197"/>
      <c r="E47" s="197"/>
      <c r="F47" s="197"/>
      <c r="G47" s="197"/>
      <c r="H47" s="197"/>
      <c r="I47" s="197"/>
      <c r="J47" s="222"/>
      <c r="K47" s="196"/>
      <c r="L47" s="197"/>
      <c r="M47" s="197"/>
      <c r="N47" s="197"/>
      <c r="O47" s="197"/>
      <c r="P47" s="197"/>
      <c r="Q47" s="197"/>
      <c r="R47" s="197"/>
      <c r="S47" s="197"/>
      <c r="T47" s="197"/>
      <c r="U47" s="197"/>
      <c r="V47" s="197"/>
      <c r="W47" s="197"/>
      <c r="X47" s="197"/>
      <c r="Y47" s="197"/>
      <c r="Z47" s="197"/>
      <c r="AA47" s="197"/>
      <c r="AB47" s="197"/>
      <c r="AC47" s="197"/>
      <c r="AD47" s="198"/>
      <c r="AE47" s="2"/>
      <c r="AF47" s="2"/>
      <c r="AG47" s="2"/>
      <c r="AH47" s="2"/>
      <c r="AI47" s="2"/>
      <c r="AJ47" s="2"/>
      <c r="AK47" s="2"/>
      <c r="AL47" s="2"/>
      <c r="AM47" s="2"/>
      <c r="AN47" s="2"/>
      <c r="AO47" s="2"/>
      <c r="AP47" s="2"/>
      <c r="AQ47" s="2"/>
      <c r="AR47" s="2"/>
      <c r="AS47" s="2"/>
    </row>
    <row r="48" spans="1:45" ht="14.25" customHeight="1">
      <c r="A48" s="194" t="s">
        <v>60</v>
      </c>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c r="AA48" s="180"/>
      <c r="AB48" s="180"/>
      <c r="AC48" s="180"/>
      <c r="AD48" s="195"/>
      <c r="AE48" s="2"/>
      <c r="AF48" s="2"/>
      <c r="AG48" s="2"/>
      <c r="AH48" s="2"/>
      <c r="AI48" s="2"/>
      <c r="AJ48" s="2"/>
      <c r="AK48" s="2"/>
      <c r="AL48" s="2"/>
      <c r="AM48" s="2"/>
      <c r="AN48" s="2"/>
      <c r="AO48" s="2"/>
      <c r="AP48" s="2"/>
      <c r="AQ48" s="2"/>
      <c r="AR48" s="2"/>
      <c r="AS48" s="2"/>
    </row>
    <row r="49" spans="1:45" ht="14.25" customHeight="1">
      <c r="A49" s="221" t="s">
        <v>61</v>
      </c>
      <c r="B49" s="197"/>
      <c r="C49" s="197"/>
      <c r="D49" s="197"/>
      <c r="E49" s="197"/>
      <c r="F49" s="197"/>
      <c r="G49" s="197"/>
      <c r="H49" s="197"/>
      <c r="I49" s="197"/>
      <c r="J49" s="222"/>
      <c r="K49" s="228"/>
      <c r="L49" s="197"/>
      <c r="M49" s="197"/>
      <c r="N49" s="197"/>
      <c r="O49" s="197"/>
      <c r="P49" s="197"/>
      <c r="Q49" s="197"/>
      <c r="R49" s="197"/>
      <c r="S49" s="197"/>
      <c r="T49" s="197"/>
      <c r="U49" s="197"/>
      <c r="V49" s="197"/>
      <c r="W49" s="197"/>
      <c r="X49" s="197"/>
      <c r="Y49" s="197"/>
      <c r="Z49" s="197"/>
      <c r="AA49" s="197"/>
      <c r="AB49" s="197"/>
      <c r="AC49" s="197"/>
      <c r="AD49" s="198"/>
      <c r="AE49" s="2"/>
      <c r="AF49" s="2"/>
      <c r="AG49" s="2"/>
      <c r="AH49" s="2"/>
      <c r="AI49" s="2"/>
      <c r="AJ49" s="2"/>
      <c r="AK49" s="2"/>
      <c r="AL49" s="2"/>
      <c r="AM49" s="2"/>
      <c r="AN49" s="2"/>
      <c r="AO49" s="2"/>
      <c r="AP49" s="2"/>
      <c r="AQ49" s="2"/>
      <c r="AR49" s="2"/>
      <c r="AS49" s="2"/>
    </row>
    <row r="50" spans="1:45" ht="14.25" customHeight="1">
      <c r="A50" s="194" t="s">
        <v>62</v>
      </c>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c r="AA50" s="180"/>
      <c r="AB50" s="180"/>
      <c r="AC50" s="180"/>
      <c r="AD50" s="195"/>
      <c r="AE50" s="2"/>
      <c r="AF50" s="2"/>
      <c r="AG50" s="2"/>
      <c r="AH50" s="2"/>
      <c r="AI50" s="2"/>
      <c r="AJ50" s="2"/>
      <c r="AK50" s="2"/>
      <c r="AL50" s="2"/>
      <c r="AM50" s="2"/>
      <c r="AN50" s="2"/>
      <c r="AO50" s="2"/>
      <c r="AP50" s="2"/>
      <c r="AQ50" s="2"/>
      <c r="AR50" s="2"/>
      <c r="AS50" s="2"/>
    </row>
    <row r="51" spans="1:45" ht="58.5" customHeight="1">
      <c r="A51" s="175" t="s">
        <v>63</v>
      </c>
      <c r="B51" s="176"/>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c r="AA51" s="176"/>
      <c r="AB51" s="176"/>
      <c r="AC51" s="176"/>
      <c r="AD51" s="177"/>
      <c r="AE51" s="2"/>
      <c r="AF51" s="2"/>
      <c r="AG51" s="2"/>
      <c r="AH51" s="2"/>
      <c r="AI51" s="2"/>
      <c r="AJ51" s="2"/>
      <c r="AK51" s="2"/>
      <c r="AL51" s="2"/>
      <c r="AM51" s="2"/>
      <c r="AN51" s="2"/>
      <c r="AO51" s="2"/>
      <c r="AP51" s="2"/>
      <c r="AQ51" s="2"/>
      <c r="AR51" s="2"/>
      <c r="AS51" s="2"/>
    </row>
    <row r="52" spans="1:45" ht="14.25" customHeight="1">
      <c r="A52" s="12"/>
      <c r="B52" s="229"/>
      <c r="C52" s="165"/>
      <c r="D52" s="165"/>
      <c r="E52" s="165"/>
      <c r="F52" s="165"/>
      <c r="G52" s="165"/>
      <c r="H52" s="165"/>
      <c r="I52" s="165"/>
      <c r="J52" s="165"/>
      <c r="K52" s="165"/>
      <c r="L52" s="165"/>
      <c r="M52" s="165"/>
      <c r="N52" s="8"/>
      <c r="O52" s="8"/>
      <c r="P52" s="8"/>
      <c r="Q52" s="229"/>
      <c r="R52" s="165"/>
      <c r="S52" s="165"/>
      <c r="T52" s="165"/>
      <c r="U52" s="165"/>
      <c r="V52" s="165"/>
      <c r="W52" s="165"/>
      <c r="X52" s="165"/>
      <c r="Y52" s="165"/>
      <c r="Z52" s="165"/>
      <c r="AA52" s="165"/>
      <c r="AB52" s="165"/>
      <c r="AC52" s="165"/>
      <c r="AD52" s="9"/>
      <c r="AE52" s="2"/>
      <c r="AF52" s="2"/>
      <c r="AG52" s="2"/>
      <c r="AH52" s="2"/>
      <c r="AI52" s="2"/>
      <c r="AJ52" s="2"/>
      <c r="AK52" s="2"/>
      <c r="AL52" s="2"/>
      <c r="AM52" s="2"/>
      <c r="AN52" s="2"/>
      <c r="AO52" s="2"/>
      <c r="AP52" s="2"/>
      <c r="AQ52" s="2"/>
      <c r="AR52" s="2"/>
      <c r="AS52" s="2"/>
    </row>
    <row r="53" spans="1:45" ht="14.25" customHeight="1">
      <c r="A53" s="13"/>
      <c r="B53" s="169"/>
      <c r="C53" s="169"/>
      <c r="D53" s="169"/>
      <c r="E53" s="169"/>
      <c r="F53" s="169"/>
      <c r="G53" s="169"/>
      <c r="H53" s="169"/>
      <c r="I53" s="169"/>
      <c r="J53" s="169"/>
      <c r="K53" s="169"/>
      <c r="L53" s="169"/>
      <c r="M53" s="169"/>
      <c r="N53" s="2"/>
      <c r="O53" s="2"/>
      <c r="P53" s="2"/>
      <c r="Q53" s="169"/>
      <c r="R53" s="169"/>
      <c r="S53" s="169"/>
      <c r="T53" s="169"/>
      <c r="U53" s="169"/>
      <c r="V53" s="169"/>
      <c r="W53" s="169"/>
      <c r="X53" s="169"/>
      <c r="Y53" s="169"/>
      <c r="Z53" s="169"/>
      <c r="AA53" s="169"/>
      <c r="AB53" s="169"/>
      <c r="AC53" s="169"/>
      <c r="AD53" s="14"/>
      <c r="AE53" s="2"/>
      <c r="AF53" s="2"/>
      <c r="AG53" s="2"/>
      <c r="AH53" s="2"/>
      <c r="AI53" s="2"/>
      <c r="AJ53" s="2"/>
      <c r="AK53" s="2"/>
      <c r="AL53" s="2"/>
      <c r="AM53" s="2"/>
      <c r="AN53" s="2"/>
      <c r="AO53" s="2"/>
      <c r="AP53" s="2"/>
      <c r="AQ53" s="2"/>
      <c r="AR53" s="2"/>
      <c r="AS53" s="2"/>
    </row>
    <row r="54" spans="1:45" ht="14.25" customHeight="1">
      <c r="A54" s="13"/>
      <c r="B54" s="169"/>
      <c r="C54" s="169"/>
      <c r="D54" s="169"/>
      <c r="E54" s="169"/>
      <c r="F54" s="169"/>
      <c r="G54" s="169"/>
      <c r="H54" s="169"/>
      <c r="I54" s="169"/>
      <c r="J54" s="169"/>
      <c r="K54" s="169"/>
      <c r="L54" s="169"/>
      <c r="M54" s="169"/>
      <c r="N54" s="2"/>
      <c r="O54" s="2"/>
      <c r="P54" s="2"/>
      <c r="Q54" s="169"/>
      <c r="R54" s="169"/>
      <c r="S54" s="169"/>
      <c r="T54" s="169"/>
      <c r="U54" s="169"/>
      <c r="V54" s="169"/>
      <c r="W54" s="169"/>
      <c r="X54" s="169"/>
      <c r="Y54" s="169"/>
      <c r="Z54" s="169"/>
      <c r="AA54" s="169"/>
      <c r="AB54" s="169"/>
      <c r="AC54" s="169"/>
      <c r="AD54" s="14"/>
      <c r="AE54" s="2"/>
      <c r="AF54" s="2"/>
      <c r="AG54" s="2"/>
      <c r="AH54" s="2"/>
      <c r="AI54" s="2"/>
      <c r="AJ54" s="2"/>
      <c r="AK54" s="2"/>
      <c r="AL54" s="2"/>
      <c r="AM54" s="2"/>
      <c r="AN54" s="2"/>
      <c r="AO54" s="2"/>
      <c r="AP54" s="2"/>
      <c r="AQ54" s="2"/>
      <c r="AR54" s="2"/>
      <c r="AS54" s="2"/>
    </row>
    <row r="55" spans="1:45" ht="14.25" customHeight="1">
      <c r="A55" s="13"/>
      <c r="B55" s="169"/>
      <c r="C55" s="169"/>
      <c r="D55" s="169"/>
      <c r="E55" s="169"/>
      <c r="F55" s="169"/>
      <c r="G55" s="169"/>
      <c r="H55" s="169"/>
      <c r="I55" s="169"/>
      <c r="J55" s="169"/>
      <c r="K55" s="169"/>
      <c r="L55" s="169"/>
      <c r="M55" s="169"/>
      <c r="N55" s="2"/>
      <c r="O55" s="2"/>
      <c r="P55" s="2"/>
      <c r="Q55" s="169"/>
      <c r="R55" s="169"/>
      <c r="S55" s="169"/>
      <c r="T55" s="169"/>
      <c r="U55" s="169"/>
      <c r="V55" s="169"/>
      <c r="W55" s="169"/>
      <c r="X55" s="169"/>
      <c r="Y55" s="169"/>
      <c r="Z55" s="169"/>
      <c r="AA55" s="169"/>
      <c r="AB55" s="169"/>
      <c r="AC55" s="169"/>
      <c r="AD55" s="14"/>
      <c r="AE55" s="2"/>
      <c r="AF55" s="2"/>
      <c r="AG55" s="2"/>
      <c r="AH55" s="2"/>
      <c r="AI55" s="2"/>
      <c r="AJ55" s="2"/>
      <c r="AK55" s="2"/>
      <c r="AL55" s="2"/>
      <c r="AM55" s="2"/>
      <c r="AN55" s="2"/>
      <c r="AO55" s="2"/>
      <c r="AP55" s="2"/>
      <c r="AQ55" s="2"/>
      <c r="AR55" s="2"/>
      <c r="AS55" s="2"/>
    </row>
    <row r="56" spans="1:45" ht="14.25" customHeight="1">
      <c r="A56" s="13"/>
      <c r="B56" s="15" t="s">
        <v>64</v>
      </c>
      <c r="C56" s="15"/>
      <c r="D56" s="15"/>
      <c r="E56" s="15"/>
      <c r="F56" s="15"/>
      <c r="G56" s="15"/>
      <c r="H56" s="15"/>
      <c r="I56" s="15"/>
      <c r="J56" s="15"/>
      <c r="K56" s="15"/>
      <c r="L56" s="2"/>
      <c r="M56" s="2"/>
      <c r="N56" s="2"/>
      <c r="O56" s="2"/>
      <c r="P56" s="2"/>
      <c r="Q56" s="15" t="s">
        <v>65</v>
      </c>
      <c r="R56" s="15"/>
      <c r="S56" s="15"/>
      <c r="T56" s="15"/>
      <c r="U56" s="15"/>
      <c r="V56" s="15"/>
      <c r="W56" s="15"/>
      <c r="X56" s="15"/>
      <c r="Y56" s="15"/>
      <c r="Z56" s="15"/>
      <c r="AA56" s="2"/>
      <c r="AB56" s="2"/>
      <c r="AC56" s="2"/>
      <c r="AD56" s="14"/>
      <c r="AE56" s="2"/>
      <c r="AF56" s="2"/>
      <c r="AG56" s="2"/>
      <c r="AH56" s="2"/>
      <c r="AI56" s="2"/>
      <c r="AJ56" s="2"/>
      <c r="AK56" s="2"/>
      <c r="AL56" s="2"/>
      <c r="AM56" s="2"/>
      <c r="AN56" s="2"/>
      <c r="AO56" s="2"/>
      <c r="AP56" s="2"/>
      <c r="AQ56" s="2"/>
      <c r="AR56" s="2"/>
      <c r="AS56" s="2"/>
    </row>
    <row r="57" spans="1:45" ht="14.25" customHeight="1">
      <c r="A57" s="13"/>
      <c r="B57" s="16" t="s">
        <v>66</v>
      </c>
      <c r="C57" s="202"/>
      <c r="D57" s="182"/>
      <c r="E57" s="182"/>
      <c r="F57" s="182"/>
      <c r="G57" s="182"/>
      <c r="H57" s="182"/>
      <c r="I57" s="182"/>
      <c r="J57" s="182"/>
      <c r="K57" s="183"/>
      <c r="L57" s="2"/>
      <c r="M57" s="2"/>
      <c r="N57" s="2"/>
      <c r="O57" s="2"/>
      <c r="P57" s="2"/>
      <c r="Q57" s="16" t="s">
        <v>66</v>
      </c>
      <c r="R57" s="16"/>
      <c r="S57" s="214">
        <v>1152203750</v>
      </c>
      <c r="T57" s="169"/>
      <c r="U57" s="169"/>
      <c r="V57" s="169"/>
      <c r="W57" s="169"/>
      <c r="X57" s="169"/>
      <c r="Y57" s="169"/>
      <c r="Z57" s="169"/>
      <c r="AA57" s="2"/>
      <c r="AB57" s="2"/>
      <c r="AC57" s="2"/>
      <c r="AD57" s="14"/>
      <c r="AE57" s="2"/>
      <c r="AF57" s="2"/>
      <c r="AG57" s="2"/>
      <c r="AH57" s="2"/>
      <c r="AI57" s="2"/>
      <c r="AJ57" s="2"/>
      <c r="AK57" s="2"/>
      <c r="AL57" s="2"/>
      <c r="AM57" s="2"/>
      <c r="AN57" s="2"/>
      <c r="AO57" s="2"/>
      <c r="AP57" s="2"/>
      <c r="AQ57" s="2"/>
      <c r="AR57" s="2"/>
      <c r="AS57" s="2"/>
    </row>
    <row r="58" spans="1:45" ht="14.25" customHeight="1">
      <c r="A58" s="17"/>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1"/>
      <c r="AE58" s="2"/>
      <c r="AF58" s="2"/>
      <c r="AG58" s="2"/>
      <c r="AH58" s="2"/>
      <c r="AI58" s="2"/>
      <c r="AJ58" s="2"/>
      <c r="AK58" s="2"/>
      <c r="AL58" s="2"/>
      <c r="AM58" s="2"/>
      <c r="AN58" s="2"/>
      <c r="AO58" s="2"/>
      <c r="AP58" s="2"/>
      <c r="AQ58" s="2"/>
      <c r="AR58" s="2"/>
      <c r="AS58" s="2"/>
    </row>
    <row r="59" spans="1:45"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row>
    <row r="60" spans="1:45"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row>
    <row r="61" spans="1:45"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row>
    <row r="62" spans="1:45"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row>
    <row r="63" spans="1:45"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row>
    <row r="64" spans="1:45"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row>
    <row r="65" spans="1:4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row>
    <row r="66" spans="1:45"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row>
    <row r="67" spans="1:45"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row>
    <row r="68" spans="1:45"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row>
    <row r="69" spans="1:45"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row>
    <row r="70" spans="1:45"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row>
    <row r="71" spans="1:45"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row>
    <row r="72" spans="1:45"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row>
    <row r="73" spans="1:45"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row>
    <row r="74" spans="1:45"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row>
    <row r="75" spans="1:4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row>
    <row r="76" spans="1:45"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row>
    <row r="77" spans="1:45"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row>
    <row r="78" spans="1:45"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row>
    <row r="79" spans="1:45"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row>
    <row r="80" spans="1:45"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row>
    <row r="81" spans="1:45"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row>
    <row r="82" spans="1:45"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row>
    <row r="83" spans="1:45"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row>
    <row r="84" spans="1:45"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row>
    <row r="85" spans="1:4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row>
    <row r="86" spans="1:45"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row>
    <row r="87" spans="1:45"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row>
    <row r="88" spans="1:45"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row>
    <row r="90" spans="1:45"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row>
    <row r="91" spans="1:45"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row>
    <row r="92" spans="1:45"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row>
    <row r="93" spans="1:45"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row>
    <row r="94" spans="1:45"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row>
    <row r="95" spans="1:4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row>
    <row r="96" spans="1:45"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row>
    <row r="97" spans="1:45"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row>
    <row r="98" spans="1:45"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row>
    <row r="99" spans="1:45"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row>
    <row r="100" spans="1:45"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spans="1:45"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spans="1:45"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row>
    <row r="103" spans="1:45"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spans="1:45"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spans="1:4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spans="1:45"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spans="1:45"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row>
    <row r="108" spans="1:45"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row>
    <row r="109" spans="1:45"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row>
    <row r="110" spans="1:45"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row>
    <row r="111" spans="1:45"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row>
    <row r="112" spans="1:45"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spans="1:45"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spans="1:45"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spans="1:4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spans="1:45"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spans="1:45"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spans="1:45"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spans="1:45"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spans="1:45"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spans="1:45"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spans="1:45"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spans="1:45"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spans="1:45"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spans="1:4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spans="1:45"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spans="1:45"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spans="1:45"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spans="1:45"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spans="1:45"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spans="1:45"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spans="1:45"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spans="1:45"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spans="1:45"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spans="1:4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spans="1:45"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spans="1:45"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spans="1:45"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spans="1:45"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spans="1:45"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spans="1:45"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spans="1:45"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spans="1:45"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spans="1:45"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spans="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spans="1:45"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spans="1:45"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spans="1:45"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spans="1:45"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spans="1:45"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spans="1:45"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spans="1:45"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spans="1:45"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spans="1:45"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spans="1:4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spans="1:45"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spans="1:45"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spans="1:45"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spans="1:45"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spans="1:45"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spans="1:45"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spans="1:45"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spans="1:45"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spans="1:45"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spans="1:4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spans="1:45"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spans="1:45"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spans="1:45"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spans="1:45"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spans="1:45"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spans="1:45"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spans="1:45"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spans="1:45"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spans="1:45"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spans="1:4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spans="1:45"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spans="1:45"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spans="1:45"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spans="1:45"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spans="1:45"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spans="1:45"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spans="1:45"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spans="1:45"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spans="1:45"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spans="1:4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spans="1:45"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spans="1:45"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spans="1:45"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spans="1:45"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spans="1:45"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spans="1:45"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spans="1:45"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spans="1:45"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spans="1:45"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spans="1:4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spans="1:45"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spans="1:45"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spans="1:45"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row r="199" spans="1:45"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row>
    <row r="200" spans="1:45"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row>
    <row r="201" spans="1:45"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row>
    <row r="202" spans="1:45"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row>
    <row r="203" spans="1:45"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row>
    <row r="204" spans="1:45"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row>
    <row r="205" spans="1:4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row>
    <row r="206" spans="1:45"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row>
    <row r="207" spans="1:45"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row>
    <row r="208" spans="1:45"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row>
    <row r="209" spans="1:45"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row>
    <row r="210" spans="1:45"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row>
    <row r="211" spans="1:45"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row>
    <row r="212" spans="1:45"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row>
    <row r="213" spans="1:45"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row>
    <row r="214" spans="1:45"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row>
    <row r="215" spans="1:4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row>
    <row r="216" spans="1:45"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row>
    <row r="217" spans="1:45"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row>
    <row r="218" spans="1:45"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row>
    <row r="219" spans="1:45"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row>
    <row r="220" spans="1:45"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row>
    <row r="221" spans="1:45"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row>
    <row r="222" spans="1:45"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row>
    <row r="223" spans="1:45"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row>
    <row r="224" spans="1:45"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row>
    <row r="225" spans="1:4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row>
    <row r="226" spans="1:45"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row>
    <row r="227" spans="1:45"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row>
    <row r="228" spans="1:45"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row>
    <row r="229" spans="1:45"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row>
    <row r="230" spans="1:45"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row>
    <row r="231" spans="1:45"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row>
    <row r="232" spans="1:45"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row>
    <row r="233" spans="1:45"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row>
    <row r="234" spans="1:45"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row>
    <row r="235" spans="1:4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row>
    <row r="236" spans="1:45"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row>
    <row r="237" spans="1:45"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row>
    <row r="238" spans="1:45"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row>
    <row r="239" spans="1:45"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row>
    <row r="240" spans="1:45"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row>
    <row r="241" spans="1:45"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row>
    <row r="242" spans="1:45"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row>
    <row r="243" spans="1:45"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row>
    <row r="244" spans="1:45"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row>
    <row r="245" spans="1: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row>
    <row r="246" spans="1:45"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row>
    <row r="247" spans="1:45"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row>
    <row r="248" spans="1:45"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row>
    <row r="249" spans="1:45"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row>
    <row r="250" spans="1:45"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row>
    <row r="251" spans="1:45"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row>
    <row r="252" spans="1:45"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row>
    <row r="253" spans="1:45"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row>
    <row r="254" spans="1:45"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row>
    <row r="255" spans="1:4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row>
    <row r="256" spans="1:45"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row>
    <row r="257" spans="1:45"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row>
    <row r="258" spans="1:45" ht="15.75" customHeight="1"/>
    <row r="259" spans="1:45" ht="15.75" customHeight="1"/>
    <row r="260" spans="1:45" ht="15.75" customHeight="1"/>
    <row r="261" spans="1:45" ht="15.75" customHeight="1"/>
    <row r="262" spans="1:45" ht="15.75" customHeight="1"/>
    <row r="263" spans="1:45" ht="15.75" customHeight="1"/>
    <row r="264" spans="1:45" ht="15.75" customHeight="1"/>
    <row r="265" spans="1:45" ht="15.75" customHeight="1"/>
    <row r="266" spans="1:45" ht="15.75" customHeight="1"/>
    <row r="267" spans="1:45" ht="15.75" customHeight="1"/>
    <row r="268" spans="1:45" ht="15.75" customHeight="1"/>
    <row r="269" spans="1:45" ht="15.75" customHeight="1"/>
    <row r="270" spans="1:45" ht="15.75" customHeight="1"/>
    <row r="271" spans="1:45" ht="15.75" customHeight="1"/>
    <row r="272" spans="1:4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K49:AD49"/>
    <mergeCell ref="P23:U23"/>
    <mergeCell ref="G18:O18"/>
    <mergeCell ref="B6:K6"/>
    <mergeCell ref="Q52:AC55"/>
    <mergeCell ref="A46:AD46"/>
    <mergeCell ref="V30:AD30"/>
    <mergeCell ref="P16:AD16"/>
    <mergeCell ref="A32:F32"/>
    <mergeCell ref="P18:U18"/>
    <mergeCell ref="P21:U21"/>
    <mergeCell ref="A20:F20"/>
    <mergeCell ref="T44:AD44"/>
    <mergeCell ref="G20:O20"/>
    <mergeCell ref="A49:J49"/>
    <mergeCell ref="A29:O29"/>
    <mergeCell ref="P44:S44"/>
    <mergeCell ref="A31:F31"/>
    <mergeCell ref="G22:O22"/>
    <mergeCell ref="B52:M55"/>
    <mergeCell ref="A24:F24"/>
    <mergeCell ref="A15:O15"/>
    <mergeCell ref="P20:U20"/>
    <mergeCell ref="P29:AD29"/>
    <mergeCell ref="A18:F18"/>
    <mergeCell ref="A37:AD37"/>
    <mergeCell ref="G24:O24"/>
    <mergeCell ref="P32:U32"/>
    <mergeCell ref="A34:AD35"/>
    <mergeCell ref="Y2:AC2"/>
    <mergeCell ref="A22:F22"/>
    <mergeCell ref="G26:O26"/>
    <mergeCell ref="A25:F25"/>
    <mergeCell ref="S57:Z57"/>
    <mergeCell ref="A14:AD14"/>
    <mergeCell ref="P24:U24"/>
    <mergeCell ref="A28:F28"/>
    <mergeCell ref="G25:O25"/>
    <mergeCell ref="C57:K57"/>
    <mergeCell ref="A38:AD38"/>
    <mergeCell ref="D2:X5"/>
    <mergeCell ref="R39:T39"/>
    <mergeCell ref="V21:AD21"/>
    <mergeCell ref="P26:U26"/>
    <mergeCell ref="A30:F30"/>
    <mergeCell ref="A40:AD40"/>
    <mergeCell ref="P25:U25"/>
    <mergeCell ref="V23:AD23"/>
    <mergeCell ref="A47:J47"/>
    <mergeCell ref="A39:K39"/>
    <mergeCell ref="V24:AD24"/>
    <mergeCell ref="U39:AD39"/>
    <mergeCell ref="L39:Q39"/>
    <mergeCell ref="A26:F26"/>
    <mergeCell ref="E41:K41"/>
    <mergeCell ref="A50:AD50"/>
    <mergeCell ref="V27:AD27"/>
    <mergeCell ref="F44:O44"/>
    <mergeCell ref="Y5:AC5"/>
    <mergeCell ref="U41:AB41"/>
    <mergeCell ref="A17:O17"/>
    <mergeCell ref="G32:O32"/>
    <mergeCell ref="A19:F19"/>
    <mergeCell ref="Y3:AC4"/>
    <mergeCell ref="P15:AD15"/>
    <mergeCell ref="V22:AD22"/>
    <mergeCell ref="A13:AD13"/>
    <mergeCell ref="G27:O27"/>
    <mergeCell ref="P17:AD17"/>
    <mergeCell ref="V18:AD18"/>
    <mergeCell ref="G23:O23"/>
    <mergeCell ref="V20:AD20"/>
    <mergeCell ref="P22:U22"/>
    <mergeCell ref="A2:C5"/>
    <mergeCell ref="P31:U31"/>
    <mergeCell ref="A36:AD36"/>
    <mergeCell ref="M41:S41"/>
    <mergeCell ref="A16:O16"/>
    <mergeCell ref="V19:AD19"/>
    <mergeCell ref="V28:AD28"/>
    <mergeCell ref="A27:F27"/>
    <mergeCell ref="A45:O45"/>
    <mergeCell ref="A51:AD51"/>
    <mergeCell ref="A44:E44"/>
    <mergeCell ref="A41:C41"/>
    <mergeCell ref="G19:O19"/>
    <mergeCell ref="P27:U27"/>
    <mergeCell ref="G28:O28"/>
    <mergeCell ref="V31:AD31"/>
    <mergeCell ref="A21:F21"/>
    <mergeCell ref="G30:O30"/>
    <mergeCell ref="A23:F23"/>
    <mergeCell ref="P19:U19"/>
    <mergeCell ref="V32:AD32"/>
    <mergeCell ref="P28:U28"/>
    <mergeCell ref="V26:AD26"/>
    <mergeCell ref="A33:AD33"/>
    <mergeCell ref="A42:AD42"/>
    <mergeCell ref="K47:AD47"/>
    <mergeCell ref="A43:O43"/>
    <mergeCell ref="P30:U30"/>
    <mergeCell ref="V25:AD25"/>
    <mergeCell ref="G31:O31"/>
    <mergeCell ref="G21:O21"/>
    <mergeCell ref="A48:AD48"/>
  </mergeCells>
  <dataValidations count="1">
    <dataValidation type="decimal" allowBlank="1" showInputMessage="1" showErrorMessage="1" prompt="Sólo se admiten números" sqref="K47" xr:uid="{00000000-0002-0000-0000-000001000000}">
      <formula1>0</formula1>
      <formula2>1E+21</formula2>
    </dataValidation>
  </dataValidations>
  <printOptions verticalCentered="1"/>
  <pageMargins left="0.23622047244094499" right="0" top="0.98425196850393704" bottom="0.74803149606299202" header="0" footer="0"/>
  <pageSetup orientation="portrait"/>
  <headerFooter>
    <oddFooter>&amp;LF-DE-012 V3  &amp;R 15/07/2024</oddFooter>
  </headerFooter>
  <drawing r:id="rId1"/>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Listas2!$F$36:$F$37</xm:f>
          </x14:formula1>
          <xm:sqref>D41 L41 T41 AC41</xm:sqref>
        </x14:dataValidation>
        <x14:dataValidation type="list" allowBlank="1" showErrorMessage="1" xr:uid="{00000000-0002-0000-0000-000002000000}">
          <x14:formula1>
            <xm:f>Listas!$D$4:$D$6</xm:f>
          </x14:formula1>
          <xm:sqref>A37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1000"/>
  <sheetViews>
    <sheetView showGridLines="0" workbookViewId="0"/>
  </sheetViews>
  <sheetFormatPr defaultColWidth="14.453125" defaultRowHeight="15" customHeight="1"/>
  <cols>
    <col min="1" max="1" width="11.453125" customWidth="1"/>
    <col min="2" max="2" width="12.54296875" customWidth="1"/>
    <col min="3" max="3" width="5.54296875" customWidth="1"/>
    <col min="4" max="4" width="5.1796875" customWidth="1"/>
    <col min="5" max="5" width="8" customWidth="1"/>
    <col min="6" max="6" width="2.54296875" customWidth="1"/>
    <col min="7" max="7" width="5.453125" customWidth="1"/>
    <col min="8" max="8" width="11.453125" customWidth="1"/>
    <col min="9" max="9" width="5" customWidth="1"/>
    <col min="10" max="10" width="1.81640625" customWidth="1"/>
    <col min="11" max="11" width="14.81640625" customWidth="1"/>
    <col min="12" max="12" width="5.453125" customWidth="1"/>
    <col min="13" max="13" width="4.54296875" customWidth="1"/>
    <col min="14" max="14" width="9.453125" customWidth="1"/>
    <col min="15" max="15" width="13.1796875" customWidth="1"/>
    <col min="16" max="16" width="2.54296875" customWidth="1"/>
    <col min="17" max="17" width="6.453125" customWidth="1"/>
    <col min="18" max="18" width="2.453125" customWidth="1"/>
    <col min="19" max="19" width="3.54296875" customWidth="1"/>
    <col min="20" max="20" width="5.453125" customWidth="1"/>
    <col min="21" max="21" width="2.453125" customWidth="1"/>
    <col min="22" max="22" width="11.81640625" customWidth="1"/>
    <col min="23" max="23" width="3.1796875" customWidth="1"/>
    <col min="24" max="24" width="4.453125" customWidth="1"/>
    <col min="25" max="25" width="29.453125" customWidth="1"/>
    <col min="26" max="40" width="11.453125" customWidth="1"/>
  </cols>
  <sheetData>
    <row r="1" spans="1:40" ht="18"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ht="24" customHeight="1">
      <c r="A2" s="211"/>
      <c r="B2" s="157"/>
      <c r="C2" s="167" t="s">
        <v>0</v>
      </c>
      <c r="D2" s="168"/>
      <c r="E2" s="168"/>
      <c r="F2" s="168"/>
      <c r="G2" s="168"/>
      <c r="H2" s="168"/>
      <c r="I2" s="168"/>
      <c r="J2" s="168"/>
      <c r="K2" s="168"/>
      <c r="L2" s="168"/>
      <c r="M2" s="168"/>
      <c r="N2" s="168"/>
      <c r="O2" s="168"/>
      <c r="P2" s="168"/>
      <c r="Q2" s="168"/>
      <c r="R2" s="168"/>
      <c r="S2" s="157"/>
      <c r="T2" s="162" t="s">
        <v>67</v>
      </c>
      <c r="U2" s="182"/>
      <c r="V2" s="188"/>
      <c r="W2" s="2"/>
      <c r="X2" s="2"/>
      <c r="Y2" s="2"/>
      <c r="Z2" s="1"/>
      <c r="AA2" s="1"/>
      <c r="AB2" s="1"/>
      <c r="AC2" s="1"/>
      <c r="AD2" s="1"/>
      <c r="AE2" s="1"/>
      <c r="AF2" s="1"/>
      <c r="AG2" s="1"/>
      <c r="AH2" s="1"/>
      <c r="AI2" s="1"/>
      <c r="AJ2" s="1"/>
      <c r="AK2" s="1"/>
      <c r="AL2" s="1"/>
      <c r="AM2" s="1"/>
      <c r="AN2" s="1"/>
    </row>
    <row r="3" spans="1:40" ht="9" customHeight="1">
      <c r="A3" s="158"/>
      <c r="B3" s="159"/>
      <c r="C3" s="158"/>
      <c r="D3" s="169"/>
      <c r="E3" s="169"/>
      <c r="F3" s="169"/>
      <c r="G3" s="169"/>
      <c r="H3" s="169"/>
      <c r="I3" s="169"/>
      <c r="J3" s="169"/>
      <c r="K3" s="169"/>
      <c r="L3" s="169"/>
      <c r="M3" s="169"/>
      <c r="N3" s="169"/>
      <c r="O3" s="169"/>
      <c r="P3" s="169"/>
      <c r="Q3" s="169"/>
      <c r="R3" s="169"/>
      <c r="S3" s="159"/>
      <c r="T3" s="162" t="s">
        <v>68</v>
      </c>
      <c r="U3" s="168"/>
      <c r="V3" s="157"/>
      <c r="W3" s="2"/>
      <c r="X3" s="2"/>
      <c r="Y3" s="2"/>
      <c r="Z3" s="1"/>
      <c r="AA3" s="1"/>
      <c r="AB3" s="1"/>
      <c r="AC3" s="1"/>
      <c r="AD3" s="1"/>
      <c r="AE3" s="1"/>
      <c r="AF3" s="1"/>
      <c r="AG3" s="1"/>
      <c r="AH3" s="1"/>
      <c r="AI3" s="1"/>
      <c r="AJ3" s="1"/>
      <c r="AK3" s="1"/>
      <c r="AL3" s="1"/>
      <c r="AM3" s="1"/>
      <c r="AN3" s="1"/>
    </row>
    <row r="4" spans="1:40" ht="11.25" customHeight="1">
      <c r="A4" s="158"/>
      <c r="B4" s="159"/>
      <c r="C4" s="158"/>
      <c r="D4" s="169"/>
      <c r="E4" s="169"/>
      <c r="F4" s="169"/>
      <c r="G4" s="169"/>
      <c r="H4" s="169"/>
      <c r="I4" s="169"/>
      <c r="J4" s="169"/>
      <c r="K4" s="169"/>
      <c r="L4" s="169"/>
      <c r="M4" s="169"/>
      <c r="N4" s="169"/>
      <c r="O4" s="169"/>
      <c r="P4" s="169"/>
      <c r="Q4" s="169"/>
      <c r="R4" s="169"/>
      <c r="S4" s="159"/>
      <c r="T4" s="160"/>
      <c r="U4" s="170"/>
      <c r="V4" s="161"/>
      <c r="W4" s="2"/>
      <c r="X4" s="2"/>
      <c r="Y4" s="2"/>
      <c r="Z4" s="1"/>
      <c r="AA4" s="1"/>
      <c r="AB4" s="1"/>
      <c r="AC4" s="1"/>
      <c r="AD4" s="1"/>
      <c r="AE4" s="1"/>
      <c r="AF4" s="1"/>
      <c r="AG4" s="1"/>
      <c r="AH4" s="1"/>
      <c r="AI4" s="1"/>
      <c r="AJ4" s="1"/>
      <c r="AK4" s="1"/>
      <c r="AL4" s="1"/>
      <c r="AM4" s="1"/>
      <c r="AN4" s="1"/>
    </row>
    <row r="5" spans="1:40" ht="26.25" customHeight="1">
      <c r="A5" s="160"/>
      <c r="B5" s="161"/>
      <c r="C5" s="160"/>
      <c r="D5" s="170"/>
      <c r="E5" s="170"/>
      <c r="F5" s="170"/>
      <c r="G5" s="170"/>
      <c r="H5" s="170"/>
      <c r="I5" s="170"/>
      <c r="J5" s="170"/>
      <c r="K5" s="170"/>
      <c r="L5" s="170"/>
      <c r="M5" s="170"/>
      <c r="N5" s="170"/>
      <c r="O5" s="170"/>
      <c r="P5" s="170"/>
      <c r="Q5" s="170"/>
      <c r="R5" s="170"/>
      <c r="S5" s="161"/>
      <c r="T5" s="162" t="s">
        <v>3</v>
      </c>
      <c r="U5" s="182"/>
      <c r="V5" s="188"/>
      <c r="W5" s="2"/>
      <c r="X5" s="2"/>
      <c r="Y5" s="2"/>
      <c r="Z5" s="1"/>
      <c r="AA5" s="1"/>
      <c r="AB5" s="1"/>
      <c r="AC5" s="1"/>
      <c r="AD5" s="1"/>
      <c r="AE5" s="1"/>
      <c r="AF5" s="1"/>
      <c r="AG5" s="1"/>
      <c r="AH5" s="1"/>
      <c r="AI5" s="1"/>
      <c r="AJ5" s="1"/>
      <c r="AK5" s="1"/>
      <c r="AL5" s="1"/>
      <c r="AM5" s="1"/>
      <c r="AN5" s="1"/>
    </row>
    <row r="6" spans="1:40" ht="14.25" customHeight="1">
      <c r="A6" s="1"/>
      <c r="B6" s="171"/>
      <c r="C6" s="169"/>
      <c r="D6" s="169"/>
      <c r="E6" s="169"/>
      <c r="F6" s="169"/>
      <c r="G6" s="169"/>
      <c r="H6" s="169"/>
      <c r="I6" s="169"/>
      <c r="J6" s="169"/>
      <c r="K6" s="169"/>
      <c r="L6" s="1"/>
      <c r="M6" s="1"/>
      <c r="N6" s="1"/>
      <c r="O6" s="1"/>
      <c r="P6" s="1"/>
      <c r="Q6" s="1"/>
      <c r="R6" s="1"/>
      <c r="S6" s="1"/>
      <c r="T6" s="1"/>
      <c r="U6" s="1"/>
      <c r="V6" s="1"/>
      <c r="W6" s="1"/>
      <c r="X6" s="1"/>
      <c r="Y6" s="1"/>
      <c r="Z6" s="1"/>
      <c r="AA6" s="1"/>
      <c r="AB6" s="1"/>
      <c r="AC6" s="1"/>
      <c r="AD6" s="1"/>
      <c r="AE6" s="1"/>
      <c r="AF6" s="1"/>
      <c r="AG6" s="1"/>
      <c r="AH6" s="1"/>
      <c r="AI6" s="1"/>
      <c r="AJ6" s="1"/>
      <c r="AK6" s="1"/>
      <c r="AL6" s="1"/>
      <c r="AM6" s="1"/>
      <c r="AN6" s="1"/>
    </row>
    <row r="7" spans="1:40" ht="14.2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row>
    <row r="8" spans="1:40" ht="14.25"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spans="1:40" ht="14.2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spans="1:4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pans="1:40"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pans="1:40"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spans="1:40"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spans="1:40" ht="57" customHeight="1">
      <c r="A14" s="208" t="s">
        <v>69</v>
      </c>
      <c r="B14" s="165"/>
      <c r="C14" s="165"/>
      <c r="D14" s="165"/>
      <c r="E14" s="165"/>
      <c r="F14" s="165"/>
      <c r="G14" s="165"/>
      <c r="H14" s="165"/>
      <c r="I14" s="165"/>
      <c r="J14" s="165"/>
      <c r="K14" s="165"/>
      <c r="L14" s="165"/>
      <c r="M14" s="165"/>
      <c r="N14" s="165"/>
      <c r="O14" s="165"/>
      <c r="P14" s="165"/>
      <c r="Q14" s="165"/>
      <c r="R14" s="165"/>
      <c r="S14" s="165"/>
      <c r="T14" s="165"/>
      <c r="U14" s="165"/>
      <c r="V14" s="166"/>
      <c r="W14" s="2"/>
      <c r="X14" s="2"/>
      <c r="Y14" s="2"/>
      <c r="Z14" s="2"/>
      <c r="AA14" s="2"/>
      <c r="AB14" s="2"/>
      <c r="AC14" s="2"/>
      <c r="AD14" s="2"/>
      <c r="AE14" s="2"/>
      <c r="AF14" s="2"/>
      <c r="AG14" s="2"/>
      <c r="AH14" s="2"/>
      <c r="AI14" s="2"/>
      <c r="AJ14" s="2"/>
      <c r="AK14" s="2"/>
      <c r="AL14" s="2"/>
      <c r="AM14" s="2"/>
      <c r="AN14" s="2"/>
    </row>
    <row r="15" spans="1:40" ht="14.25" customHeight="1">
      <c r="A15" s="226"/>
      <c r="B15" s="173"/>
      <c r="C15" s="173"/>
      <c r="D15" s="173"/>
      <c r="E15" s="173"/>
      <c r="F15" s="173"/>
      <c r="G15" s="173"/>
      <c r="H15" s="173"/>
      <c r="I15" s="173"/>
      <c r="J15" s="173"/>
      <c r="K15" s="173"/>
      <c r="L15" s="173"/>
      <c r="M15" s="173"/>
      <c r="N15" s="173"/>
      <c r="O15" s="173"/>
      <c r="P15" s="173"/>
      <c r="Q15" s="173"/>
      <c r="R15" s="173"/>
      <c r="S15" s="173"/>
      <c r="T15" s="173"/>
      <c r="U15" s="173"/>
      <c r="V15" s="227"/>
      <c r="W15" s="2"/>
      <c r="X15" s="2"/>
      <c r="Y15" s="2"/>
      <c r="Z15" s="2"/>
      <c r="AA15" s="2"/>
      <c r="AB15" s="2"/>
      <c r="AC15" s="2"/>
      <c r="AD15" s="2"/>
      <c r="AE15" s="2"/>
      <c r="AF15" s="2"/>
      <c r="AG15" s="2"/>
      <c r="AH15" s="2"/>
      <c r="AI15" s="2"/>
      <c r="AJ15" s="2"/>
      <c r="AK15" s="2"/>
      <c r="AL15" s="2"/>
      <c r="AM15" s="2"/>
      <c r="AN15" s="2"/>
    </row>
    <row r="16" spans="1:40" ht="14.25" customHeight="1">
      <c r="A16" s="234" t="s">
        <v>70</v>
      </c>
      <c r="B16" s="180"/>
      <c r="C16" s="180"/>
      <c r="D16" s="180"/>
      <c r="E16" s="180"/>
      <c r="F16" s="180"/>
      <c r="G16" s="180"/>
      <c r="H16" s="180"/>
      <c r="I16" s="180"/>
      <c r="J16" s="180"/>
      <c r="K16" s="180"/>
      <c r="L16" s="180"/>
      <c r="M16" s="180"/>
      <c r="N16" s="180"/>
      <c r="O16" s="180"/>
      <c r="P16" s="180"/>
      <c r="Q16" s="180"/>
      <c r="R16" s="180"/>
      <c r="S16" s="180"/>
      <c r="T16" s="180"/>
      <c r="U16" s="180"/>
      <c r="V16" s="195"/>
      <c r="W16" s="2"/>
      <c r="X16" s="2"/>
      <c r="Y16" s="2"/>
      <c r="Z16" s="2"/>
      <c r="AA16" s="2"/>
      <c r="AB16" s="2"/>
      <c r="AC16" s="2"/>
      <c r="AD16" s="2"/>
      <c r="AE16" s="2"/>
      <c r="AF16" s="2"/>
      <c r="AG16" s="2"/>
      <c r="AH16" s="2"/>
      <c r="AI16" s="2"/>
      <c r="AJ16" s="2"/>
      <c r="AK16" s="2"/>
      <c r="AL16" s="2"/>
      <c r="AM16" s="2"/>
      <c r="AN16" s="2"/>
    </row>
    <row r="17" spans="1:40" ht="14.25" customHeight="1">
      <c r="A17" s="237" t="s">
        <v>71</v>
      </c>
      <c r="B17" s="180"/>
      <c r="C17" s="180"/>
      <c r="D17" s="180"/>
      <c r="E17" s="195"/>
      <c r="F17" s="248" t="str">
        <f>NOMBRE</f>
        <v>MGS 0000</v>
      </c>
      <c r="G17" s="180"/>
      <c r="H17" s="180"/>
      <c r="I17" s="180"/>
      <c r="J17" s="180"/>
      <c r="K17" s="180"/>
      <c r="L17" s="180"/>
      <c r="M17" s="180"/>
      <c r="N17" s="180"/>
      <c r="O17" s="180"/>
      <c r="P17" s="180"/>
      <c r="Q17" s="180"/>
      <c r="R17" s="180"/>
      <c r="S17" s="180"/>
      <c r="T17" s="180"/>
      <c r="U17" s="180"/>
      <c r="V17" s="195"/>
      <c r="W17" s="2"/>
      <c r="X17" s="2"/>
      <c r="Y17" s="2"/>
      <c r="Z17" s="2"/>
      <c r="AA17" s="2"/>
      <c r="AB17" s="2"/>
      <c r="AC17" s="2"/>
      <c r="AD17" s="2"/>
      <c r="AE17" s="2"/>
      <c r="AF17" s="2"/>
      <c r="AG17" s="2"/>
      <c r="AH17" s="2"/>
      <c r="AI17" s="2"/>
      <c r="AJ17" s="2"/>
      <c r="AK17" s="2"/>
      <c r="AL17" s="2"/>
      <c r="AM17" s="2"/>
      <c r="AN17" s="2"/>
    </row>
    <row r="18" spans="1:40" ht="14.25" customHeight="1">
      <c r="A18" s="237" t="s">
        <v>72</v>
      </c>
      <c r="B18" s="180"/>
      <c r="C18" s="180"/>
      <c r="D18" s="180"/>
      <c r="E18" s="195"/>
      <c r="F18" s="257" t="s">
        <v>73</v>
      </c>
      <c r="G18" s="180"/>
      <c r="H18" s="180"/>
      <c r="I18" s="180"/>
      <c r="J18" s="180"/>
      <c r="K18" s="180"/>
      <c r="L18" s="180"/>
      <c r="M18" s="180"/>
      <c r="N18" s="180"/>
      <c r="O18" s="180"/>
      <c r="P18" s="180"/>
      <c r="Q18" s="180"/>
      <c r="R18" s="180"/>
      <c r="S18" s="180"/>
      <c r="T18" s="180"/>
      <c r="U18" s="180"/>
      <c r="V18" s="195"/>
      <c r="W18" s="2"/>
      <c r="X18" s="2"/>
      <c r="Y18" s="2"/>
      <c r="Z18" s="2"/>
      <c r="AA18" s="2"/>
      <c r="AB18" s="2"/>
      <c r="AC18" s="2"/>
      <c r="AD18" s="2"/>
      <c r="AE18" s="2"/>
      <c r="AF18" s="2"/>
      <c r="AG18" s="2"/>
      <c r="AH18" s="2"/>
      <c r="AI18" s="2"/>
      <c r="AJ18" s="2"/>
      <c r="AK18" s="2"/>
      <c r="AL18" s="2"/>
      <c r="AM18" s="2"/>
      <c r="AN18" s="2"/>
    </row>
    <row r="19" spans="1:40" ht="14.25" customHeight="1">
      <c r="A19" s="237" t="s">
        <v>74</v>
      </c>
      <c r="B19" s="180"/>
      <c r="C19" s="180"/>
      <c r="D19" s="180"/>
      <c r="E19" s="195"/>
      <c r="F19" s="257" t="s">
        <v>75</v>
      </c>
      <c r="G19" s="180"/>
      <c r="H19" s="180"/>
      <c r="I19" s="180"/>
      <c r="J19" s="180"/>
      <c r="K19" s="180"/>
      <c r="L19" s="180"/>
      <c r="M19" s="180"/>
      <c r="N19" s="180"/>
      <c r="O19" s="180"/>
      <c r="P19" s="180"/>
      <c r="Q19" s="180"/>
      <c r="R19" s="180"/>
      <c r="S19" s="180"/>
      <c r="T19" s="180"/>
      <c r="U19" s="180"/>
      <c r="V19" s="195"/>
      <c r="W19" s="2"/>
      <c r="X19" s="2"/>
      <c r="Y19" s="2"/>
      <c r="Z19" s="2"/>
      <c r="AA19" s="2"/>
      <c r="AB19" s="2"/>
      <c r="AC19" s="2"/>
      <c r="AD19" s="2"/>
      <c r="AE19" s="2"/>
      <c r="AF19" s="2"/>
      <c r="AG19" s="2"/>
      <c r="AH19" s="2"/>
      <c r="AI19" s="2"/>
      <c r="AJ19" s="2"/>
      <c r="AK19" s="2"/>
      <c r="AL19" s="2"/>
      <c r="AM19" s="2"/>
      <c r="AN19" s="2"/>
    </row>
    <row r="20" spans="1:40" ht="14.25" customHeight="1">
      <c r="A20" s="242" t="s">
        <v>76</v>
      </c>
      <c r="B20" s="180"/>
      <c r="C20" s="180"/>
      <c r="D20" s="180"/>
      <c r="E20" s="195"/>
      <c r="F20" s="261" t="s">
        <v>77</v>
      </c>
      <c r="G20" s="180"/>
      <c r="H20" s="180"/>
      <c r="I20" s="180"/>
      <c r="J20" s="180"/>
      <c r="K20" s="180"/>
      <c r="L20" s="180"/>
      <c r="M20" s="180"/>
      <c r="N20" s="180"/>
      <c r="O20" s="180"/>
      <c r="P20" s="180"/>
      <c r="Q20" s="180"/>
      <c r="R20" s="180"/>
      <c r="S20" s="180"/>
      <c r="T20" s="180"/>
      <c r="U20" s="180"/>
      <c r="V20" s="195"/>
      <c r="W20" s="2"/>
      <c r="X20" s="2"/>
      <c r="Y20" s="2"/>
      <c r="Z20" s="2"/>
      <c r="AA20" s="2"/>
      <c r="AB20" s="2"/>
      <c r="AC20" s="2"/>
      <c r="AD20" s="2"/>
      <c r="AE20" s="2"/>
      <c r="AF20" s="2"/>
      <c r="AG20" s="2"/>
      <c r="AH20" s="2"/>
      <c r="AI20" s="2"/>
      <c r="AJ20" s="2"/>
      <c r="AK20" s="2"/>
      <c r="AL20" s="2"/>
      <c r="AM20" s="2"/>
      <c r="AN20" s="2"/>
    </row>
    <row r="21" spans="1:40" ht="14.25" customHeight="1">
      <c r="A21" s="265" t="s">
        <v>78</v>
      </c>
      <c r="B21" s="165"/>
      <c r="C21" s="165"/>
      <c r="D21" s="165"/>
      <c r="E21" s="166"/>
      <c r="F21" s="257" t="s">
        <v>79</v>
      </c>
      <c r="G21" s="180"/>
      <c r="H21" s="180"/>
      <c r="I21" s="180"/>
      <c r="J21" s="180"/>
      <c r="K21" s="180"/>
      <c r="L21" s="180"/>
      <c r="M21" s="180"/>
      <c r="N21" s="180"/>
      <c r="O21" s="180"/>
      <c r="P21" s="180"/>
      <c r="Q21" s="180"/>
      <c r="R21" s="180"/>
      <c r="S21" s="180"/>
      <c r="T21" s="180"/>
      <c r="U21" s="180"/>
      <c r="V21" s="195"/>
      <c r="W21" s="2"/>
      <c r="X21" s="2"/>
      <c r="Y21" s="2"/>
      <c r="Z21" s="2"/>
      <c r="AA21" s="2"/>
      <c r="AB21" s="2"/>
      <c r="AC21" s="2"/>
      <c r="AD21" s="2"/>
      <c r="AE21" s="2"/>
      <c r="AF21" s="2"/>
      <c r="AG21" s="2"/>
      <c r="AH21" s="2"/>
      <c r="AI21" s="2"/>
      <c r="AJ21" s="2"/>
      <c r="AK21" s="2"/>
      <c r="AL21" s="2"/>
      <c r="AM21" s="2"/>
      <c r="AN21" s="2"/>
    </row>
    <row r="22" spans="1:40" ht="14.25" customHeight="1">
      <c r="A22" s="226"/>
      <c r="B22" s="173"/>
      <c r="C22" s="173"/>
      <c r="D22" s="173"/>
      <c r="E22" s="227"/>
      <c r="F22" s="266"/>
      <c r="G22" s="180"/>
      <c r="H22" s="180"/>
      <c r="I22" s="180"/>
      <c r="J22" s="180"/>
      <c r="K22" s="267"/>
      <c r="L22" s="236" t="s">
        <v>80</v>
      </c>
      <c r="M22" s="180"/>
      <c r="N22" s="180"/>
      <c r="O22" s="180"/>
      <c r="P22" s="180"/>
      <c r="Q22" s="180"/>
      <c r="R22" s="180"/>
      <c r="S22" s="180"/>
      <c r="T22" s="180"/>
      <c r="U22" s="180"/>
      <c r="V22" s="195"/>
      <c r="W22" s="2"/>
      <c r="X22" s="2"/>
      <c r="Y22" s="2"/>
      <c r="Z22" s="2"/>
      <c r="AA22" s="2"/>
      <c r="AB22" s="2"/>
      <c r="AC22" s="2"/>
      <c r="AD22" s="2"/>
      <c r="AE22" s="2"/>
      <c r="AF22" s="2"/>
      <c r="AG22" s="2"/>
      <c r="AH22" s="2"/>
      <c r="AI22" s="2"/>
      <c r="AJ22" s="2"/>
      <c r="AK22" s="2"/>
      <c r="AL22" s="2"/>
      <c r="AM22" s="2"/>
      <c r="AN22" s="2"/>
    </row>
    <row r="23" spans="1:40" ht="14.25" customHeight="1">
      <c r="A23" s="265" t="s">
        <v>81</v>
      </c>
      <c r="B23" s="165"/>
      <c r="C23" s="165"/>
      <c r="D23" s="165"/>
      <c r="E23" s="166"/>
      <c r="F23" s="257" t="s">
        <v>82</v>
      </c>
      <c r="G23" s="180"/>
      <c r="H23" s="180"/>
      <c r="I23" s="180"/>
      <c r="J23" s="180"/>
      <c r="K23" s="180"/>
      <c r="L23" s="180"/>
      <c r="M23" s="180"/>
      <c r="N23" s="180"/>
      <c r="O23" s="180"/>
      <c r="P23" s="180"/>
      <c r="Q23" s="180"/>
      <c r="R23" s="180"/>
      <c r="S23" s="180"/>
      <c r="T23" s="180"/>
      <c r="U23" s="180"/>
      <c r="V23" s="195"/>
      <c r="W23" s="2"/>
      <c r="X23" s="2"/>
      <c r="Y23" s="2"/>
      <c r="Z23" s="2"/>
      <c r="AA23" s="2"/>
      <c r="AB23" s="2"/>
      <c r="AC23" s="2"/>
      <c r="AD23" s="2"/>
      <c r="AE23" s="2"/>
      <c r="AF23" s="2"/>
      <c r="AG23" s="2"/>
      <c r="AH23" s="2"/>
      <c r="AI23" s="2"/>
      <c r="AJ23" s="2"/>
      <c r="AK23" s="2"/>
      <c r="AL23" s="2"/>
      <c r="AM23" s="2"/>
      <c r="AN23" s="2"/>
    </row>
    <row r="24" spans="1:40" ht="15" customHeight="1">
      <c r="A24" s="226"/>
      <c r="B24" s="173"/>
      <c r="C24" s="173"/>
      <c r="D24" s="173"/>
      <c r="E24" s="227"/>
      <c r="F24" s="266" t="s">
        <v>83</v>
      </c>
      <c r="G24" s="180"/>
      <c r="H24" s="180"/>
      <c r="I24" s="180"/>
      <c r="J24" s="180"/>
      <c r="K24" s="267"/>
      <c r="L24" s="236" t="s">
        <v>80</v>
      </c>
      <c r="M24" s="180"/>
      <c r="N24" s="180"/>
      <c r="O24" s="180"/>
      <c r="P24" s="180"/>
      <c r="Q24" s="180"/>
      <c r="R24" s="180"/>
      <c r="S24" s="180"/>
      <c r="T24" s="180"/>
      <c r="U24" s="180"/>
      <c r="V24" s="195"/>
      <c r="W24" s="2"/>
      <c r="X24" s="2"/>
      <c r="Y24" s="2"/>
      <c r="Z24" s="2"/>
      <c r="AA24" s="2"/>
      <c r="AB24" s="2"/>
      <c r="AC24" s="2"/>
      <c r="AD24" s="2"/>
      <c r="AE24" s="2"/>
      <c r="AF24" s="2"/>
      <c r="AG24" s="2"/>
      <c r="AH24" s="2"/>
      <c r="AI24" s="2"/>
      <c r="AJ24" s="2"/>
      <c r="AK24" s="2"/>
      <c r="AL24" s="2"/>
      <c r="AM24" s="2"/>
      <c r="AN24" s="2"/>
    </row>
    <row r="25" spans="1:40" ht="14.25" customHeight="1">
      <c r="A25" s="260" t="s">
        <v>84</v>
      </c>
      <c r="B25" s="165"/>
      <c r="C25" s="165"/>
      <c r="D25" s="165"/>
      <c r="E25" s="166"/>
      <c r="F25" s="256" t="s">
        <v>19</v>
      </c>
      <c r="G25" s="197"/>
      <c r="H25" s="197"/>
      <c r="I25" s="197"/>
      <c r="J25" s="197"/>
      <c r="K25" s="198"/>
      <c r="L25" s="247"/>
      <c r="M25" s="180"/>
      <c r="N25" s="180"/>
      <c r="O25" s="180"/>
      <c r="P25" s="180"/>
      <c r="Q25" s="180"/>
      <c r="R25" s="180"/>
      <c r="S25" s="180"/>
      <c r="T25" s="180"/>
      <c r="U25" s="180"/>
      <c r="V25" s="195"/>
      <c r="W25" s="2"/>
      <c r="X25" s="2"/>
      <c r="Y25" s="2"/>
      <c r="Z25" s="2"/>
      <c r="AA25" s="2"/>
      <c r="AB25" s="2"/>
      <c r="AC25" s="2"/>
      <c r="AD25" s="2"/>
      <c r="AE25" s="2"/>
      <c r="AF25" s="2"/>
      <c r="AG25" s="2"/>
      <c r="AH25" s="2"/>
      <c r="AI25" s="2"/>
      <c r="AJ25" s="2"/>
      <c r="AK25" s="2"/>
      <c r="AL25" s="2"/>
      <c r="AM25" s="2"/>
      <c r="AN25" s="2"/>
    </row>
    <row r="26" spans="1:40" ht="14.25" customHeight="1">
      <c r="A26" s="241"/>
      <c r="B26" s="169"/>
      <c r="C26" s="169"/>
      <c r="D26" s="169"/>
      <c r="E26" s="246"/>
      <c r="F26" s="250" t="s">
        <v>21</v>
      </c>
      <c r="G26" s="182"/>
      <c r="H26" s="182"/>
      <c r="I26" s="182"/>
      <c r="J26" s="182"/>
      <c r="K26" s="183"/>
      <c r="L26" s="247"/>
      <c r="M26" s="180"/>
      <c r="N26" s="180"/>
      <c r="O26" s="180"/>
      <c r="P26" s="180"/>
      <c r="Q26" s="180"/>
      <c r="R26" s="180"/>
      <c r="S26" s="180"/>
      <c r="T26" s="180"/>
      <c r="U26" s="180"/>
      <c r="V26" s="195"/>
      <c r="W26" s="2"/>
      <c r="X26" s="2"/>
      <c r="Y26" s="2"/>
      <c r="Z26" s="2"/>
      <c r="AA26" s="2"/>
      <c r="AB26" s="2"/>
      <c r="AC26" s="2"/>
      <c r="AD26" s="2"/>
      <c r="AE26" s="2"/>
      <c r="AF26" s="2"/>
      <c r="AG26" s="2"/>
      <c r="AH26" s="2"/>
      <c r="AI26" s="2"/>
      <c r="AJ26" s="2"/>
      <c r="AK26" s="2"/>
      <c r="AL26" s="2"/>
      <c r="AM26" s="2"/>
      <c r="AN26" s="2"/>
    </row>
    <row r="27" spans="1:40" ht="15" customHeight="1">
      <c r="A27" s="226"/>
      <c r="B27" s="173"/>
      <c r="C27" s="173"/>
      <c r="D27" s="173"/>
      <c r="E27" s="227"/>
      <c r="F27" s="268" t="s">
        <v>85</v>
      </c>
      <c r="G27" s="173"/>
      <c r="H27" s="173"/>
      <c r="I27" s="173"/>
      <c r="J27" s="173"/>
      <c r="K27" s="227"/>
      <c r="L27" s="239" t="s">
        <v>86</v>
      </c>
      <c r="M27" s="180"/>
      <c r="N27" s="180"/>
      <c r="O27" s="180"/>
      <c r="P27" s="180"/>
      <c r="Q27" s="180"/>
      <c r="R27" s="180"/>
      <c r="S27" s="180"/>
      <c r="T27" s="180"/>
      <c r="U27" s="180"/>
      <c r="V27" s="195"/>
      <c r="W27" s="2"/>
      <c r="X27" s="2"/>
      <c r="Y27" s="2"/>
      <c r="Z27" s="2"/>
      <c r="AA27" s="2"/>
      <c r="AB27" s="2"/>
      <c r="AC27" s="2"/>
      <c r="AD27" s="2"/>
      <c r="AE27" s="2"/>
      <c r="AF27" s="2"/>
      <c r="AG27" s="2"/>
      <c r="AH27" s="2"/>
      <c r="AI27" s="2"/>
      <c r="AJ27" s="2"/>
      <c r="AK27" s="2"/>
      <c r="AL27" s="2"/>
      <c r="AM27" s="2"/>
      <c r="AN27" s="2"/>
    </row>
    <row r="28" spans="1:40" ht="14.25" customHeight="1">
      <c r="A28" s="234" t="s">
        <v>87</v>
      </c>
      <c r="B28" s="180"/>
      <c r="C28" s="180"/>
      <c r="D28" s="180"/>
      <c r="E28" s="180"/>
      <c r="F28" s="180"/>
      <c r="G28" s="180"/>
      <c r="H28" s="180"/>
      <c r="I28" s="180"/>
      <c r="J28" s="180"/>
      <c r="K28" s="180"/>
      <c r="L28" s="180"/>
      <c r="M28" s="180"/>
      <c r="N28" s="180"/>
      <c r="O28" s="180"/>
      <c r="P28" s="180"/>
      <c r="Q28" s="180"/>
      <c r="R28" s="180"/>
      <c r="S28" s="180"/>
      <c r="T28" s="180"/>
      <c r="U28" s="180"/>
      <c r="V28" s="195"/>
      <c r="W28" s="2"/>
      <c r="X28" s="2"/>
      <c r="Y28" s="2"/>
      <c r="Z28" s="2"/>
      <c r="AA28" s="2"/>
      <c r="AB28" s="2"/>
      <c r="AC28" s="2"/>
      <c r="AD28" s="2"/>
      <c r="AE28" s="2"/>
      <c r="AF28" s="2"/>
      <c r="AG28" s="2"/>
      <c r="AH28" s="2"/>
      <c r="AI28" s="2"/>
      <c r="AJ28" s="2"/>
      <c r="AK28" s="2"/>
      <c r="AL28" s="2"/>
      <c r="AM28" s="2"/>
      <c r="AN28" s="2"/>
    </row>
    <row r="29" spans="1:40" ht="14.25" customHeight="1">
      <c r="A29" s="259" t="s">
        <v>88</v>
      </c>
      <c r="B29" s="168"/>
      <c r="C29" s="168"/>
      <c r="D29" s="168"/>
      <c r="E29" s="213"/>
      <c r="F29" s="255" t="s">
        <v>89</v>
      </c>
      <c r="G29" s="182"/>
      <c r="H29" s="182"/>
      <c r="I29" s="182"/>
      <c r="J29" s="182"/>
      <c r="K29" s="182"/>
      <c r="L29" s="182"/>
      <c r="M29" s="188"/>
      <c r="N29" s="235"/>
      <c r="O29" s="182"/>
      <c r="P29" s="182"/>
      <c r="Q29" s="182"/>
      <c r="R29" s="182"/>
      <c r="S29" s="182"/>
      <c r="T29" s="182"/>
      <c r="U29" s="182"/>
      <c r="V29" s="183"/>
      <c r="W29" s="2"/>
      <c r="X29" s="2"/>
      <c r="Y29" s="2"/>
      <c r="Z29" s="2"/>
      <c r="AA29" s="2"/>
      <c r="AB29" s="2"/>
      <c r="AC29" s="2"/>
      <c r="AD29" s="2"/>
      <c r="AE29" s="2"/>
      <c r="AF29" s="2"/>
      <c r="AG29" s="2"/>
      <c r="AH29" s="2"/>
      <c r="AI29" s="2"/>
      <c r="AJ29" s="2"/>
      <c r="AK29" s="2"/>
      <c r="AL29" s="2"/>
      <c r="AM29" s="2"/>
      <c r="AN29" s="2"/>
    </row>
    <row r="30" spans="1:40" ht="14.25" customHeight="1">
      <c r="A30" s="241"/>
      <c r="B30" s="169"/>
      <c r="C30" s="169"/>
      <c r="D30" s="169"/>
      <c r="E30" s="246"/>
      <c r="F30" s="255" t="s">
        <v>90</v>
      </c>
      <c r="G30" s="182"/>
      <c r="H30" s="182"/>
      <c r="I30" s="182"/>
      <c r="J30" s="182"/>
      <c r="K30" s="182"/>
      <c r="L30" s="182"/>
      <c r="M30" s="188"/>
      <c r="N30" s="235"/>
      <c r="O30" s="182"/>
      <c r="P30" s="182"/>
      <c r="Q30" s="182"/>
      <c r="R30" s="182"/>
      <c r="S30" s="182"/>
      <c r="T30" s="182"/>
      <c r="U30" s="182"/>
      <c r="V30" s="183"/>
      <c r="W30" s="2"/>
      <c r="X30" s="2"/>
      <c r="Y30" s="2"/>
      <c r="Z30" s="2"/>
      <c r="AA30" s="2"/>
      <c r="AB30" s="2"/>
      <c r="AC30" s="2"/>
      <c r="AD30" s="2"/>
      <c r="AE30" s="2"/>
      <c r="AF30" s="2"/>
      <c r="AG30" s="2"/>
      <c r="AH30" s="2"/>
      <c r="AI30" s="2"/>
      <c r="AJ30" s="2"/>
      <c r="AK30" s="2"/>
      <c r="AL30" s="2"/>
      <c r="AM30" s="2"/>
      <c r="AN30" s="2"/>
    </row>
    <row r="31" spans="1:40" ht="14.25" customHeight="1">
      <c r="A31" s="241"/>
      <c r="B31" s="169"/>
      <c r="C31" s="169"/>
      <c r="D31" s="169"/>
      <c r="E31" s="246"/>
      <c r="F31" s="254" t="s">
        <v>91</v>
      </c>
      <c r="G31" s="182"/>
      <c r="H31" s="182"/>
      <c r="I31" s="182"/>
      <c r="J31" s="182"/>
      <c r="K31" s="182"/>
      <c r="L31" s="182"/>
      <c r="M31" s="188"/>
      <c r="N31" s="235"/>
      <c r="O31" s="182"/>
      <c r="P31" s="182"/>
      <c r="Q31" s="182"/>
      <c r="R31" s="182"/>
      <c r="S31" s="182"/>
      <c r="T31" s="182"/>
      <c r="U31" s="182"/>
      <c r="V31" s="183"/>
      <c r="W31" s="2"/>
      <c r="X31" s="2"/>
      <c r="Y31" s="2"/>
      <c r="Z31" s="2"/>
      <c r="AA31" s="2"/>
      <c r="AB31" s="2"/>
      <c r="AC31" s="2"/>
      <c r="AD31" s="2"/>
      <c r="AE31" s="2"/>
      <c r="AF31" s="2"/>
      <c r="AG31" s="2"/>
      <c r="AH31" s="2"/>
      <c r="AI31" s="2"/>
      <c r="AJ31" s="2"/>
      <c r="AK31" s="2"/>
      <c r="AL31" s="2"/>
      <c r="AM31" s="2"/>
      <c r="AN31" s="2"/>
    </row>
    <row r="32" spans="1:40" ht="14.25" customHeight="1">
      <c r="A32" s="241"/>
      <c r="B32" s="169"/>
      <c r="C32" s="169"/>
      <c r="D32" s="169"/>
      <c r="E32" s="246"/>
      <c r="F32" s="250" t="s">
        <v>92</v>
      </c>
      <c r="G32" s="182"/>
      <c r="H32" s="182"/>
      <c r="I32" s="182"/>
      <c r="J32" s="182"/>
      <c r="K32" s="182"/>
      <c r="L32" s="182"/>
      <c r="M32" s="183"/>
      <c r="N32" s="235"/>
      <c r="O32" s="182"/>
      <c r="P32" s="182"/>
      <c r="Q32" s="182"/>
      <c r="R32" s="182"/>
      <c r="S32" s="182"/>
      <c r="T32" s="182"/>
      <c r="U32" s="182"/>
      <c r="V32" s="183"/>
      <c r="W32" s="2"/>
      <c r="X32" s="2"/>
      <c r="Y32" s="2"/>
      <c r="Z32" s="2"/>
      <c r="AA32" s="2"/>
      <c r="AB32" s="2"/>
      <c r="AC32" s="2"/>
      <c r="AD32" s="2"/>
      <c r="AE32" s="2"/>
      <c r="AF32" s="2"/>
      <c r="AG32" s="2"/>
      <c r="AH32" s="2"/>
      <c r="AI32" s="2"/>
      <c r="AJ32" s="2"/>
      <c r="AK32" s="2"/>
      <c r="AL32" s="2"/>
      <c r="AM32" s="2"/>
      <c r="AN32" s="2"/>
    </row>
    <row r="33" spans="1:40" ht="14.25" customHeight="1">
      <c r="A33" s="241"/>
      <c r="B33" s="169"/>
      <c r="C33" s="169"/>
      <c r="D33" s="169"/>
      <c r="E33" s="246"/>
      <c r="F33" s="254" t="s">
        <v>93</v>
      </c>
      <c r="G33" s="182"/>
      <c r="H33" s="182"/>
      <c r="I33" s="182"/>
      <c r="J33" s="182"/>
      <c r="K33" s="182"/>
      <c r="L33" s="182"/>
      <c r="M33" s="188"/>
      <c r="N33" s="235"/>
      <c r="O33" s="182"/>
      <c r="P33" s="182"/>
      <c r="Q33" s="182"/>
      <c r="R33" s="182"/>
      <c r="S33" s="182"/>
      <c r="T33" s="182"/>
      <c r="U33" s="182"/>
      <c r="V33" s="183"/>
      <c r="W33" s="2"/>
      <c r="X33" s="2"/>
      <c r="Y33" s="2"/>
      <c r="Z33" s="2"/>
      <c r="AA33" s="2"/>
      <c r="AB33" s="2"/>
      <c r="AC33" s="2"/>
      <c r="AD33" s="2"/>
      <c r="AE33" s="2"/>
      <c r="AF33" s="2"/>
      <c r="AG33" s="2"/>
      <c r="AH33" s="2"/>
      <c r="AI33" s="2"/>
      <c r="AJ33" s="2"/>
      <c r="AK33" s="2"/>
      <c r="AL33" s="2"/>
      <c r="AM33" s="2"/>
      <c r="AN33" s="2"/>
    </row>
    <row r="34" spans="1:40" ht="14.25" customHeight="1">
      <c r="A34" s="226"/>
      <c r="B34" s="173"/>
      <c r="C34" s="173"/>
      <c r="D34" s="173"/>
      <c r="E34" s="227"/>
      <c r="F34" s="253" t="s">
        <v>94</v>
      </c>
      <c r="G34" s="176"/>
      <c r="H34" s="176"/>
      <c r="I34" s="176"/>
      <c r="J34" s="176"/>
      <c r="K34" s="176"/>
      <c r="L34" s="176"/>
      <c r="M34" s="216"/>
      <c r="N34" s="235"/>
      <c r="O34" s="182"/>
      <c r="P34" s="182"/>
      <c r="Q34" s="182"/>
      <c r="R34" s="182"/>
      <c r="S34" s="182"/>
      <c r="T34" s="182"/>
      <c r="U34" s="182"/>
      <c r="V34" s="183"/>
      <c r="W34" s="2"/>
      <c r="X34" s="2"/>
      <c r="Y34" s="2"/>
      <c r="Z34" s="2"/>
      <c r="AA34" s="2"/>
      <c r="AB34" s="2"/>
      <c r="AC34" s="2"/>
      <c r="AD34" s="2"/>
      <c r="AE34" s="2"/>
      <c r="AF34" s="2"/>
      <c r="AG34" s="2"/>
      <c r="AH34" s="2"/>
      <c r="AI34" s="2"/>
      <c r="AJ34" s="2"/>
      <c r="AK34" s="2"/>
      <c r="AL34" s="2"/>
      <c r="AM34" s="2"/>
      <c r="AN34" s="2"/>
    </row>
    <row r="35" spans="1:40" ht="14.25" customHeight="1">
      <c r="A35" s="240" t="s">
        <v>95</v>
      </c>
      <c r="B35" s="165"/>
      <c r="C35" s="165"/>
      <c r="D35" s="165"/>
      <c r="E35" s="200"/>
      <c r="F35" s="258" t="s">
        <v>96</v>
      </c>
      <c r="G35" s="197"/>
      <c r="H35" s="197"/>
      <c r="I35" s="197"/>
      <c r="J35" s="197"/>
      <c r="K35" s="197"/>
      <c r="L35" s="197"/>
      <c r="M35" s="198"/>
      <c r="N35" s="269" t="s">
        <v>97</v>
      </c>
      <c r="O35" s="197"/>
      <c r="P35" s="197"/>
      <c r="Q35" s="197"/>
      <c r="R35" s="197"/>
      <c r="S35" s="197"/>
      <c r="T35" s="197"/>
      <c r="U35" s="197"/>
      <c r="V35" s="198"/>
      <c r="W35" s="2"/>
      <c r="X35" s="2"/>
      <c r="Y35" s="2"/>
      <c r="Z35" s="2"/>
      <c r="AA35" s="2"/>
      <c r="AB35" s="2"/>
      <c r="AC35" s="2"/>
      <c r="AD35" s="2"/>
      <c r="AE35" s="2"/>
      <c r="AF35" s="2"/>
      <c r="AG35" s="2"/>
      <c r="AH35" s="2"/>
      <c r="AI35" s="2"/>
      <c r="AJ35" s="2"/>
      <c r="AK35" s="2"/>
      <c r="AL35" s="2"/>
      <c r="AM35" s="2"/>
      <c r="AN35" s="2"/>
    </row>
    <row r="36" spans="1:40" ht="15" customHeight="1">
      <c r="A36" s="241"/>
      <c r="B36" s="169"/>
      <c r="C36" s="169"/>
      <c r="D36" s="169"/>
      <c r="E36" s="159"/>
      <c r="F36" s="250" t="s">
        <v>98</v>
      </c>
      <c r="G36" s="182"/>
      <c r="H36" s="182"/>
      <c r="I36" s="182"/>
      <c r="J36" s="182"/>
      <c r="K36" s="182"/>
      <c r="L36" s="182"/>
      <c r="M36" s="183"/>
      <c r="N36" s="264"/>
      <c r="O36" s="182"/>
      <c r="P36" s="182"/>
      <c r="Q36" s="182"/>
      <c r="R36" s="182"/>
      <c r="S36" s="182"/>
      <c r="T36" s="182"/>
      <c r="U36" s="182"/>
      <c r="V36" s="183"/>
      <c r="W36" s="2"/>
      <c r="X36" s="2"/>
      <c r="Y36" s="2"/>
      <c r="Z36" s="2"/>
      <c r="AA36" s="2"/>
      <c r="AB36" s="2"/>
      <c r="AC36" s="2"/>
      <c r="AD36" s="2"/>
      <c r="AE36" s="2"/>
      <c r="AF36" s="2"/>
      <c r="AG36" s="2"/>
      <c r="AH36" s="2"/>
      <c r="AI36" s="2"/>
      <c r="AJ36" s="2"/>
      <c r="AK36" s="2"/>
      <c r="AL36" s="2"/>
      <c r="AM36" s="2"/>
      <c r="AN36" s="2"/>
    </row>
    <row r="37" spans="1:40" ht="14.25" customHeight="1">
      <c r="A37" s="226"/>
      <c r="B37" s="173"/>
      <c r="C37" s="173"/>
      <c r="D37" s="173"/>
      <c r="E37" s="174"/>
      <c r="F37" s="243" t="s">
        <v>99</v>
      </c>
      <c r="G37" s="176"/>
      <c r="H37" s="176"/>
      <c r="I37" s="176"/>
      <c r="J37" s="176"/>
      <c r="K37" s="176"/>
      <c r="L37" s="176"/>
      <c r="M37" s="177"/>
      <c r="N37" s="238" t="s">
        <v>100</v>
      </c>
      <c r="O37" s="176"/>
      <c r="P37" s="176"/>
      <c r="Q37" s="176"/>
      <c r="R37" s="176"/>
      <c r="S37" s="176"/>
      <c r="T37" s="176"/>
      <c r="U37" s="176"/>
      <c r="V37" s="177"/>
      <c r="W37" s="2"/>
      <c r="X37" s="2"/>
      <c r="Y37" s="2"/>
      <c r="Z37" s="2"/>
      <c r="AA37" s="2"/>
      <c r="AB37" s="2"/>
      <c r="AC37" s="2"/>
      <c r="AD37" s="2"/>
      <c r="AE37" s="2"/>
      <c r="AF37" s="2"/>
      <c r="AG37" s="2"/>
      <c r="AH37" s="2"/>
      <c r="AI37" s="2"/>
      <c r="AJ37" s="2"/>
      <c r="AK37" s="2"/>
      <c r="AL37" s="2"/>
      <c r="AM37" s="2"/>
      <c r="AN37" s="2"/>
    </row>
    <row r="38" spans="1:40" ht="15" customHeight="1">
      <c r="A38" s="234" t="s">
        <v>101</v>
      </c>
      <c r="B38" s="180"/>
      <c r="C38" s="180"/>
      <c r="D38" s="180"/>
      <c r="E38" s="180"/>
      <c r="F38" s="180"/>
      <c r="G38" s="180"/>
      <c r="H38" s="180"/>
      <c r="I38" s="180"/>
      <c r="J38" s="180"/>
      <c r="K38" s="180"/>
      <c r="L38" s="180"/>
      <c r="M38" s="180"/>
      <c r="N38" s="180"/>
      <c r="O38" s="180"/>
      <c r="P38" s="180"/>
      <c r="Q38" s="180"/>
      <c r="R38" s="180"/>
      <c r="S38" s="180"/>
      <c r="T38" s="180"/>
      <c r="U38" s="180"/>
      <c r="V38" s="195"/>
      <c r="W38" s="2"/>
      <c r="X38" s="2"/>
      <c r="Y38" s="2"/>
      <c r="Z38" s="2"/>
      <c r="AA38" s="2"/>
      <c r="AB38" s="2"/>
      <c r="AC38" s="2"/>
      <c r="AD38" s="2"/>
      <c r="AE38" s="2"/>
      <c r="AF38" s="2"/>
      <c r="AG38" s="2"/>
      <c r="AH38" s="2"/>
      <c r="AI38" s="2"/>
      <c r="AJ38" s="2"/>
      <c r="AK38" s="2"/>
      <c r="AL38" s="2"/>
      <c r="AM38" s="2"/>
      <c r="AN38" s="2"/>
    </row>
    <row r="39" spans="1:40" ht="15" customHeight="1">
      <c r="A39" s="245" t="s">
        <v>102</v>
      </c>
      <c r="B39" s="169"/>
      <c r="C39" s="169"/>
      <c r="D39" s="169"/>
      <c r="E39" s="246"/>
      <c r="F39" s="244" t="s">
        <v>103</v>
      </c>
      <c r="G39" s="169"/>
      <c r="H39" s="169"/>
      <c r="I39" s="169"/>
      <c r="J39" s="169"/>
      <c r="K39" s="169"/>
      <c r="L39" s="169"/>
      <c r="M39" s="169"/>
      <c r="N39" s="252">
        <v>45667</v>
      </c>
      <c r="O39" s="182"/>
      <c r="P39" s="182"/>
      <c r="Q39" s="182"/>
      <c r="R39" s="182"/>
      <c r="S39" s="182"/>
      <c r="T39" s="182"/>
      <c r="U39" s="182"/>
      <c r="V39" s="183"/>
      <c r="W39" s="2"/>
      <c r="X39" s="2"/>
      <c r="Y39" s="2"/>
      <c r="Z39" s="2"/>
      <c r="AA39" s="2"/>
      <c r="AB39" s="2"/>
      <c r="AC39" s="2"/>
      <c r="AD39" s="2"/>
      <c r="AE39" s="2"/>
      <c r="AF39" s="2"/>
      <c r="AG39" s="2"/>
      <c r="AH39" s="2"/>
      <c r="AI39" s="2"/>
      <c r="AJ39" s="2"/>
      <c r="AK39" s="2"/>
      <c r="AL39" s="2"/>
      <c r="AM39" s="2"/>
      <c r="AN39" s="2"/>
    </row>
    <row r="40" spans="1:40" ht="15" customHeight="1">
      <c r="A40" s="226"/>
      <c r="B40" s="173"/>
      <c r="C40" s="173"/>
      <c r="D40" s="173"/>
      <c r="E40" s="227"/>
      <c r="F40" s="243" t="s">
        <v>104</v>
      </c>
      <c r="G40" s="176"/>
      <c r="H40" s="176"/>
      <c r="I40" s="176"/>
      <c r="J40" s="176"/>
      <c r="K40" s="176"/>
      <c r="L40" s="176"/>
      <c r="M40" s="177"/>
      <c r="N40" s="252"/>
      <c r="O40" s="182"/>
      <c r="P40" s="182"/>
      <c r="Q40" s="182"/>
      <c r="R40" s="182"/>
      <c r="S40" s="182"/>
      <c r="T40" s="182"/>
      <c r="U40" s="182"/>
      <c r="V40" s="183"/>
      <c r="W40" s="2"/>
      <c r="X40" s="2"/>
      <c r="Y40" s="2"/>
      <c r="Z40" s="2"/>
      <c r="AA40" s="2"/>
      <c r="AB40" s="2"/>
      <c r="AC40" s="2"/>
      <c r="AD40" s="2"/>
      <c r="AE40" s="2"/>
      <c r="AF40" s="2"/>
      <c r="AG40" s="2"/>
      <c r="AH40" s="2"/>
      <c r="AI40" s="2"/>
      <c r="AJ40" s="2"/>
      <c r="AK40" s="2"/>
      <c r="AL40" s="2"/>
      <c r="AM40" s="2"/>
      <c r="AN40" s="2"/>
    </row>
    <row r="41" spans="1:40" ht="15.75" customHeight="1">
      <c r="A41" s="234" t="s">
        <v>105</v>
      </c>
      <c r="B41" s="180"/>
      <c r="C41" s="180"/>
      <c r="D41" s="180"/>
      <c r="E41" s="180"/>
      <c r="F41" s="180"/>
      <c r="G41" s="180"/>
      <c r="H41" s="180"/>
      <c r="I41" s="180"/>
      <c r="J41" s="180"/>
      <c r="K41" s="180"/>
      <c r="L41" s="180"/>
      <c r="M41" s="180"/>
      <c r="N41" s="180"/>
      <c r="O41" s="180"/>
      <c r="P41" s="180"/>
      <c r="Q41" s="180"/>
      <c r="R41" s="180"/>
      <c r="S41" s="180"/>
      <c r="T41" s="180"/>
      <c r="U41" s="180"/>
      <c r="V41" s="195"/>
      <c r="W41" s="2"/>
      <c r="X41" s="2"/>
      <c r="Y41" s="2"/>
      <c r="Z41" s="2"/>
      <c r="AA41" s="2"/>
      <c r="AB41" s="2"/>
      <c r="AC41" s="2"/>
      <c r="AD41" s="2"/>
      <c r="AE41" s="2"/>
      <c r="AF41" s="2"/>
      <c r="AG41" s="2"/>
      <c r="AH41" s="2"/>
      <c r="AI41" s="2"/>
      <c r="AJ41" s="2"/>
      <c r="AK41" s="2"/>
      <c r="AL41" s="2"/>
      <c r="AM41" s="2"/>
      <c r="AN41" s="2"/>
    </row>
    <row r="42" spans="1:40" ht="14.25" customHeight="1">
      <c r="A42" s="262" t="s">
        <v>106</v>
      </c>
      <c r="B42" s="165"/>
      <c r="C42" s="165"/>
      <c r="D42" s="165"/>
      <c r="E42" s="166"/>
      <c r="F42" s="251" t="s">
        <v>107</v>
      </c>
      <c r="G42" s="197"/>
      <c r="H42" s="197"/>
      <c r="I42" s="197"/>
      <c r="J42" s="197"/>
      <c r="K42" s="197"/>
      <c r="L42" s="197"/>
      <c r="M42" s="222"/>
      <c r="N42" s="249"/>
      <c r="O42" s="197"/>
      <c r="P42" s="197"/>
      <c r="Q42" s="197"/>
      <c r="R42" s="197"/>
      <c r="S42" s="197"/>
      <c r="T42" s="197"/>
      <c r="U42" s="197"/>
      <c r="V42" s="198"/>
      <c r="W42" s="2"/>
      <c r="X42" s="2"/>
      <c r="Y42" s="2"/>
      <c r="Z42" s="2"/>
      <c r="AA42" s="2"/>
      <c r="AB42" s="2"/>
      <c r="AC42" s="2"/>
      <c r="AD42" s="2"/>
      <c r="AE42" s="2"/>
      <c r="AF42" s="2"/>
      <c r="AG42" s="2"/>
      <c r="AH42" s="2"/>
      <c r="AI42" s="2"/>
      <c r="AJ42" s="2"/>
      <c r="AK42" s="2"/>
      <c r="AL42" s="2"/>
      <c r="AM42" s="2"/>
      <c r="AN42" s="2"/>
    </row>
    <row r="43" spans="1:40" ht="14.25" customHeight="1">
      <c r="A43" s="241"/>
      <c r="B43" s="169"/>
      <c r="C43" s="169"/>
      <c r="D43" s="169"/>
      <c r="E43" s="246"/>
      <c r="F43" s="255" t="s">
        <v>108</v>
      </c>
      <c r="G43" s="182"/>
      <c r="H43" s="182"/>
      <c r="I43" s="182"/>
      <c r="J43" s="182"/>
      <c r="K43" s="182"/>
      <c r="L43" s="182"/>
      <c r="M43" s="188"/>
      <c r="N43" s="235"/>
      <c r="O43" s="182"/>
      <c r="P43" s="182"/>
      <c r="Q43" s="182"/>
      <c r="R43" s="182"/>
      <c r="S43" s="182"/>
      <c r="T43" s="182"/>
      <c r="U43" s="182"/>
      <c r="V43" s="183"/>
      <c r="W43" s="2"/>
      <c r="X43" s="2"/>
      <c r="Y43" s="2"/>
      <c r="Z43" s="2"/>
      <c r="AA43" s="2"/>
      <c r="AB43" s="2"/>
      <c r="AC43" s="2"/>
      <c r="AD43" s="2"/>
      <c r="AE43" s="2"/>
      <c r="AF43" s="2"/>
      <c r="AG43" s="2"/>
      <c r="AH43" s="2"/>
      <c r="AI43" s="2"/>
      <c r="AJ43" s="2"/>
      <c r="AK43" s="2"/>
      <c r="AL43" s="2"/>
      <c r="AM43" s="2"/>
      <c r="AN43" s="2"/>
    </row>
    <row r="44" spans="1:40" ht="34.5" customHeight="1">
      <c r="A44" s="263"/>
      <c r="B44" s="170"/>
      <c r="C44" s="170"/>
      <c r="D44" s="170"/>
      <c r="E44" s="190"/>
      <c r="F44" s="250" t="s">
        <v>109</v>
      </c>
      <c r="G44" s="182"/>
      <c r="H44" s="182"/>
      <c r="I44" s="182"/>
      <c r="J44" s="182"/>
      <c r="K44" s="182"/>
      <c r="L44" s="182"/>
      <c r="M44" s="183"/>
      <c r="N44" s="235"/>
      <c r="O44" s="182"/>
      <c r="P44" s="182"/>
      <c r="Q44" s="182"/>
      <c r="R44" s="182"/>
      <c r="S44" s="182"/>
      <c r="T44" s="182"/>
      <c r="U44" s="182"/>
      <c r="V44" s="183"/>
      <c r="W44" s="2"/>
      <c r="X44" s="2"/>
      <c r="Y44" s="2"/>
      <c r="Z44" s="2"/>
      <c r="AA44" s="2"/>
      <c r="AB44" s="2"/>
      <c r="AC44" s="2"/>
      <c r="AD44" s="2"/>
      <c r="AE44" s="2"/>
      <c r="AF44" s="2"/>
      <c r="AG44" s="2"/>
      <c r="AH44" s="2"/>
      <c r="AI44" s="2"/>
      <c r="AJ44" s="2"/>
      <c r="AK44" s="2"/>
      <c r="AL44" s="2"/>
      <c r="AM44" s="2"/>
      <c r="AN44" s="2"/>
    </row>
    <row r="45" spans="1:40" ht="14.25" customHeight="1">
      <c r="A45" s="234" t="s">
        <v>110</v>
      </c>
      <c r="B45" s="180"/>
      <c r="C45" s="180"/>
      <c r="D45" s="180"/>
      <c r="E45" s="180"/>
      <c r="F45" s="180"/>
      <c r="G45" s="180"/>
      <c r="H45" s="180"/>
      <c r="I45" s="180"/>
      <c r="J45" s="180"/>
      <c r="K45" s="180"/>
      <c r="L45" s="180"/>
      <c r="M45" s="180"/>
      <c r="N45" s="180"/>
      <c r="O45" s="180"/>
      <c r="P45" s="180"/>
      <c r="Q45" s="180"/>
      <c r="R45" s="180"/>
      <c r="S45" s="180"/>
      <c r="T45" s="180"/>
      <c r="U45" s="180"/>
      <c r="V45" s="195"/>
      <c r="W45" s="2"/>
      <c r="X45" s="2"/>
      <c r="Y45" s="2"/>
      <c r="Z45" s="2"/>
      <c r="AA45" s="2"/>
      <c r="AB45" s="2"/>
      <c r="AC45" s="2"/>
      <c r="AD45" s="2"/>
      <c r="AE45" s="2"/>
      <c r="AF45" s="2"/>
      <c r="AG45" s="2"/>
      <c r="AH45" s="2"/>
      <c r="AI45" s="2"/>
      <c r="AJ45" s="2"/>
      <c r="AK45" s="2"/>
      <c r="AL45" s="2"/>
      <c r="AM45" s="2"/>
      <c r="AN45" s="2"/>
    </row>
    <row r="46" spans="1:40" ht="126.75" customHeight="1">
      <c r="A46" s="236"/>
      <c r="B46" s="180"/>
      <c r="C46" s="180"/>
      <c r="D46" s="180"/>
      <c r="E46" s="180"/>
      <c r="F46" s="180"/>
      <c r="G46" s="180"/>
      <c r="H46" s="180"/>
      <c r="I46" s="180"/>
      <c r="J46" s="180"/>
      <c r="K46" s="180"/>
      <c r="L46" s="180"/>
      <c r="M46" s="180"/>
      <c r="N46" s="180"/>
      <c r="O46" s="180"/>
      <c r="P46" s="180"/>
      <c r="Q46" s="180"/>
      <c r="R46" s="180"/>
      <c r="S46" s="180"/>
      <c r="T46" s="180"/>
      <c r="U46" s="180"/>
      <c r="V46" s="195"/>
      <c r="W46" s="2"/>
      <c r="X46" s="2"/>
      <c r="Y46" s="2"/>
      <c r="Z46" s="2"/>
      <c r="AA46" s="2"/>
      <c r="AB46" s="2"/>
      <c r="AC46" s="2"/>
      <c r="AD46" s="2"/>
      <c r="AE46" s="2"/>
      <c r="AF46" s="2"/>
      <c r="AG46" s="2"/>
      <c r="AH46" s="2"/>
      <c r="AI46" s="2"/>
      <c r="AJ46" s="2"/>
      <c r="AK46" s="2"/>
      <c r="AL46" s="2"/>
      <c r="AM46" s="2"/>
      <c r="AN46" s="2"/>
    </row>
    <row r="47" spans="1:40"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row>
    <row r="48" spans="1:40"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spans="1:40"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pans="1:4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pans="1:40"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pans="1:40"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spans="1:40"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spans="1:40"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spans="1:40"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spans="1:40"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spans="1:40"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spans="1:40"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spans="1:40"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spans="1:4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spans="1:40"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spans="1:40"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spans="1:40"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spans="1:40"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spans="1:40"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spans="1:40"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spans="1:40"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spans="1:40"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spans="1:40"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spans="1:4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spans="1:40"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spans="1:40"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spans="1:40"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spans="1:40"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spans="1:40"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spans="1:40"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spans="1:40"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spans="1:40"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spans="1:40"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row>
    <row r="80" spans="1:4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spans="1:40"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spans="1:40"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spans="1:40"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1:40"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1:40"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1:40"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1:4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1:40"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1:40"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1:40"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1:40"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1:40"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1:40"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1:40"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1:40"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1:40"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1:4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1:40"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1:40"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1:40"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1:40"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1:40"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spans="1:40"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spans="1:40"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spans="1:40"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1:40"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spans="1:4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spans="1:40"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spans="1:40"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spans="1:40"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spans="1:40"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1:40"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1:40"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1:40"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1:40"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spans="1:40"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spans="1:4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spans="1:40"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spans="1:40"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spans="1:40"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spans="1:40"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spans="1:40"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1:40"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spans="1:40"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1:40"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spans="1:40"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spans="1:40"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spans="1:40"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spans="1:40"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spans="1:40"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spans="1:40"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spans="1:40"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spans="1:40"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spans="1:40"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spans="1:4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spans="1:40"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spans="1:40"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1:40"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1:40"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1:40"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spans="1:40"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spans="1:40"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1:40"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spans="1:40"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1:4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spans="1:40"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spans="1:40"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1:40"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spans="1:40"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spans="1:40"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spans="1:40"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spans="1:40"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spans="1:40"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spans="1:40"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spans="1:4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spans="1:40"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spans="1:40"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spans="1:40"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spans="1:40"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spans="1:40"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spans="1:40"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spans="1:40"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spans="1:40"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spans="1:40"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spans="1:4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spans="1:40"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spans="1:40"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spans="1:40"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spans="1:40"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spans="1:40"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spans="1:40"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spans="1:40"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spans="1:40"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spans="1:40"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spans="1:4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spans="1:40"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spans="1:40"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spans="1:40"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spans="1:40"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spans="1:40"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spans="1:40"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spans="1:40"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spans="1:40"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spans="1:40"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spans="1:4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spans="1:40"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spans="1:40"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spans="1:40"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spans="1:40"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spans="1:40"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spans="1:40"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spans="1:40"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spans="1:40"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spans="1:40"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spans="1:4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spans="1:40"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spans="1:40"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spans="1:40"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spans="1:40"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spans="1:40"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spans="1:40"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spans="1:40"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spans="1:40"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spans="1:40"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spans="1:4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spans="1:40"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spans="1:40"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spans="1:40"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spans="1:40"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spans="1:40"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spans="1:40"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spans="1:40"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spans="1:40"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spans="1:40"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spans="1:4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spans="1:40"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spans="1:40"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spans="1:40"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spans="1:40"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spans="1:40"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spans="1:40"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spans="1:40"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spans="1:40"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spans="1:40"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spans="1: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spans="1:40"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spans="1:40"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spans="1:40"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spans="1:40"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spans="1:40"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spans="1:40"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spans="1:40" ht="15.75" customHeight="1"/>
    <row r="248" spans="1:40" ht="15.75" customHeight="1"/>
    <row r="249" spans="1:40" ht="15.75" customHeight="1"/>
    <row r="250" spans="1:40" ht="15.75" customHeight="1"/>
    <row r="251" spans="1:40" ht="15.75" customHeight="1"/>
    <row r="252" spans="1:40" ht="15.75" customHeight="1"/>
    <row r="253" spans="1:40" ht="15.75" customHeight="1"/>
    <row r="254" spans="1:40" ht="15.75" customHeight="1"/>
    <row r="255" spans="1:40" ht="15.75" customHeight="1"/>
    <row r="256" spans="1:40"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B6:K6"/>
    <mergeCell ref="F19:V19"/>
    <mergeCell ref="A21:E22"/>
    <mergeCell ref="L22:V22"/>
    <mergeCell ref="F31:M31"/>
    <mergeCell ref="N31:V31"/>
    <mergeCell ref="A16:V16"/>
    <mergeCell ref="A14:V15"/>
    <mergeCell ref="L24:V24"/>
    <mergeCell ref="L25:V25"/>
    <mergeCell ref="N44:V44"/>
    <mergeCell ref="T2:V2"/>
    <mergeCell ref="F40:M40"/>
    <mergeCell ref="N29:V29"/>
    <mergeCell ref="A38:V38"/>
    <mergeCell ref="A28:V28"/>
    <mergeCell ref="A2:B5"/>
    <mergeCell ref="F30:M30"/>
    <mergeCell ref="A23:E24"/>
    <mergeCell ref="F22:K22"/>
    <mergeCell ref="C2:S5"/>
    <mergeCell ref="F21:V21"/>
    <mergeCell ref="F27:K27"/>
    <mergeCell ref="A17:E17"/>
    <mergeCell ref="N35:V35"/>
    <mergeCell ref="F24:K24"/>
    <mergeCell ref="F43:M43"/>
    <mergeCell ref="F25:K25"/>
    <mergeCell ref="A18:E18"/>
    <mergeCell ref="F18:V18"/>
    <mergeCell ref="F35:M35"/>
    <mergeCell ref="N30:V30"/>
    <mergeCell ref="F32:M32"/>
    <mergeCell ref="N34:V34"/>
    <mergeCell ref="A29:E34"/>
    <mergeCell ref="A25:E27"/>
    <mergeCell ref="F20:V20"/>
    <mergeCell ref="F36:M36"/>
    <mergeCell ref="A42:E44"/>
    <mergeCell ref="F23:V23"/>
    <mergeCell ref="N36:V36"/>
    <mergeCell ref="F44:M44"/>
    <mergeCell ref="N42:V42"/>
    <mergeCell ref="N33:V33"/>
    <mergeCell ref="F26:K26"/>
    <mergeCell ref="F42:M42"/>
    <mergeCell ref="N40:V40"/>
    <mergeCell ref="A41:V41"/>
    <mergeCell ref="F34:M34"/>
    <mergeCell ref="N39:V39"/>
    <mergeCell ref="F33:M33"/>
    <mergeCell ref="F29:M29"/>
    <mergeCell ref="A45:V45"/>
    <mergeCell ref="N43:V43"/>
    <mergeCell ref="T3:V4"/>
    <mergeCell ref="A46:V46"/>
    <mergeCell ref="A19:E19"/>
    <mergeCell ref="N37:V37"/>
    <mergeCell ref="L27:V27"/>
    <mergeCell ref="A35:E37"/>
    <mergeCell ref="T5:V5"/>
    <mergeCell ref="A20:E20"/>
    <mergeCell ref="N32:V32"/>
    <mergeCell ref="F37:M37"/>
    <mergeCell ref="F39:M39"/>
    <mergeCell ref="A39:E40"/>
    <mergeCell ref="L26:V26"/>
    <mergeCell ref="F17:V17"/>
  </mergeCells>
  <dataValidations count="2">
    <dataValidation type="custom" allowBlank="1" showInputMessage="1" showErrorMessage="1" prompt="El texto debe ser máximo de 150 palabras." sqref="A46" xr:uid="{00000000-0002-0000-0100-000000000000}">
      <formula1>LT(LEN(A46),(2400))</formula1>
    </dataValidation>
    <dataValidation type="date" operator="greaterThanOrEqual" allowBlank="1" showInputMessage="1" showErrorMessage="1" prompt="La fecha de entrada en operación comercial debe ser posterior a la fecha de inicio de construcción_x000a_" sqref="N40" xr:uid="{00000000-0002-0000-0100-000007000000}">
      <formula1>N39</formula1>
    </dataValidation>
  </dataValidations>
  <pageMargins left="0.511811023622047" right="0.62992125984252001" top="1.02362204724409" bottom="1.1023622047244099" header="0" footer="0"/>
  <pageSetup fitToHeight="0" orientation="portrait"/>
  <headerFooter>
    <oddFooter>&amp;LF-DE-012 V3 &amp;R 15/07/2024</oddFoot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100-000001000000}">
          <x14:formula1>
            <xm:f>Listas2!$D$12:$D$16</xm:f>
          </x14:formula1>
          <xm:sqref>N36</xm:sqref>
        </x14:dataValidation>
        <x14:dataValidation type="list" allowBlank="1" showErrorMessage="1" xr:uid="{00000000-0002-0000-0100-000002000000}">
          <x14:formula1>
            <xm:f>Listas2!$B$11:$B$13</xm:f>
          </x14:formula1>
          <xm:sqref>F19</xm:sqref>
        </x14:dataValidation>
        <x14:dataValidation type="list" allowBlank="1" showInputMessage="1" showErrorMessage="1" prompt="Antes de seleccionar el recurso energético, seleccione el tipo de FNCE para que se despliegue la lista de opciones. " xr:uid="{00000000-0002-0000-0100-000003000000}">
          <x14:formula1>
            <xm:f>INDIRECT(Listas2!$B$27)</xm:f>
          </x14:formula1>
          <xm:sqref>F21</xm:sqref>
        </x14:dataValidation>
        <x14:dataValidation type="list" allowBlank="1" showErrorMessage="1" xr:uid="{00000000-0002-0000-0100-000004000000}">
          <x14:formula1>
            <xm:f>Listas2!$D$29:$D$33</xm:f>
          </x14:formula1>
          <xm:sqref>F18</xm:sqref>
        </x14:dataValidation>
        <x14:dataValidation type="list" allowBlank="1" showInputMessage="1" showErrorMessage="1" prompt="Antes de seleccionar la tecnología, seleccione el tipo de FNCE para que se despliegue la lista de opciones. " xr:uid="{00000000-0002-0000-0100-000005000000}">
          <x14:formula1>
            <xm:f>INDIRECT(Listas2!$B$26)</xm:f>
          </x14:formula1>
          <xm:sqref>F23</xm:sqref>
        </x14:dataValidation>
        <x14:dataValidation type="list" allowBlank="1" showErrorMessage="1" xr:uid="{00000000-0002-0000-0100-000006000000}">
          <x14:formula1>
            <xm:f>Listas2!$D$20:$D$24</xm:f>
          </x14:formula1>
          <xm:sqref>F20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1135"/>
  <sheetViews>
    <sheetView showGridLines="0" tabSelected="1" topLeftCell="D94" zoomScale="60" zoomScaleNormal="60" workbookViewId="0">
      <selection activeCell="D96" sqref="A96:XFD96"/>
    </sheetView>
  </sheetViews>
  <sheetFormatPr defaultColWidth="14.453125" defaultRowHeight="15" customHeight="1"/>
  <cols>
    <col min="1" max="1" width="10.7265625" customWidth="1"/>
    <col min="2" max="2" width="63.81640625" customWidth="1"/>
    <col min="3" max="3" width="20.81640625" customWidth="1"/>
    <col min="4" max="4" width="12.54296875" customWidth="1"/>
    <col min="5" max="5" width="18.54296875" customWidth="1"/>
    <col min="6" max="6" width="23.453125" customWidth="1"/>
    <col min="7" max="7" width="23.1796875" customWidth="1"/>
    <col min="8" max="8" width="41.81640625" customWidth="1"/>
    <col min="9" max="9" width="18.453125" customWidth="1"/>
    <col min="10" max="10" width="22.7265625" customWidth="1"/>
    <col min="11" max="11" width="20.81640625" customWidth="1"/>
    <col min="12" max="12" width="20.26953125" customWidth="1"/>
    <col min="13" max="13" width="41.54296875" customWidth="1"/>
    <col min="14" max="14" width="32.26953125" customWidth="1"/>
    <col min="15" max="15" width="36.1796875" customWidth="1"/>
    <col min="16" max="28" width="22" customWidth="1"/>
  </cols>
  <sheetData>
    <row r="1" spans="1:28" ht="14.25" customHeight="1">
      <c r="A1" s="18"/>
      <c r="B1" s="1"/>
      <c r="C1" s="1"/>
      <c r="D1" s="18"/>
      <c r="E1" s="18"/>
      <c r="F1" s="1"/>
      <c r="G1" s="1"/>
      <c r="H1" s="1"/>
      <c r="I1" s="1"/>
      <c r="J1" s="1"/>
      <c r="K1" s="18"/>
      <c r="L1" s="19"/>
      <c r="M1" s="1"/>
      <c r="N1" s="1"/>
      <c r="O1" s="1"/>
      <c r="P1" s="1"/>
      <c r="Q1" s="1"/>
      <c r="R1" s="1"/>
      <c r="S1" s="1"/>
      <c r="T1" s="1"/>
      <c r="U1" s="1"/>
      <c r="V1" s="1"/>
      <c r="W1" s="1"/>
      <c r="X1" s="1"/>
      <c r="Y1" s="1"/>
      <c r="Z1" s="1"/>
      <c r="AA1" s="1"/>
      <c r="AB1" s="1"/>
    </row>
    <row r="2" spans="1:28" ht="27.75" customHeight="1">
      <c r="A2" s="156"/>
      <c r="B2" s="157"/>
      <c r="C2" s="167" t="s">
        <v>0</v>
      </c>
      <c r="D2" s="168"/>
      <c r="E2" s="168"/>
      <c r="F2" s="168"/>
      <c r="G2" s="168"/>
      <c r="H2" s="168"/>
      <c r="I2" s="168"/>
      <c r="J2" s="168"/>
      <c r="K2" s="168"/>
      <c r="L2" s="157"/>
      <c r="M2" s="20" t="s">
        <v>67</v>
      </c>
      <c r="N2" s="21"/>
      <c r="O2" s="21"/>
      <c r="P2" s="2"/>
      <c r="Q2" s="22"/>
      <c r="R2" s="22"/>
      <c r="S2" s="22"/>
      <c r="T2" s="2"/>
      <c r="U2" s="1"/>
      <c r="V2" s="1"/>
      <c r="W2" s="1"/>
      <c r="X2" s="1"/>
      <c r="Y2" s="1"/>
      <c r="Z2" s="1"/>
      <c r="AA2" s="1"/>
      <c r="AB2" s="1"/>
    </row>
    <row r="3" spans="1:28" ht="12.75" customHeight="1">
      <c r="A3" s="158"/>
      <c r="B3" s="159"/>
      <c r="C3" s="158"/>
      <c r="D3" s="169"/>
      <c r="E3" s="169"/>
      <c r="F3" s="169"/>
      <c r="G3" s="169"/>
      <c r="H3" s="169"/>
      <c r="I3" s="169"/>
      <c r="J3" s="169"/>
      <c r="K3" s="169"/>
      <c r="L3" s="159"/>
      <c r="M3" s="162" t="s">
        <v>68</v>
      </c>
      <c r="N3" s="21"/>
      <c r="O3" s="21"/>
      <c r="P3" s="2"/>
      <c r="Q3" s="22"/>
      <c r="R3" s="22"/>
      <c r="S3" s="22"/>
      <c r="T3" s="2"/>
      <c r="U3" s="1"/>
      <c r="V3" s="1"/>
      <c r="W3" s="1"/>
      <c r="X3" s="1"/>
      <c r="Y3" s="1"/>
      <c r="Z3" s="1"/>
      <c r="AA3" s="1"/>
      <c r="AB3" s="1"/>
    </row>
    <row r="4" spans="1:28" ht="10.5" customHeight="1">
      <c r="A4" s="158"/>
      <c r="B4" s="159"/>
      <c r="C4" s="158"/>
      <c r="D4" s="169"/>
      <c r="E4" s="169"/>
      <c r="F4" s="169"/>
      <c r="G4" s="169"/>
      <c r="H4" s="169"/>
      <c r="I4" s="169"/>
      <c r="J4" s="169"/>
      <c r="K4" s="169"/>
      <c r="L4" s="159"/>
      <c r="M4" s="163"/>
      <c r="N4" s="21"/>
      <c r="O4" s="21"/>
      <c r="P4" s="2"/>
      <c r="Q4" s="22"/>
      <c r="R4" s="22"/>
      <c r="S4" s="22"/>
      <c r="T4" s="2"/>
      <c r="U4" s="1"/>
      <c r="V4" s="1"/>
      <c r="W4" s="1"/>
      <c r="X4" s="1"/>
      <c r="Y4" s="1"/>
      <c r="Z4" s="1"/>
      <c r="AA4" s="1"/>
      <c r="AB4" s="1"/>
    </row>
    <row r="5" spans="1:28" ht="19.5" customHeight="1">
      <c r="A5" s="160"/>
      <c r="B5" s="161"/>
      <c r="C5" s="160"/>
      <c r="D5" s="170"/>
      <c r="E5" s="170"/>
      <c r="F5" s="170"/>
      <c r="G5" s="170"/>
      <c r="H5" s="170"/>
      <c r="I5" s="170"/>
      <c r="J5" s="170"/>
      <c r="K5" s="170"/>
      <c r="L5" s="161"/>
      <c r="M5" s="23" t="s">
        <v>3</v>
      </c>
      <c r="N5" s="21"/>
      <c r="O5" s="21"/>
      <c r="P5" s="2"/>
      <c r="Q5" s="22"/>
      <c r="R5" s="22"/>
      <c r="S5" s="22"/>
      <c r="T5" s="2"/>
      <c r="U5" s="1"/>
      <c r="V5" s="1"/>
      <c r="W5" s="1"/>
      <c r="X5" s="1"/>
      <c r="Y5" s="1"/>
      <c r="Z5" s="1"/>
      <c r="AA5" s="1"/>
      <c r="AB5" s="1"/>
    </row>
    <row r="6" spans="1:28" ht="14.25" customHeight="1">
      <c r="A6" s="18"/>
      <c r="B6" s="171"/>
      <c r="C6" s="169"/>
      <c r="D6" s="169"/>
      <c r="E6" s="169"/>
      <c r="F6" s="169"/>
      <c r="G6" s="169"/>
      <c r="H6" s="169"/>
      <c r="I6" s="169"/>
      <c r="J6" s="169"/>
      <c r="K6" s="169"/>
      <c r="L6" s="19"/>
      <c r="M6" s="1"/>
      <c r="N6" s="1"/>
      <c r="O6" s="1"/>
      <c r="P6" s="1"/>
      <c r="Q6" s="1"/>
      <c r="R6" s="1"/>
      <c r="S6" s="1"/>
      <c r="T6" s="1"/>
      <c r="U6" s="1"/>
      <c r="V6" s="1"/>
      <c r="W6" s="1"/>
      <c r="X6" s="1"/>
      <c r="Y6" s="1"/>
      <c r="Z6" s="1"/>
      <c r="AA6" s="1"/>
      <c r="AB6" s="1"/>
    </row>
    <row r="7" spans="1:28" ht="14.25" customHeight="1">
      <c r="A7" s="24"/>
      <c r="B7" s="2"/>
      <c r="C7" s="2"/>
      <c r="D7" s="24"/>
      <c r="E7" s="24"/>
      <c r="F7" s="2"/>
      <c r="G7" s="2"/>
      <c r="H7" s="2"/>
      <c r="I7" s="2"/>
      <c r="J7" s="2"/>
      <c r="K7" s="24"/>
      <c r="L7" s="25"/>
      <c r="M7" s="2"/>
      <c r="N7" s="2"/>
      <c r="O7" s="2"/>
      <c r="P7" s="2"/>
      <c r="Q7" s="2"/>
      <c r="R7" s="2"/>
      <c r="S7" s="2"/>
      <c r="T7" s="2"/>
      <c r="U7" s="2"/>
      <c r="V7" s="2"/>
      <c r="W7" s="2"/>
      <c r="X7" s="2"/>
      <c r="Y7" s="2"/>
      <c r="Z7" s="2"/>
      <c r="AA7" s="2"/>
      <c r="AB7" s="2"/>
    </row>
    <row r="8" spans="1:28" ht="14.25" customHeight="1">
      <c r="A8" s="24"/>
      <c r="B8" s="2"/>
      <c r="C8" s="2"/>
      <c r="D8" s="24"/>
      <c r="E8" s="24"/>
      <c r="F8" s="2"/>
      <c r="G8" s="2"/>
      <c r="H8" s="2"/>
      <c r="I8" s="2"/>
      <c r="J8" s="2"/>
      <c r="K8" s="24"/>
      <c r="L8" s="25"/>
      <c r="M8" s="2"/>
      <c r="N8" s="2"/>
      <c r="O8" s="2"/>
      <c r="P8" s="2"/>
      <c r="Q8" s="2"/>
      <c r="R8" s="2"/>
      <c r="S8" s="2"/>
      <c r="T8" s="2"/>
      <c r="U8" s="2"/>
      <c r="V8" s="2"/>
      <c r="W8" s="2"/>
      <c r="X8" s="2"/>
      <c r="Y8" s="2"/>
      <c r="Z8" s="2"/>
      <c r="AA8" s="2"/>
      <c r="AB8" s="2"/>
    </row>
    <row r="9" spans="1:28" ht="14.25" customHeight="1">
      <c r="A9" s="24"/>
      <c r="B9" s="2"/>
      <c r="C9" s="2"/>
      <c r="D9" s="24"/>
      <c r="E9" s="24"/>
      <c r="F9" s="2"/>
      <c r="G9" s="2"/>
      <c r="H9" s="2"/>
      <c r="I9" s="2"/>
      <c r="J9" s="2"/>
      <c r="K9" s="24"/>
      <c r="L9" s="25"/>
      <c r="M9" s="2"/>
      <c r="N9" s="2"/>
      <c r="O9" s="2"/>
      <c r="P9" s="2"/>
      <c r="Q9" s="2"/>
      <c r="R9" s="2"/>
      <c r="S9" s="2"/>
      <c r="T9" s="2"/>
      <c r="U9" s="2"/>
      <c r="V9" s="2"/>
      <c r="W9" s="2"/>
      <c r="X9" s="2"/>
      <c r="Y9" s="2"/>
      <c r="Z9" s="2"/>
      <c r="AA9" s="2"/>
      <c r="AB9" s="2"/>
    </row>
    <row r="10" spans="1:28" ht="48" customHeight="1">
      <c r="A10" s="164" t="s">
        <v>111</v>
      </c>
      <c r="B10" s="165"/>
      <c r="C10" s="165"/>
      <c r="D10" s="165"/>
      <c r="E10" s="165"/>
      <c r="F10" s="165"/>
      <c r="G10" s="165"/>
      <c r="H10" s="165"/>
      <c r="I10" s="165"/>
      <c r="J10" s="165"/>
      <c r="K10" s="165"/>
      <c r="L10" s="165"/>
      <c r="M10" s="166"/>
      <c r="N10" s="2"/>
      <c r="O10" s="2"/>
      <c r="P10" s="2"/>
      <c r="Q10" s="2"/>
      <c r="R10" s="2"/>
      <c r="S10" s="2"/>
      <c r="T10" s="2"/>
      <c r="U10" s="2"/>
      <c r="V10" s="2"/>
      <c r="W10" s="2"/>
      <c r="X10" s="2"/>
      <c r="Y10" s="2"/>
      <c r="Z10" s="2"/>
      <c r="AA10" s="2"/>
      <c r="AB10" s="2"/>
    </row>
    <row r="11" spans="1:28" ht="51.75" customHeight="1">
      <c r="A11" s="26" t="s">
        <v>112</v>
      </c>
      <c r="B11" s="109" t="s">
        <v>113</v>
      </c>
      <c r="C11" s="109" t="s">
        <v>114</v>
      </c>
      <c r="D11" s="26" t="s">
        <v>115</v>
      </c>
      <c r="E11" s="26" t="s">
        <v>116</v>
      </c>
      <c r="F11" s="109" t="s">
        <v>117</v>
      </c>
      <c r="G11" s="109" t="s">
        <v>118</v>
      </c>
      <c r="H11" s="109" t="s">
        <v>119</v>
      </c>
      <c r="I11" s="109" t="s">
        <v>120</v>
      </c>
      <c r="J11" s="109" t="s">
        <v>121</v>
      </c>
      <c r="K11" s="26" t="s">
        <v>122</v>
      </c>
      <c r="L11" s="27" t="s">
        <v>123</v>
      </c>
      <c r="M11" s="109" t="s">
        <v>124</v>
      </c>
      <c r="N11" s="28" t="s">
        <v>125</v>
      </c>
      <c r="O11" s="109" t="s">
        <v>126</v>
      </c>
      <c r="P11" s="109" t="s">
        <v>127</v>
      </c>
      <c r="Q11" s="2"/>
      <c r="R11" s="2"/>
      <c r="S11" s="2"/>
      <c r="T11" s="2"/>
      <c r="U11" s="2"/>
      <c r="V11" s="2"/>
      <c r="W11" s="2"/>
      <c r="X11" s="2"/>
      <c r="Y11" s="2"/>
      <c r="Z11" s="2"/>
      <c r="AA11" s="2"/>
      <c r="AB11" s="2"/>
    </row>
    <row r="12" spans="1:28" ht="99" customHeight="1">
      <c r="A12" s="30">
        <v>1</v>
      </c>
      <c r="B12" s="29" t="s">
        <v>128</v>
      </c>
      <c r="C12" s="37" t="s">
        <v>129</v>
      </c>
      <c r="D12" s="30">
        <v>1</v>
      </c>
      <c r="E12" s="30" t="s">
        <v>130</v>
      </c>
      <c r="F12" s="34" t="s">
        <v>131</v>
      </c>
      <c r="G12" s="34" t="s">
        <v>132</v>
      </c>
      <c r="H12" s="34" t="s">
        <v>133</v>
      </c>
      <c r="I12" s="34" t="s">
        <v>134</v>
      </c>
      <c r="J12" s="34" t="s">
        <v>135</v>
      </c>
      <c r="K12" s="35">
        <v>577362000</v>
      </c>
      <c r="L12" s="36">
        <f>K12*0.19</f>
        <v>109698780</v>
      </c>
      <c r="M12" s="31" t="s">
        <v>136</v>
      </c>
      <c r="N12" s="32" t="s">
        <v>137</v>
      </c>
      <c r="O12" s="49"/>
      <c r="P12" s="49" t="s">
        <v>138</v>
      </c>
      <c r="Q12" s="2"/>
      <c r="R12" s="2"/>
      <c r="S12" s="2"/>
      <c r="T12" s="2"/>
      <c r="U12" s="2"/>
      <c r="V12" s="2"/>
      <c r="W12" s="2"/>
      <c r="X12" s="2"/>
      <c r="Y12" s="2"/>
      <c r="Z12" s="2"/>
      <c r="AA12" s="2"/>
      <c r="AB12" s="2"/>
    </row>
    <row r="13" spans="1:28" ht="99" customHeight="1">
      <c r="A13" s="33">
        <v>2</v>
      </c>
      <c r="B13" s="29" t="s">
        <v>128</v>
      </c>
      <c r="C13" s="37" t="s">
        <v>129</v>
      </c>
      <c r="D13" s="30">
        <v>1</v>
      </c>
      <c r="E13" s="30" t="s">
        <v>130</v>
      </c>
      <c r="F13" s="34" t="s">
        <v>131</v>
      </c>
      <c r="G13" s="34" t="s">
        <v>139</v>
      </c>
      <c r="H13" s="34" t="s">
        <v>140</v>
      </c>
      <c r="I13" s="34" t="s">
        <v>134</v>
      </c>
      <c r="J13" s="34" t="s">
        <v>135</v>
      </c>
      <c r="K13" s="35">
        <v>713122839.91999996</v>
      </c>
      <c r="L13" s="36" t="s">
        <v>141</v>
      </c>
      <c r="M13" s="37" t="s">
        <v>136</v>
      </c>
      <c r="N13" s="110" t="s">
        <v>142</v>
      </c>
      <c r="O13" s="49"/>
      <c r="P13" s="49" t="s">
        <v>138</v>
      </c>
      <c r="Q13" s="2"/>
      <c r="R13" s="2"/>
      <c r="S13" s="2"/>
      <c r="T13" s="2"/>
      <c r="U13" s="2"/>
      <c r="V13" s="2"/>
      <c r="W13" s="2"/>
      <c r="X13" s="2"/>
      <c r="Y13" s="2"/>
      <c r="Z13" s="2"/>
      <c r="AA13" s="2"/>
      <c r="AB13" s="2"/>
    </row>
    <row r="14" spans="1:28" ht="103.5" customHeight="1">
      <c r="A14" s="30">
        <v>3</v>
      </c>
      <c r="B14" s="38" t="s">
        <v>128</v>
      </c>
      <c r="C14" s="37" t="s">
        <v>143</v>
      </c>
      <c r="D14" s="41">
        <v>1</v>
      </c>
      <c r="E14" s="41" t="s">
        <v>130</v>
      </c>
      <c r="F14" s="37" t="s">
        <v>144</v>
      </c>
      <c r="G14" s="37" t="s">
        <v>145</v>
      </c>
      <c r="H14" s="37" t="s">
        <v>146</v>
      </c>
      <c r="I14" s="37" t="s">
        <v>134</v>
      </c>
      <c r="J14" s="37" t="s">
        <v>144</v>
      </c>
      <c r="K14" s="39">
        <v>577362000</v>
      </c>
      <c r="L14" s="42">
        <f t="shared" ref="L14:L20" si="0">K14*0.19</f>
        <v>109698780</v>
      </c>
      <c r="M14" s="37" t="s">
        <v>136</v>
      </c>
      <c r="N14" s="110" t="s">
        <v>147</v>
      </c>
      <c r="O14" s="49"/>
      <c r="P14" s="49" t="s">
        <v>148</v>
      </c>
      <c r="Q14" s="2"/>
      <c r="R14" s="2"/>
      <c r="S14" s="2"/>
      <c r="T14" s="2"/>
      <c r="U14" s="2"/>
      <c r="V14" s="2"/>
      <c r="W14" s="2"/>
      <c r="X14" s="2"/>
      <c r="Y14" s="2"/>
      <c r="Z14" s="2"/>
      <c r="AA14" s="2"/>
      <c r="AB14" s="2"/>
    </row>
    <row r="15" spans="1:28" ht="103.5" customHeight="1">
      <c r="A15" s="33">
        <v>4</v>
      </c>
      <c r="B15" s="38" t="s">
        <v>128</v>
      </c>
      <c r="C15" s="37" t="s">
        <v>143</v>
      </c>
      <c r="D15" s="41">
        <v>1</v>
      </c>
      <c r="E15" s="41" t="s">
        <v>130</v>
      </c>
      <c r="F15" s="37" t="s">
        <v>144</v>
      </c>
      <c r="G15" s="37" t="s">
        <v>149</v>
      </c>
      <c r="H15" s="37" t="s">
        <v>150</v>
      </c>
      <c r="I15" s="37" t="s">
        <v>134</v>
      </c>
      <c r="J15" s="37" t="s">
        <v>144</v>
      </c>
      <c r="K15" s="39">
        <v>593808411</v>
      </c>
      <c r="L15" s="42">
        <f t="shared" si="0"/>
        <v>112823598.09</v>
      </c>
      <c r="M15" s="37" t="s">
        <v>136</v>
      </c>
      <c r="N15" s="110" t="s">
        <v>151</v>
      </c>
      <c r="O15" s="49"/>
      <c r="P15" s="49" t="s">
        <v>138</v>
      </c>
      <c r="Q15" s="2"/>
      <c r="R15" s="2"/>
      <c r="S15" s="2"/>
      <c r="T15" s="2"/>
      <c r="U15" s="2"/>
      <c r="V15" s="2"/>
      <c r="W15" s="2"/>
      <c r="X15" s="2"/>
      <c r="Y15" s="2"/>
      <c r="Z15" s="2"/>
      <c r="AA15" s="2"/>
      <c r="AB15" s="2"/>
    </row>
    <row r="16" spans="1:28" ht="99" customHeight="1">
      <c r="A16" s="30">
        <v>5</v>
      </c>
      <c r="B16" s="40" t="s">
        <v>152</v>
      </c>
      <c r="C16" s="37" t="s">
        <v>153</v>
      </c>
      <c r="D16" s="41">
        <v>18</v>
      </c>
      <c r="E16" s="41" t="s">
        <v>130</v>
      </c>
      <c r="F16" s="37" t="s">
        <v>131</v>
      </c>
      <c r="G16" s="37" t="s">
        <v>154</v>
      </c>
      <c r="H16" s="40" t="s">
        <v>155</v>
      </c>
      <c r="I16" s="37" t="s">
        <v>156</v>
      </c>
      <c r="J16" s="37" t="s">
        <v>144</v>
      </c>
      <c r="K16" s="39">
        <f>K14*0.85</f>
        <v>490757700</v>
      </c>
      <c r="L16" s="42">
        <f t="shared" si="0"/>
        <v>93243963</v>
      </c>
      <c r="M16" s="37" t="s">
        <v>157</v>
      </c>
      <c r="N16" s="110" t="s">
        <v>158</v>
      </c>
      <c r="O16" s="49"/>
      <c r="P16" s="49" t="s">
        <v>159</v>
      </c>
      <c r="Q16" s="2"/>
      <c r="R16" s="2"/>
      <c r="S16" s="2"/>
      <c r="T16" s="2"/>
      <c r="U16" s="2"/>
      <c r="V16" s="2"/>
      <c r="W16" s="2"/>
      <c r="X16" s="2"/>
      <c r="Y16" s="2"/>
      <c r="Z16" s="2"/>
      <c r="AA16" s="2"/>
      <c r="AB16" s="2"/>
    </row>
    <row r="17" spans="1:28" ht="99" customHeight="1">
      <c r="A17" s="33">
        <v>6</v>
      </c>
      <c r="B17" s="40" t="s">
        <v>152</v>
      </c>
      <c r="C17" s="37" t="s">
        <v>160</v>
      </c>
      <c r="D17" s="41">
        <v>18</v>
      </c>
      <c r="E17" s="41" t="s">
        <v>130</v>
      </c>
      <c r="F17" s="37" t="s">
        <v>131</v>
      </c>
      <c r="G17" s="37" t="s">
        <v>161</v>
      </c>
      <c r="H17" s="40" t="s">
        <v>155</v>
      </c>
      <c r="I17" s="37" t="s">
        <v>156</v>
      </c>
      <c r="J17" s="37" t="s">
        <v>144</v>
      </c>
      <c r="K17" s="39">
        <f>K15*0.85</f>
        <v>504737149.34999996</v>
      </c>
      <c r="L17" s="42">
        <f t="shared" si="0"/>
        <v>95900058.376499996</v>
      </c>
      <c r="M17" s="37" t="s">
        <v>157</v>
      </c>
      <c r="N17" s="110" t="s">
        <v>162</v>
      </c>
      <c r="O17" s="49"/>
      <c r="P17" s="49" t="s">
        <v>163</v>
      </c>
      <c r="Q17" s="2"/>
      <c r="R17" s="2"/>
      <c r="S17" s="2"/>
      <c r="T17" s="2"/>
      <c r="U17" s="2"/>
      <c r="V17" s="2"/>
      <c r="W17" s="2"/>
      <c r="X17" s="2"/>
      <c r="Y17" s="2"/>
      <c r="Z17" s="2"/>
      <c r="AA17" s="2"/>
      <c r="AB17" s="2"/>
    </row>
    <row r="18" spans="1:28" ht="99" customHeight="1">
      <c r="A18" s="30">
        <v>7</v>
      </c>
      <c r="B18" s="40" t="s">
        <v>164</v>
      </c>
      <c r="C18" s="37" t="s">
        <v>165</v>
      </c>
      <c r="D18" s="41">
        <v>20</v>
      </c>
      <c r="E18" s="41" t="s">
        <v>130</v>
      </c>
      <c r="F18" s="37" t="s">
        <v>166</v>
      </c>
      <c r="G18" s="40" t="s">
        <v>167</v>
      </c>
      <c r="H18" s="40" t="s">
        <v>168</v>
      </c>
      <c r="I18" s="37" t="s">
        <v>169</v>
      </c>
      <c r="J18" s="37" t="s">
        <v>169</v>
      </c>
      <c r="K18" s="39">
        <v>500428320</v>
      </c>
      <c r="L18" s="42">
        <f t="shared" si="0"/>
        <v>95081380.799999997</v>
      </c>
      <c r="M18" s="37" t="s">
        <v>170</v>
      </c>
      <c r="N18" s="110" t="s">
        <v>171</v>
      </c>
      <c r="O18" s="49"/>
      <c r="P18" s="49" t="s">
        <v>163</v>
      </c>
      <c r="Q18" s="2"/>
      <c r="R18" s="2"/>
      <c r="S18" s="2"/>
      <c r="T18" s="2"/>
      <c r="U18" s="2"/>
      <c r="V18" s="2"/>
      <c r="W18" s="2"/>
      <c r="X18" s="2"/>
      <c r="Y18" s="2"/>
      <c r="Z18" s="2"/>
      <c r="AA18" s="2"/>
      <c r="AB18" s="2"/>
    </row>
    <row r="19" spans="1:28" ht="99" customHeight="1">
      <c r="A19" s="33">
        <v>8</v>
      </c>
      <c r="B19" s="43" t="s">
        <v>164</v>
      </c>
      <c r="C19" s="37" t="s">
        <v>165</v>
      </c>
      <c r="D19" s="41">
        <v>20</v>
      </c>
      <c r="E19" s="41" t="s">
        <v>130</v>
      </c>
      <c r="F19" s="37" t="s">
        <v>172</v>
      </c>
      <c r="G19" s="37" t="s">
        <v>154</v>
      </c>
      <c r="H19" s="40" t="s">
        <v>155</v>
      </c>
      <c r="I19" s="37" t="s">
        <v>156</v>
      </c>
      <c r="J19" s="37" t="s">
        <v>144</v>
      </c>
      <c r="K19" s="39">
        <f>K17*0.85</f>
        <v>429026576.94749993</v>
      </c>
      <c r="L19" s="42">
        <f t="shared" si="0"/>
        <v>81515049.620024994</v>
      </c>
      <c r="M19" s="37" t="s">
        <v>170</v>
      </c>
      <c r="N19" s="110" t="s">
        <v>173</v>
      </c>
      <c r="O19" s="49"/>
      <c r="P19" s="49" t="s">
        <v>159</v>
      </c>
      <c r="Q19" s="2"/>
      <c r="R19" s="2"/>
      <c r="S19" s="2"/>
      <c r="T19" s="2"/>
      <c r="U19" s="2"/>
      <c r="V19" s="2"/>
      <c r="W19" s="2"/>
      <c r="X19" s="2"/>
      <c r="Y19" s="2"/>
      <c r="Z19" s="2"/>
      <c r="AA19" s="2"/>
      <c r="AB19" s="2"/>
    </row>
    <row r="20" spans="1:28" ht="99" customHeight="1">
      <c r="A20" s="30">
        <v>9</v>
      </c>
      <c r="B20" s="43" t="s">
        <v>174</v>
      </c>
      <c r="C20" s="37" t="s">
        <v>175</v>
      </c>
      <c r="D20" s="41">
        <v>19</v>
      </c>
      <c r="E20" s="41" t="s">
        <v>130</v>
      </c>
      <c r="F20" s="37" t="s">
        <v>131</v>
      </c>
      <c r="G20" s="37" t="s">
        <v>176</v>
      </c>
      <c r="H20" s="37" t="s">
        <v>177</v>
      </c>
      <c r="I20" s="37" t="s">
        <v>178</v>
      </c>
      <c r="J20" s="37" t="s">
        <v>179</v>
      </c>
      <c r="K20" s="44">
        <f>K12*0.15</f>
        <v>86604300</v>
      </c>
      <c r="L20" s="44">
        <f t="shared" si="0"/>
        <v>16454817</v>
      </c>
      <c r="M20" s="37" t="s">
        <v>180</v>
      </c>
      <c r="N20" s="110" t="s">
        <v>173</v>
      </c>
      <c r="O20" s="49"/>
      <c r="P20" s="49" t="s">
        <v>138</v>
      </c>
      <c r="Q20" s="2"/>
      <c r="R20" s="2"/>
      <c r="S20" s="2"/>
      <c r="T20" s="2"/>
      <c r="U20" s="2"/>
      <c r="V20" s="2"/>
      <c r="W20" s="2"/>
      <c r="X20" s="2"/>
      <c r="Y20" s="2"/>
      <c r="Z20" s="2"/>
      <c r="AA20" s="2"/>
      <c r="AB20" s="2"/>
    </row>
    <row r="21" spans="1:28" ht="48" customHeight="1">
      <c r="A21" s="33">
        <v>10</v>
      </c>
      <c r="B21" s="40" t="s">
        <v>181</v>
      </c>
      <c r="C21" s="37" t="s">
        <v>182</v>
      </c>
      <c r="D21" s="41">
        <v>994</v>
      </c>
      <c r="E21" s="41" t="s">
        <v>130</v>
      </c>
      <c r="F21" s="37" t="s">
        <v>183</v>
      </c>
      <c r="G21" s="37" t="s">
        <v>184</v>
      </c>
      <c r="H21" s="40" t="s">
        <v>185</v>
      </c>
      <c r="I21" s="37" t="s">
        <v>183</v>
      </c>
      <c r="J21" s="37" t="s">
        <v>183</v>
      </c>
      <c r="K21" s="39">
        <v>1108170451.5</v>
      </c>
      <c r="L21" s="45">
        <f>0</f>
        <v>0</v>
      </c>
      <c r="M21" s="40" t="s">
        <v>186</v>
      </c>
      <c r="N21" s="110" t="s">
        <v>187</v>
      </c>
      <c r="O21" s="49"/>
      <c r="P21" s="49" t="s">
        <v>188</v>
      </c>
      <c r="Q21" s="2"/>
      <c r="R21" s="2"/>
      <c r="S21" s="2"/>
      <c r="T21" s="2"/>
      <c r="U21" s="2"/>
      <c r="V21" s="2"/>
      <c r="W21" s="2"/>
      <c r="X21" s="2"/>
      <c r="Y21" s="2"/>
      <c r="Z21" s="2"/>
      <c r="AA21" s="2"/>
      <c r="AB21" s="2"/>
    </row>
    <row r="22" spans="1:28" ht="48" customHeight="1">
      <c r="A22" s="30">
        <v>11</v>
      </c>
      <c r="B22" s="40" t="s">
        <v>181</v>
      </c>
      <c r="C22" s="37" t="s">
        <v>182</v>
      </c>
      <c r="D22" s="41">
        <v>2206</v>
      </c>
      <c r="E22" s="41" t="s">
        <v>130</v>
      </c>
      <c r="F22" s="37" t="s">
        <v>183</v>
      </c>
      <c r="G22" s="37" t="s">
        <v>189</v>
      </c>
      <c r="H22" s="40" t="s">
        <v>185</v>
      </c>
      <c r="I22" s="37" t="s">
        <v>183</v>
      </c>
      <c r="J22" s="37" t="s">
        <v>183</v>
      </c>
      <c r="K22" s="39">
        <v>1108170451.5</v>
      </c>
      <c r="L22" s="45">
        <f>0</f>
        <v>0</v>
      </c>
      <c r="M22" s="40" t="s">
        <v>186</v>
      </c>
      <c r="N22" s="110" t="s">
        <v>190</v>
      </c>
      <c r="O22" s="49"/>
      <c r="P22" s="49" t="s">
        <v>191</v>
      </c>
      <c r="Q22" s="2"/>
      <c r="R22" s="2"/>
      <c r="S22" s="2"/>
      <c r="T22" s="2"/>
      <c r="U22" s="2"/>
      <c r="V22" s="2"/>
      <c r="W22" s="2"/>
      <c r="X22" s="2"/>
      <c r="Y22" s="2"/>
      <c r="Z22" s="2"/>
      <c r="AA22" s="2"/>
      <c r="AB22" s="2"/>
    </row>
    <row r="23" spans="1:28" ht="48" customHeight="1">
      <c r="A23" s="33">
        <v>12</v>
      </c>
      <c r="B23" s="40" t="s">
        <v>181</v>
      </c>
      <c r="C23" s="37" t="s">
        <v>182</v>
      </c>
      <c r="D23" s="41">
        <v>2032</v>
      </c>
      <c r="E23" s="41" t="s">
        <v>130</v>
      </c>
      <c r="F23" s="37" t="s">
        <v>183</v>
      </c>
      <c r="G23" s="37" t="s">
        <v>192</v>
      </c>
      <c r="H23" s="40" t="s">
        <v>185</v>
      </c>
      <c r="I23" s="37" t="s">
        <v>183</v>
      </c>
      <c r="J23" s="37" t="s">
        <v>183</v>
      </c>
      <c r="K23" s="39">
        <v>1108170451.5</v>
      </c>
      <c r="L23" s="45">
        <f>0</f>
        <v>0</v>
      </c>
      <c r="M23" s="40" t="s">
        <v>186</v>
      </c>
      <c r="N23" s="110" t="s">
        <v>193</v>
      </c>
      <c r="O23" s="49"/>
      <c r="P23" s="49" t="s">
        <v>194</v>
      </c>
      <c r="Q23" s="2"/>
      <c r="R23" s="2"/>
      <c r="S23" s="2"/>
      <c r="T23" s="2"/>
      <c r="U23" s="2"/>
      <c r="V23" s="2"/>
      <c r="W23" s="2"/>
      <c r="X23" s="2"/>
      <c r="Y23" s="2"/>
      <c r="Z23" s="2"/>
      <c r="AA23" s="2"/>
      <c r="AB23" s="2"/>
    </row>
    <row r="24" spans="1:28" ht="48" customHeight="1">
      <c r="A24" s="30">
        <v>13</v>
      </c>
      <c r="B24" s="40" t="s">
        <v>181</v>
      </c>
      <c r="C24" s="37" t="s">
        <v>182</v>
      </c>
      <c r="D24" s="41">
        <v>2196</v>
      </c>
      <c r="E24" s="41" t="s">
        <v>130</v>
      </c>
      <c r="F24" s="37" t="s">
        <v>183</v>
      </c>
      <c r="G24" s="37" t="s">
        <v>195</v>
      </c>
      <c r="H24" s="40" t="s">
        <v>185</v>
      </c>
      <c r="I24" s="37" t="s">
        <v>183</v>
      </c>
      <c r="J24" s="37" t="s">
        <v>183</v>
      </c>
      <c r="K24" s="39">
        <v>1108170451.5</v>
      </c>
      <c r="L24" s="45">
        <f>0</f>
        <v>0</v>
      </c>
      <c r="M24" s="40" t="s">
        <v>186</v>
      </c>
      <c r="N24" s="110" t="s">
        <v>190</v>
      </c>
      <c r="O24" s="49"/>
      <c r="P24" s="49" t="s">
        <v>196</v>
      </c>
      <c r="Q24" s="2"/>
      <c r="R24" s="2"/>
      <c r="S24" s="2"/>
      <c r="T24" s="2"/>
      <c r="U24" s="2"/>
      <c r="V24" s="2"/>
      <c r="W24" s="2"/>
      <c r="X24" s="2"/>
      <c r="Y24" s="2"/>
      <c r="Z24" s="2"/>
      <c r="AA24" s="2"/>
      <c r="AB24" s="2"/>
    </row>
    <row r="25" spans="1:28" ht="48" customHeight="1">
      <c r="A25" s="33">
        <v>14</v>
      </c>
      <c r="B25" s="40" t="s">
        <v>181</v>
      </c>
      <c r="C25" s="37" t="s">
        <v>182</v>
      </c>
      <c r="D25" s="41">
        <v>2032</v>
      </c>
      <c r="E25" s="41" t="s">
        <v>130</v>
      </c>
      <c r="F25" s="37" t="s">
        <v>183</v>
      </c>
      <c r="G25" s="37" t="s">
        <v>197</v>
      </c>
      <c r="H25" s="40" t="s">
        <v>185</v>
      </c>
      <c r="I25" s="37" t="s">
        <v>183</v>
      </c>
      <c r="J25" s="37" t="s">
        <v>183</v>
      </c>
      <c r="K25" s="39">
        <v>1108170451.5</v>
      </c>
      <c r="L25" s="45">
        <f>0</f>
        <v>0</v>
      </c>
      <c r="M25" s="40" t="s">
        <v>186</v>
      </c>
      <c r="N25" s="110" t="s">
        <v>198</v>
      </c>
      <c r="O25" s="49"/>
      <c r="P25" s="49" t="s">
        <v>199</v>
      </c>
      <c r="Q25" s="2"/>
      <c r="R25" s="2"/>
      <c r="S25" s="2"/>
      <c r="T25" s="2"/>
      <c r="U25" s="2"/>
      <c r="V25" s="2"/>
      <c r="W25" s="2"/>
      <c r="X25" s="2"/>
      <c r="Y25" s="2"/>
      <c r="Z25" s="2"/>
      <c r="AA25" s="2"/>
      <c r="AB25" s="2"/>
    </row>
    <row r="26" spans="1:28" ht="48" customHeight="1">
      <c r="A26" s="30">
        <v>15</v>
      </c>
      <c r="B26" s="40" t="s">
        <v>181</v>
      </c>
      <c r="C26" s="37" t="s">
        <v>182</v>
      </c>
      <c r="D26" s="41">
        <v>2032</v>
      </c>
      <c r="E26" s="41" t="s">
        <v>130</v>
      </c>
      <c r="F26" s="37" t="s">
        <v>183</v>
      </c>
      <c r="G26" s="37" t="s">
        <v>200</v>
      </c>
      <c r="H26" s="40" t="s">
        <v>185</v>
      </c>
      <c r="I26" s="37" t="s">
        <v>183</v>
      </c>
      <c r="J26" s="37" t="s">
        <v>183</v>
      </c>
      <c r="K26" s="39">
        <v>1108170451.5</v>
      </c>
      <c r="L26" s="45">
        <f>0</f>
        <v>0</v>
      </c>
      <c r="M26" s="40" t="s">
        <v>186</v>
      </c>
      <c r="N26" s="110" t="s">
        <v>201</v>
      </c>
      <c r="O26" s="49"/>
      <c r="P26" s="49" t="s">
        <v>196</v>
      </c>
      <c r="Q26" s="2"/>
      <c r="R26" s="2"/>
      <c r="S26" s="2"/>
      <c r="T26" s="2"/>
      <c r="U26" s="2"/>
      <c r="V26" s="2"/>
      <c r="W26" s="2"/>
      <c r="X26" s="2"/>
      <c r="Y26" s="2"/>
      <c r="Z26" s="2"/>
      <c r="AA26" s="2"/>
      <c r="AB26" s="2"/>
    </row>
    <row r="27" spans="1:28" ht="48" customHeight="1">
      <c r="A27" s="33">
        <v>16</v>
      </c>
      <c r="B27" s="40" t="s">
        <v>181</v>
      </c>
      <c r="C27" s="37" t="s">
        <v>182</v>
      </c>
      <c r="D27" s="41">
        <v>2032</v>
      </c>
      <c r="E27" s="41" t="s">
        <v>130</v>
      </c>
      <c r="F27" s="37" t="s">
        <v>183</v>
      </c>
      <c r="G27" s="37" t="s">
        <v>1334</v>
      </c>
      <c r="H27" s="40" t="s">
        <v>185</v>
      </c>
      <c r="I27" s="37" t="s">
        <v>183</v>
      </c>
      <c r="J27" s="37" t="s">
        <v>183</v>
      </c>
      <c r="K27" s="39">
        <v>1108170451.5</v>
      </c>
      <c r="L27" s="45">
        <f>0</f>
        <v>0</v>
      </c>
      <c r="M27" s="40" t="s">
        <v>186</v>
      </c>
      <c r="N27" s="110" t="s">
        <v>202</v>
      </c>
      <c r="O27" s="49"/>
      <c r="P27" s="49" t="s">
        <v>199</v>
      </c>
      <c r="Q27" s="2"/>
      <c r="R27" s="2"/>
      <c r="S27" s="2"/>
      <c r="T27" s="2"/>
      <c r="U27" s="2"/>
      <c r="V27" s="2"/>
      <c r="W27" s="2"/>
      <c r="X27" s="2"/>
      <c r="Y27" s="2"/>
      <c r="Z27" s="2"/>
      <c r="AA27" s="2"/>
      <c r="AB27" s="2"/>
    </row>
    <row r="28" spans="1:28" ht="48" customHeight="1">
      <c r="A28" s="30">
        <v>17</v>
      </c>
      <c r="B28" s="40" t="s">
        <v>181</v>
      </c>
      <c r="C28" s="37" t="s">
        <v>182</v>
      </c>
      <c r="D28" s="41">
        <v>2032</v>
      </c>
      <c r="E28" s="41" t="s">
        <v>130</v>
      </c>
      <c r="F28" s="37" t="s">
        <v>183</v>
      </c>
      <c r="G28" s="37" t="s">
        <v>203</v>
      </c>
      <c r="H28" s="40" t="s">
        <v>185</v>
      </c>
      <c r="I28" s="37" t="s">
        <v>183</v>
      </c>
      <c r="J28" s="37" t="s">
        <v>183</v>
      </c>
      <c r="K28" s="39">
        <v>1108170451.5</v>
      </c>
      <c r="L28" s="45">
        <f>0</f>
        <v>0</v>
      </c>
      <c r="M28" s="40" t="s">
        <v>186</v>
      </c>
      <c r="N28" s="110" t="s">
        <v>190</v>
      </c>
      <c r="O28" s="49"/>
      <c r="P28" s="49" t="s">
        <v>204</v>
      </c>
      <c r="Q28" s="2"/>
      <c r="R28" s="2"/>
      <c r="S28" s="2"/>
      <c r="T28" s="2"/>
      <c r="U28" s="2"/>
      <c r="V28" s="2"/>
      <c r="W28" s="2"/>
      <c r="X28" s="2"/>
      <c r="Y28" s="2"/>
      <c r="Z28" s="2"/>
      <c r="AA28" s="2"/>
      <c r="AB28" s="2"/>
    </row>
    <row r="29" spans="1:28" ht="48" customHeight="1">
      <c r="A29" s="33">
        <v>18</v>
      </c>
      <c r="B29" s="40" t="s">
        <v>205</v>
      </c>
      <c r="C29" s="37">
        <v>8504409090</v>
      </c>
      <c r="D29" s="41">
        <v>4</v>
      </c>
      <c r="E29" s="41" t="s">
        <v>130</v>
      </c>
      <c r="F29" s="37" t="s">
        <v>206</v>
      </c>
      <c r="G29" s="37" t="s">
        <v>207</v>
      </c>
      <c r="H29" s="40" t="s">
        <v>208</v>
      </c>
      <c r="I29" s="118" t="s">
        <v>209</v>
      </c>
      <c r="J29" s="118" t="s">
        <v>1337</v>
      </c>
      <c r="K29" s="39">
        <v>103553181.8</v>
      </c>
      <c r="L29" s="45">
        <v>19675104.539999999</v>
      </c>
      <c r="M29" s="40" t="s">
        <v>210</v>
      </c>
      <c r="N29" s="110" t="s">
        <v>211</v>
      </c>
      <c r="O29" s="110" t="s">
        <v>212</v>
      </c>
      <c r="P29" s="110" t="s">
        <v>213</v>
      </c>
      <c r="Q29" s="2"/>
      <c r="R29" s="2"/>
      <c r="S29" s="2"/>
      <c r="T29" s="2"/>
      <c r="U29" s="2"/>
      <c r="V29" s="2"/>
      <c r="W29" s="2"/>
      <c r="X29" s="2"/>
      <c r="Y29" s="2"/>
      <c r="Z29" s="2"/>
      <c r="AA29" s="2"/>
      <c r="AB29" s="2"/>
    </row>
    <row r="30" spans="1:28" ht="48" customHeight="1">
      <c r="A30" s="30">
        <v>19</v>
      </c>
      <c r="B30" s="40" t="s">
        <v>205</v>
      </c>
      <c r="C30" s="37">
        <v>8504409090</v>
      </c>
      <c r="D30" s="41">
        <v>4</v>
      </c>
      <c r="E30" s="41" t="s">
        <v>130</v>
      </c>
      <c r="F30" s="37" t="s">
        <v>206</v>
      </c>
      <c r="G30" s="37" t="s">
        <v>214</v>
      </c>
      <c r="H30" s="40" t="s">
        <v>208</v>
      </c>
      <c r="I30" s="118" t="s">
        <v>209</v>
      </c>
      <c r="J30" s="118" t="s">
        <v>1337</v>
      </c>
      <c r="K30" s="39">
        <v>103553181.8</v>
      </c>
      <c r="L30" s="45">
        <v>19675104.539999999</v>
      </c>
      <c r="M30" s="40" t="s">
        <v>210</v>
      </c>
      <c r="N30" s="110" t="s">
        <v>215</v>
      </c>
      <c r="O30" s="110" t="s">
        <v>212</v>
      </c>
      <c r="P30" s="110" t="s">
        <v>213</v>
      </c>
      <c r="Q30" s="2"/>
      <c r="R30" s="2"/>
      <c r="S30" s="2"/>
      <c r="T30" s="2"/>
      <c r="U30" s="2"/>
      <c r="V30" s="2"/>
      <c r="W30" s="2"/>
      <c r="X30" s="2"/>
      <c r="Y30" s="2"/>
      <c r="Z30" s="2"/>
      <c r="AA30" s="2"/>
      <c r="AB30" s="2"/>
    </row>
    <row r="31" spans="1:28" ht="120" customHeight="1">
      <c r="A31" s="33">
        <v>20</v>
      </c>
      <c r="B31" s="40" t="s">
        <v>205</v>
      </c>
      <c r="C31" s="37">
        <v>8504409090</v>
      </c>
      <c r="D31" s="41">
        <v>3</v>
      </c>
      <c r="E31" s="41" t="s">
        <v>216</v>
      </c>
      <c r="F31" s="37" t="s">
        <v>206</v>
      </c>
      <c r="G31" s="37" t="s">
        <v>217</v>
      </c>
      <c r="H31" s="40" t="s">
        <v>218</v>
      </c>
      <c r="I31" s="118" t="s">
        <v>209</v>
      </c>
      <c r="J31" s="118" t="s">
        <v>1337</v>
      </c>
      <c r="K31" s="39">
        <v>100730645</v>
      </c>
      <c r="L31" s="45">
        <f>K31*0.19</f>
        <v>19138822.550000001</v>
      </c>
      <c r="M31" s="40" t="s">
        <v>219</v>
      </c>
      <c r="N31" s="110" t="s">
        <v>220</v>
      </c>
      <c r="O31" s="49"/>
      <c r="P31" s="49" t="s">
        <v>221</v>
      </c>
      <c r="Q31" s="2"/>
      <c r="R31" s="2"/>
      <c r="S31" s="2"/>
      <c r="T31" s="2"/>
      <c r="U31" s="2"/>
      <c r="V31" s="2"/>
      <c r="W31" s="2"/>
      <c r="X31" s="2"/>
      <c r="Y31" s="2"/>
      <c r="Z31" s="2"/>
      <c r="AA31" s="2"/>
      <c r="AB31" s="2"/>
    </row>
    <row r="32" spans="1:28" ht="90.75" customHeight="1">
      <c r="A32" s="30">
        <v>21</v>
      </c>
      <c r="B32" s="40" t="s">
        <v>205</v>
      </c>
      <c r="C32" s="37">
        <v>8504409090</v>
      </c>
      <c r="D32" s="41">
        <v>1</v>
      </c>
      <c r="E32" s="41" t="s">
        <v>130</v>
      </c>
      <c r="F32" s="37" t="s">
        <v>206</v>
      </c>
      <c r="G32" s="37" t="s">
        <v>222</v>
      </c>
      <c r="H32" s="40" t="s">
        <v>223</v>
      </c>
      <c r="I32" s="118" t="s">
        <v>209</v>
      </c>
      <c r="J32" s="118" t="s">
        <v>1337</v>
      </c>
      <c r="K32" s="39">
        <v>10190450</v>
      </c>
      <c r="L32" s="45">
        <f>K32*0.19</f>
        <v>1936185.5</v>
      </c>
      <c r="M32" s="40" t="s">
        <v>219</v>
      </c>
      <c r="N32" s="110" t="s">
        <v>224</v>
      </c>
      <c r="O32" s="49"/>
      <c r="P32" s="49" t="s">
        <v>225</v>
      </c>
      <c r="Q32" s="2"/>
      <c r="R32" s="2"/>
      <c r="S32" s="2"/>
      <c r="T32" s="2"/>
      <c r="U32" s="2"/>
      <c r="V32" s="2"/>
      <c r="W32" s="2"/>
      <c r="X32" s="2"/>
      <c r="Y32" s="2"/>
      <c r="Z32" s="2"/>
      <c r="AA32" s="2"/>
      <c r="AB32" s="2"/>
    </row>
    <row r="33" spans="1:28" ht="90.75" customHeight="1">
      <c r="A33" s="33">
        <v>22</v>
      </c>
      <c r="B33" s="40" t="s">
        <v>205</v>
      </c>
      <c r="C33" s="37">
        <v>8504409090</v>
      </c>
      <c r="D33" s="41">
        <v>1</v>
      </c>
      <c r="E33" s="41" t="s">
        <v>216</v>
      </c>
      <c r="F33" s="37" t="s">
        <v>206</v>
      </c>
      <c r="G33" s="37" t="s">
        <v>226</v>
      </c>
      <c r="H33" s="40" t="s">
        <v>227</v>
      </c>
      <c r="I33" s="118" t="s">
        <v>209</v>
      </c>
      <c r="J33" s="118" t="s">
        <v>1337</v>
      </c>
      <c r="K33" s="39">
        <v>12504680</v>
      </c>
      <c r="L33" s="45">
        <f>K33*0.19</f>
        <v>2375889.2000000002</v>
      </c>
      <c r="M33" s="40" t="s">
        <v>219</v>
      </c>
      <c r="N33" s="110" t="s">
        <v>228</v>
      </c>
      <c r="O33" s="49"/>
      <c r="P33" s="49" t="s">
        <v>229</v>
      </c>
      <c r="Q33" s="2"/>
      <c r="R33" s="2"/>
      <c r="S33" s="2"/>
      <c r="T33" s="2"/>
      <c r="U33" s="2"/>
      <c r="V33" s="2"/>
      <c r="W33" s="2"/>
      <c r="X33" s="2"/>
      <c r="Y33" s="2"/>
      <c r="Z33" s="2"/>
      <c r="AA33" s="2"/>
      <c r="AB33" s="2"/>
    </row>
    <row r="34" spans="1:28" ht="90.75" customHeight="1">
      <c r="A34" s="30">
        <v>23</v>
      </c>
      <c r="B34" s="40" t="s">
        <v>230</v>
      </c>
      <c r="C34" s="144">
        <v>851762200</v>
      </c>
      <c r="D34" s="41">
        <v>1</v>
      </c>
      <c r="E34" s="41" t="s">
        <v>231</v>
      </c>
      <c r="F34" s="37" t="s">
        <v>232</v>
      </c>
      <c r="G34" s="37" t="s">
        <v>1340</v>
      </c>
      <c r="H34" s="40" t="s">
        <v>234</v>
      </c>
      <c r="I34" s="118" t="s">
        <v>209</v>
      </c>
      <c r="J34" s="118" t="s">
        <v>1337</v>
      </c>
      <c r="K34" s="39"/>
      <c r="L34" s="45"/>
      <c r="M34" s="40" t="s">
        <v>235</v>
      </c>
      <c r="N34" s="110" t="s">
        <v>236</v>
      </c>
      <c r="O34" s="49"/>
      <c r="P34" s="145" t="s">
        <v>1338</v>
      </c>
      <c r="Q34" s="2"/>
      <c r="R34" s="2"/>
      <c r="S34" s="2"/>
      <c r="T34" s="2"/>
      <c r="U34" s="2"/>
      <c r="V34" s="2"/>
      <c r="W34" s="2"/>
      <c r="X34" s="2"/>
      <c r="Y34" s="2"/>
      <c r="Z34" s="2"/>
      <c r="AA34" s="2"/>
      <c r="AB34" s="2"/>
    </row>
    <row r="35" spans="1:28" ht="90.75" customHeight="1">
      <c r="A35" s="33">
        <v>24</v>
      </c>
      <c r="B35" s="40" t="s">
        <v>230</v>
      </c>
      <c r="C35" s="144">
        <v>851762200</v>
      </c>
      <c r="D35" s="41">
        <v>1</v>
      </c>
      <c r="E35" s="41" t="s">
        <v>231</v>
      </c>
      <c r="F35" s="37" t="s">
        <v>232</v>
      </c>
      <c r="G35" s="37" t="s">
        <v>233</v>
      </c>
      <c r="H35" s="40" t="s">
        <v>234</v>
      </c>
      <c r="I35" s="118" t="s">
        <v>209</v>
      </c>
      <c r="J35" s="118" t="s">
        <v>1337</v>
      </c>
      <c r="K35" s="39"/>
      <c r="L35" s="45"/>
      <c r="M35" s="40" t="s">
        <v>235</v>
      </c>
      <c r="N35" s="110" t="s">
        <v>236</v>
      </c>
      <c r="O35" s="49"/>
      <c r="P35" s="49" t="s">
        <v>1339</v>
      </c>
      <c r="Q35" s="2"/>
      <c r="R35" s="2"/>
      <c r="S35" s="2"/>
      <c r="T35" s="2"/>
      <c r="U35" s="2"/>
      <c r="V35" s="2"/>
      <c r="W35" s="2"/>
      <c r="X35" s="2"/>
      <c r="Y35" s="2"/>
      <c r="Z35" s="2"/>
      <c r="AA35" s="2"/>
      <c r="AB35" s="2"/>
    </row>
    <row r="36" spans="1:28" ht="90.75" customHeight="1">
      <c r="A36" s="30">
        <v>25</v>
      </c>
      <c r="B36" s="46" t="s">
        <v>237</v>
      </c>
      <c r="C36" s="43"/>
      <c r="D36" s="47">
        <v>200</v>
      </c>
      <c r="E36" s="47" t="s">
        <v>130</v>
      </c>
      <c r="F36" s="54" t="s">
        <v>238</v>
      </c>
      <c r="G36" s="54" t="s">
        <v>239</v>
      </c>
      <c r="H36" s="54" t="s">
        <v>240</v>
      </c>
      <c r="I36" s="50" t="s">
        <v>241</v>
      </c>
      <c r="J36" s="50" t="s">
        <v>241</v>
      </c>
      <c r="K36" s="48"/>
      <c r="L36" s="48"/>
      <c r="M36" s="54" t="s">
        <v>242</v>
      </c>
      <c r="N36" s="110" t="s">
        <v>243</v>
      </c>
      <c r="O36" s="49"/>
      <c r="P36" s="49" t="s">
        <v>244</v>
      </c>
      <c r="Q36" s="2"/>
      <c r="R36" s="2"/>
      <c r="S36" s="2"/>
      <c r="T36" s="2"/>
      <c r="U36" s="2"/>
      <c r="V36" s="2"/>
      <c r="W36" s="2"/>
      <c r="X36" s="2"/>
      <c r="Y36" s="2"/>
      <c r="Z36" s="2"/>
      <c r="AA36" s="2"/>
      <c r="AB36" s="2"/>
    </row>
    <row r="37" spans="1:28" ht="90.75" customHeight="1">
      <c r="A37" s="33">
        <v>26</v>
      </c>
      <c r="B37" s="46" t="s">
        <v>237</v>
      </c>
      <c r="C37" s="43"/>
      <c r="D37" s="47">
        <v>200</v>
      </c>
      <c r="E37" s="47" t="s">
        <v>130</v>
      </c>
      <c r="F37" s="54" t="s">
        <v>238</v>
      </c>
      <c r="G37" s="54" t="s">
        <v>245</v>
      </c>
      <c r="H37" s="54" t="s">
        <v>246</v>
      </c>
      <c r="I37" s="50" t="s">
        <v>241</v>
      </c>
      <c r="J37" s="50" t="s">
        <v>241</v>
      </c>
      <c r="K37" s="48"/>
      <c r="L37" s="48"/>
      <c r="M37" s="54" t="s">
        <v>242</v>
      </c>
      <c r="N37" s="110" t="s">
        <v>247</v>
      </c>
      <c r="O37" s="49"/>
      <c r="P37" s="49" t="s">
        <v>248</v>
      </c>
      <c r="Q37" s="2"/>
      <c r="R37" s="2"/>
      <c r="S37" s="2"/>
      <c r="T37" s="2"/>
      <c r="U37" s="2"/>
      <c r="V37" s="2"/>
      <c r="W37" s="2"/>
      <c r="X37" s="2"/>
      <c r="Y37" s="2"/>
      <c r="Z37" s="2"/>
      <c r="AA37" s="2"/>
      <c r="AB37" s="2"/>
    </row>
    <row r="38" spans="1:28" ht="90.75" customHeight="1">
      <c r="A38" s="30">
        <v>27</v>
      </c>
      <c r="B38" s="46" t="s">
        <v>237</v>
      </c>
      <c r="C38" s="43"/>
      <c r="D38" s="47">
        <v>200</v>
      </c>
      <c r="E38" s="47" t="s">
        <v>130</v>
      </c>
      <c r="F38" s="54" t="s">
        <v>238</v>
      </c>
      <c r="G38" s="54" t="s">
        <v>249</v>
      </c>
      <c r="H38" s="54" t="s">
        <v>240</v>
      </c>
      <c r="I38" s="50" t="s">
        <v>241</v>
      </c>
      <c r="J38" s="50" t="s">
        <v>241</v>
      </c>
      <c r="K38" s="48"/>
      <c r="L38" s="48"/>
      <c r="M38" s="54" t="s">
        <v>242</v>
      </c>
      <c r="N38" s="110" t="s">
        <v>250</v>
      </c>
      <c r="O38" s="49"/>
      <c r="P38" s="49" t="s">
        <v>251</v>
      </c>
      <c r="Q38" s="2"/>
      <c r="R38" s="2"/>
      <c r="S38" s="2"/>
      <c r="T38" s="2"/>
      <c r="U38" s="2"/>
      <c r="V38" s="2"/>
      <c r="W38" s="2"/>
      <c r="X38" s="2"/>
      <c r="Y38" s="2"/>
      <c r="Z38" s="2"/>
      <c r="AA38" s="2"/>
      <c r="AB38" s="2"/>
    </row>
    <row r="39" spans="1:28" ht="90.75" customHeight="1">
      <c r="A39" s="33">
        <v>28</v>
      </c>
      <c r="B39" s="46" t="s">
        <v>237</v>
      </c>
      <c r="C39" s="43"/>
      <c r="D39" s="47">
        <v>200</v>
      </c>
      <c r="E39" s="47" t="s">
        <v>130</v>
      </c>
      <c r="F39" s="54" t="s">
        <v>238</v>
      </c>
      <c r="G39" s="54" t="s">
        <v>252</v>
      </c>
      <c r="H39" s="54" t="s">
        <v>246</v>
      </c>
      <c r="I39" s="50" t="s">
        <v>241</v>
      </c>
      <c r="J39" s="50" t="s">
        <v>241</v>
      </c>
      <c r="K39" s="48"/>
      <c r="L39" s="48"/>
      <c r="M39" s="54" t="s">
        <v>242</v>
      </c>
      <c r="N39" s="110" t="s">
        <v>253</v>
      </c>
      <c r="O39" s="49"/>
      <c r="P39" s="49" t="s">
        <v>254</v>
      </c>
      <c r="Q39" s="2"/>
      <c r="R39" s="2"/>
      <c r="S39" s="2"/>
      <c r="T39" s="2"/>
      <c r="U39" s="2"/>
      <c r="V39" s="2"/>
      <c r="W39" s="2"/>
      <c r="X39" s="2"/>
      <c r="Y39" s="2"/>
      <c r="Z39" s="2"/>
      <c r="AA39" s="2"/>
      <c r="AB39" s="2"/>
    </row>
    <row r="40" spans="1:28" ht="90.75" customHeight="1">
      <c r="A40" s="30">
        <v>29</v>
      </c>
      <c r="B40" s="43" t="s">
        <v>255</v>
      </c>
      <c r="C40" s="43"/>
      <c r="D40" s="47">
        <v>1</v>
      </c>
      <c r="E40" s="47" t="s">
        <v>256</v>
      </c>
      <c r="F40" s="54" t="s">
        <v>257</v>
      </c>
      <c r="G40" s="54" t="s">
        <v>258</v>
      </c>
      <c r="H40" s="54" t="s">
        <v>259</v>
      </c>
      <c r="I40" s="50" t="s">
        <v>260</v>
      </c>
      <c r="J40" s="50" t="s">
        <v>261</v>
      </c>
      <c r="K40" s="48"/>
      <c r="L40" s="48"/>
      <c r="M40" s="54" t="s">
        <v>262</v>
      </c>
      <c r="N40" s="110" t="s">
        <v>263</v>
      </c>
      <c r="O40" s="49"/>
      <c r="P40" s="49" t="s">
        <v>264</v>
      </c>
      <c r="Q40" s="2"/>
      <c r="R40" s="2"/>
      <c r="S40" s="2"/>
      <c r="T40" s="2"/>
      <c r="U40" s="2"/>
      <c r="V40" s="2"/>
      <c r="W40" s="2"/>
      <c r="X40" s="2"/>
      <c r="Y40" s="2"/>
      <c r="Z40" s="2"/>
      <c r="AA40" s="2"/>
      <c r="AB40" s="2"/>
    </row>
    <row r="41" spans="1:28" ht="90.75" customHeight="1">
      <c r="A41" s="33">
        <v>30</v>
      </c>
      <c r="B41" s="43" t="s">
        <v>255</v>
      </c>
      <c r="C41" s="43"/>
      <c r="D41" s="47">
        <v>1</v>
      </c>
      <c r="E41" s="47" t="s">
        <v>256</v>
      </c>
      <c r="F41" s="54" t="s">
        <v>257</v>
      </c>
      <c r="G41" s="54" t="s">
        <v>265</v>
      </c>
      <c r="H41" s="54" t="s">
        <v>259</v>
      </c>
      <c r="I41" s="50" t="s">
        <v>260</v>
      </c>
      <c r="J41" s="50" t="s">
        <v>261</v>
      </c>
      <c r="K41" s="48"/>
      <c r="L41" s="48"/>
      <c r="M41" s="54" t="s">
        <v>262</v>
      </c>
      <c r="N41" s="110" t="s">
        <v>263</v>
      </c>
      <c r="O41" s="49"/>
      <c r="P41" s="49" t="s">
        <v>138</v>
      </c>
      <c r="Q41" s="2"/>
      <c r="R41" s="2"/>
      <c r="S41" s="2"/>
      <c r="T41" s="2"/>
      <c r="U41" s="2"/>
      <c r="V41" s="2"/>
      <c r="W41" s="2"/>
      <c r="X41" s="2"/>
      <c r="Y41" s="2"/>
      <c r="Z41" s="2"/>
      <c r="AA41" s="2"/>
      <c r="AB41" s="2"/>
    </row>
    <row r="42" spans="1:28" ht="90.75" customHeight="1">
      <c r="A42" s="30">
        <v>31</v>
      </c>
      <c r="B42" s="43" t="s">
        <v>255</v>
      </c>
      <c r="C42" s="43"/>
      <c r="D42" s="47">
        <v>1</v>
      </c>
      <c r="E42" s="47" t="s">
        <v>256</v>
      </c>
      <c r="F42" s="54" t="s">
        <v>257</v>
      </c>
      <c r="G42" s="54" t="s">
        <v>266</v>
      </c>
      <c r="H42" s="54" t="s">
        <v>259</v>
      </c>
      <c r="I42" s="50" t="s">
        <v>260</v>
      </c>
      <c r="J42" s="50" t="s">
        <v>261</v>
      </c>
      <c r="K42" s="48"/>
      <c r="L42" s="48"/>
      <c r="M42" s="54" t="s">
        <v>262</v>
      </c>
      <c r="N42" s="110" t="s">
        <v>263</v>
      </c>
      <c r="O42" s="49"/>
      <c r="P42" s="49" t="s">
        <v>138</v>
      </c>
      <c r="Q42" s="2"/>
      <c r="R42" s="2"/>
      <c r="S42" s="2"/>
      <c r="T42" s="2"/>
      <c r="U42" s="2"/>
      <c r="V42" s="2"/>
      <c r="W42" s="2"/>
      <c r="X42" s="2"/>
      <c r="Y42" s="2"/>
      <c r="Z42" s="2"/>
      <c r="AA42" s="2"/>
      <c r="AB42" s="2"/>
    </row>
    <row r="43" spans="1:28" ht="90.75" customHeight="1">
      <c r="A43" s="33">
        <v>32</v>
      </c>
      <c r="B43" s="43" t="s">
        <v>255</v>
      </c>
      <c r="C43" s="43"/>
      <c r="D43" s="41">
        <v>1</v>
      </c>
      <c r="E43" s="41" t="s">
        <v>256</v>
      </c>
      <c r="F43" s="37" t="s">
        <v>267</v>
      </c>
      <c r="G43" s="37" t="s">
        <v>268</v>
      </c>
      <c r="H43" s="37" t="s">
        <v>269</v>
      </c>
      <c r="I43" s="37" t="s">
        <v>270</v>
      </c>
      <c r="J43" s="51" t="s">
        <v>267</v>
      </c>
      <c r="K43" s="48"/>
      <c r="L43" s="48"/>
      <c r="M43" s="37" t="s">
        <v>271</v>
      </c>
      <c r="N43" s="110" t="s">
        <v>272</v>
      </c>
      <c r="O43" s="49"/>
      <c r="P43" s="49" t="s">
        <v>273</v>
      </c>
      <c r="Q43" s="2"/>
      <c r="R43" s="2"/>
      <c r="S43" s="2"/>
      <c r="T43" s="2"/>
      <c r="U43" s="2"/>
      <c r="V43" s="2"/>
      <c r="W43" s="2"/>
      <c r="X43" s="2"/>
      <c r="Y43" s="2"/>
      <c r="Z43" s="2"/>
      <c r="AA43" s="2"/>
      <c r="AB43" s="2"/>
    </row>
    <row r="44" spans="1:28" ht="90.75" customHeight="1">
      <c r="A44" s="30">
        <v>33</v>
      </c>
      <c r="B44" s="43" t="s">
        <v>255</v>
      </c>
      <c r="C44" s="43"/>
      <c r="D44" s="41">
        <v>1</v>
      </c>
      <c r="E44" s="41" t="s">
        <v>256</v>
      </c>
      <c r="F44" s="37" t="s">
        <v>267</v>
      </c>
      <c r="G44" s="37" t="s">
        <v>274</v>
      </c>
      <c r="H44" s="37" t="s">
        <v>269</v>
      </c>
      <c r="I44" s="37" t="s">
        <v>270</v>
      </c>
      <c r="J44" s="51" t="s">
        <v>267</v>
      </c>
      <c r="K44" s="48"/>
      <c r="L44" s="48"/>
      <c r="M44" s="37" t="s">
        <v>271</v>
      </c>
      <c r="N44" s="110" t="s">
        <v>272</v>
      </c>
      <c r="O44" s="49"/>
      <c r="P44" s="49" t="s">
        <v>138</v>
      </c>
      <c r="Q44" s="2"/>
      <c r="R44" s="2"/>
      <c r="S44" s="2"/>
      <c r="T44" s="2"/>
      <c r="U44" s="2"/>
      <c r="V44" s="2"/>
      <c r="W44" s="2"/>
      <c r="X44" s="2"/>
      <c r="Y44" s="2"/>
      <c r="Z44" s="2"/>
      <c r="AA44" s="2"/>
      <c r="AB44" s="2"/>
    </row>
    <row r="45" spans="1:28" ht="90.75" customHeight="1">
      <c r="A45" s="33">
        <v>34</v>
      </c>
      <c r="B45" s="43" t="s">
        <v>255</v>
      </c>
      <c r="C45" s="43"/>
      <c r="D45" s="41">
        <v>1</v>
      </c>
      <c r="E45" s="41" t="s">
        <v>256</v>
      </c>
      <c r="F45" s="37" t="s">
        <v>267</v>
      </c>
      <c r="G45" s="37" t="s">
        <v>275</v>
      </c>
      <c r="H45" s="37" t="s">
        <v>269</v>
      </c>
      <c r="I45" s="37" t="s">
        <v>270</v>
      </c>
      <c r="J45" s="51" t="s">
        <v>267</v>
      </c>
      <c r="K45" s="48"/>
      <c r="L45" s="48"/>
      <c r="M45" s="37" t="s">
        <v>271</v>
      </c>
      <c r="N45" s="110" t="s">
        <v>272</v>
      </c>
      <c r="O45" s="49"/>
      <c r="P45" s="49" t="s">
        <v>276</v>
      </c>
      <c r="Q45" s="2"/>
      <c r="R45" s="2"/>
      <c r="S45" s="2"/>
      <c r="T45" s="2"/>
      <c r="U45" s="2"/>
      <c r="V45" s="2"/>
      <c r="W45" s="2"/>
      <c r="X45" s="2"/>
      <c r="Y45" s="2"/>
      <c r="Z45" s="2"/>
      <c r="AA45" s="2"/>
      <c r="AB45" s="2"/>
    </row>
    <row r="46" spans="1:28" ht="90.75" customHeight="1">
      <c r="A46" s="30">
        <v>35</v>
      </c>
      <c r="B46" s="43" t="s">
        <v>255</v>
      </c>
      <c r="C46" s="43"/>
      <c r="D46" s="41">
        <v>1</v>
      </c>
      <c r="E46" s="41" t="s">
        <v>231</v>
      </c>
      <c r="F46" s="37" t="s">
        <v>277</v>
      </c>
      <c r="G46" s="37" t="s">
        <v>278</v>
      </c>
      <c r="H46" s="37" t="s">
        <v>279</v>
      </c>
      <c r="I46" s="37" t="s">
        <v>280</v>
      </c>
      <c r="J46" s="51" t="s">
        <v>281</v>
      </c>
      <c r="K46" s="48"/>
      <c r="L46" s="48"/>
      <c r="M46" s="37" t="s">
        <v>282</v>
      </c>
      <c r="N46" s="110" t="s">
        <v>283</v>
      </c>
      <c r="O46" s="49"/>
      <c r="P46" s="49" t="s">
        <v>284</v>
      </c>
      <c r="Q46" s="2"/>
      <c r="R46" s="2"/>
      <c r="S46" s="2"/>
      <c r="T46" s="2"/>
      <c r="U46" s="2"/>
      <c r="V46" s="2"/>
      <c r="W46" s="2"/>
      <c r="X46" s="2"/>
      <c r="Y46" s="2"/>
      <c r="Z46" s="2"/>
      <c r="AA46" s="2"/>
      <c r="AB46" s="2"/>
    </row>
    <row r="47" spans="1:28" ht="90.75" customHeight="1">
      <c r="A47" s="33">
        <v>36</v>
      </c>
      <c r="B47" s="43" t="s">
        <v>255</v>
      </c>
      <c r="C47" s="43"/>
      <c r="D47" s="41">
        <v>1</v>
      </c>
      <c r="E47" s="41" t="s">
        <v>231</v>
      </c>
      <c r="F47" s="37" t="s">
        <v>277</v>
      </c>
      <c r="G47" s="37" t="s">
        <v>285</v>
      </c>
      <c r="H47" s="37" t="s">
        <v>279</v>
      </c>
      <c r="I47" s="37" t="s">
        <v>280</v>
      </c>
      <c r="J47" s="51" t="s">
        <v>281</v>
      </c>
      <c r="K47" s="48"/>
      <c r="L47" s="48"/>
      <c r="M47" s="37" t="s">
        <v>282</v>
      </c>
      <c r="N47" s="110" t="s">
        <v>283</v>
      </c>
      <c r="O47" s="49"/>
      <c r="P47" s="49" t="s">
        <v>138</v>
      </c>
      <c r="Q47" s="2"/>
      <c r="R47" s="2"/>
      <c r="S47" s="2"/>
      <c r="T47" s="2"/>
      <c r="U47" s="2"/>
      <c r="V47" s="2"/>
      <c r="W47" s="2"/>
      <c r="X47" s="2"/>
      <c r="Y47" s="2"/>
      <c r="Z47" s="2"/>
      <c r="AA47" s="2"/>
      <c r="AB47" s="2"/>
    </row>
    <row r="48" spans="1:28" ht="90.75" customHeight="1">
      <c r="A48" s="30">
        <v>37</v>
      </c>
      <c r="B48" s="43" t="s">
        <v>255</v>
      </c>
      <c r="C48" s="43"/>
      <c r="D48" s="41"/>
      <c r="E48" s="41"/>
      <c r="F48" s="37" t="s">
        <v>277</v>
      </c>
      <c r="G48" s="37" t="s">
        <v>286</v>
      </c>
      <c r="H48" s="37" t="s">
        <v>279</v>
      </c>
      <c r="I48" s="37" t="s">
        <v>280</v>
      </c>
      <c r="J48" s="51" t="s">
        <v>281</v>
      </c>
      <c r="K48" s="48"/>
      <c r="L48" s="48"/>
      <c r="M48" s="37" t="s">
        <v>282</v>
      </c>
      <c r="N48" s="110" t="s">
        <v>283</v>
      </c>
      <c r="O48" s="49"/>
      <c r="P48" s="49" t="s">
        <v>138</v>
      </c>
      <c r="Q48" s="2"/>
      <c r="R48" s="2"/>
      <c r="S48" s="2"/>
      <c r="T48" s="2"/>
      <c r="U48" s="2"/>
      <c r="V48" s="2"/>
      <c r="W48" s="2"/>
      <c r="X48" s="2"/>
      <c r="Y48" s="2"/>
      <c r="Z48" s="2"/>
      <c r="AA48" s="2"/>
      <c r="AB48" s="2"/>
    </row>
    <row r="49" spans="1:28" ht="90.75" customHeight="1">
      <c r="A49" s="33">
        <v>38</v>
      </c>
      <c r="B49" s="43" t="s">
        <v>287</v>
      </c>
      <c r="C49" s="43"/>
      <c r="D49" s="41">
        <v>2</v>
      </c>
      <c r="E49" s="41" t="s">
        <v>130</v>
      </c>
      <c r="F49" s="37" t="s">
        <v>288</v>
      </c>
      <c r="G49" s="37" t="s">
        <v>289</v>
      </c>
      <c r="H49" s="37" t="s">
        <v>290</v>
      </c>
      <c r="I49" s="37" t="s">
        <v>291</v>
      </c>
      <c r="J49" s="51" t="s">
        <v>292</v>
      </c>
      <c r="K49" s="48"/>
      <c r="L49" s="48"/>
      <c r="M49" s="37" t="s">
        <v>293</v>
      </c>
      <c r="N49" s="110" t="s">
        <v>294</v>
      </c>
      <c r="O49" s="49"/>
      <c r="P49" s="49" t="s">
        <v>295</v>
      </c>
      <c r="Q49" s="2"/>
      <c r="R49" s="2"/>
      <c r="S49" s="2"/>
      <c r="T49" s="2"/>
      <c r="U49" s="2"/>
      <c r="V49" s="2"/>
      <c r="W49" s="2"/>
      <c r="X49" s="2"/>
      <c r="Y49" s="2"/>
      <c r="Z49" s="2"/>
      <c r="AA49" s="2"/>
      <c r="AB49" s="2"/>
    </row>
    <row r="50" spans="1:28" ht="90.75" customHeight="1">
      <c r="A50" s="30">
        <v>39</v>
      </c>
      <c r="B50" s="43" t="s">
        <v>296</v>
      </c>
      <c r="C50" s="43"/>
      <c r="D50" s="41"/>
      <c r="E50" s="41" t="s">
        <v>216</v>
      </c>
      <c r="F50" s="37" t="s">
        <v>297</v>
      </c>
      <c r="G50" s="37" t="s">
        <v>298</v>
      </c>
      <c r="H50" s="37" t="s">
        <v>299</v>
      </c>
      <c r="I50" s="37" t="s">
        <v>297</v>
      </c>
      <c r="J50" s="51"/>
      <c r="K50" s="48"/>
      <c r="L50" s="48"/>
      <c r="M50" s="37" t="s">
        <v>300</v>
      </c>
      <c r="N50" s="110" t="s">
        <v>301</v>
      </c>
      <c r="O50" s="49"/>
      <c r="P50" s="49" t="s">
        <v>138</v>
      </c>
      <c r="Q50" s="2"/>
      <c r="R50" s="2"/>
      <c r="S50" s="2"/>
      <c r="T50" s="2"/>
      <c r="U50" s="2"/>
      <c r="V50" s="2"/>
      <c r="W50" s="2"/>
      <c r="X50" s="2"/>
      <c r="Y50" s="2"/>
      <c r="Z50" s="2"/>
      <c r="AA50" s="2"/>
      <c r="AB50" s="2"/>
    </row>
    <row r="51" spans="1:28" ht="90.75" customHeight="1">
      <c r="A51" s="33">
        <v>40</v>
      </c>
      <c r="B51" s="43" t="s">
        <v>296</v>
      </c>
      <c r="C51" s="43"/>
      <c r="D51" s="41"/>
      <c r="E51" s="41" t="s">
        <v>216</v>
      </c>
      <c r="F51" s="37" t="s">
        <v>297</v>
      </c>
      <c r="G51" s="37" t="s">
        <v>302</v>
      </c>
      <c r="H51" s="37" t="s">
        <v>299</v>
      </c>
      <c r="I51" s="37" t="s">
        <v>303</v>
      </c>
      <c r="J51" s="51"/>
      <c r="K51" s="48"/>
      <c r="L51" s="48"/>
      <c r="M51" s="37" t="s">
        <v>300</v>
      </c>
      <c r="N51" s="110" t="s">
        <v>301</v>
      </c>
      <c r="O51" s="49"/>
      <c r="P51" s="49" t="s">
        <v>138</v>
      </c>
      <c r="Q51" s="2"/>
      <c r="R51" s="2"/>
      <c r="S51" s="2"/>
      <c r="T51" s="2"/>
      <c r="U51" s="2"/>
      <c r="V51" s="2"/>
      <c r="W51" s="2"/>
      <c r="X51" s="2"/>
      <c r="Y51" s="2"/>
      <c r="Z51" s="2"/>
      <c r="AA51" s="2"/>
      <c r="AB51" s="2"/>
    </row>
    <row r="52" spans="1:28" ht="90.75" customHeight="1">
      <c r="A52" s="30">
        <v>41</v>
      </c>
      <c r="B52" s="43" t="s">
        <v>304</v>
      </c>
      <c r="C52" s="43"/>
      <c r="D52" s="41">
        <v>5</v>
      </c>
      <c r="E52" s="41" t="s">
        <v>130</v>
      </c>
      <c r="F52" s="37" t="s">
        <v>305</v>
      </c>
      <c r="G52" s="37" t="s">
        <v>306</v>
      </c>
      <c r="H52" s="37" t="s">
        <v>307</v>
      </c>
      <c r="I52" s="37" t="s">
        <v>308</v>
      </c>
      <c r="J52" s="51" t="s">
        <v>308</v>
      </c>
      <c r="K52" s="48"/>
      <c r="L52" s="48"/>
      <c r="M52" s="37" t="s">
        <v>309</v>
      </c>
      <c r="N52" s="110" t="s">
        <v>310</v>
      </c>
      <c r="O52" s="49"/>
      <c r="P52" s="49" t="s">
        <v>311</v>
      </c>
      <c r="Q52" s="2"/>
      <c r="R52" s="2"/>
      <c r="S52" s="2"/>
      <c r="T52" s="2"/>
      <c r="U52" s="2"/>
      <c r="V52" s="2"/>
      <c r="W52" s="2"/>
      <c r="X52" s="2"/>
      <c r="Y52" s="2"/>
      <c r="Z52" s="2"/>
      <c r="AA52" s="2"/>
      <c r="AB52" s="2"/>
    </row>
    <row r="53" spans="1:28" ht="90.75" customHeight="1">
      <c r="A53" s="33">
        <v>42</v>
      </c>
      <c r="B53" s="43" t="s">
        <v>304</v>
      </c>
      <c r="C53" s="43"/>
      <c r="D53" s="41">
        <v>3</v>
      </c>
      <c r="E53" s="41" t="s">
        <v>130</v>
      </c>
      <c r="F53" s="37" t="s">
        <v>312</v>
      </c>
      <c r="G53" s="37" t="s">
        <v>313</v>
      </c>
      <c r="H53" s="37" t="s">
        <v>307</v>
      </c>
      <c r="I53" s="37" t="s">
        <v>312</v>
      </c>
      <c r="J53" s="51" t="s">
        <v>314</v>
      </c>
      <c r="K53" s="48"/>
      <c r="L53" s="48"/>
      <c r="M53" s="37" t="s">
        <v>309</v>
      </c>
      <c r="N53" s="110" t="s">
        <v>315</v>
      </c>
      <c r="O53" s="49"/>
      <c r="P53" s="49" t="s">
        <v>138</v>
      </c>
      <c r="Q53" s="2"/>
      <c r="R53" s="2"/>
      <c r="S53" s="2"/>
      <c r="T53" s="2"/>
      <c r="U53" s="2"/>
      <c r="V53" s="2"/>
      <c r="W53" s="2"/>
      <c r="X53" s="2"/>
      <c r="Y53" s="2"/>
      <c r="Z53" s="2"/>
      <c r="AA53" s="2"/>
      <c r="AB53" s="2"/>
    </row>
    <row r="54" spans="1:28" ht="90.75" customHeight="1">
      <c r="A54" s="30">
        <v>43</v>
      </c>
      <c r="B54" s="43" t="s">
        <v>304</v>
      </c>
      <c r="C54" s="43"/>
      <c r="D54" s="41">
        <v>3</v>
      </c>
      <c r="E54" s="41" t="s">
        <v>216</v>
      </c>
      <c r="F54" s="37" t="s">
        <v>312</v>
      </c>
      <c r="G54" s="37" t="s">
        <v>316</v>
      </c>
      <c r="H54" s="37" t="s">
        <v>317</v>
      </c>
      <c r="I54" s="37" t="s">
        <v>312</v>
      </c>
      <c r="J54" s="51" t="s">
        <v>314</v>
      </c>
      <c r="K54" s="48"/>
      <c r="L54" s="48"/>
      <c r="M54" s="37" t="s">
        <v>318</v>
      </c>
      <c r="N54" s="110" t="s">
        <v>319</v>
      </c>
      <c r="O54" s="49"/>
      <c r="P54" s="49" t="s">
        <v>138</v>
      </c>
      <c r="Q54" s="2"/>
      <c r="R54" s="2"/>
      <c r="S54" s="2"/>
      <c r="T54" s="2"/>
      <c r="U54" s="2"/>
      <c r="V54" s="2"/>
      <c r="W54" s="2"/>
      <c r="X54" s="2"/>
      <c r="Y54" s="2"/>
      <c r="Z54" s="2"/>
      <c r="AA54" s="2"/>
      <c r="AB54" s="2"/>
    </row>
    <row r="55" spans="1:28" ht="90.75" customHeight="1">
      <c r="A55" s="33">
        <v>44</v>
      </c>
      <c r="B55" s="43" t="s">
        <v>304</v>
      </c>
      <c r="C55" s="43"/>
      <c r="D55" s="41">
        <v>5</v>
      </c>
      <c r="E55" s="41" t="s">
        <v>130</v>
      </c>
      <c r="F55" s="37" t="s">
        <v>305</v>
      </c>
      <c r="G55" s="37" t="s">
        <v>320</v>
      </c>
      <c r="H55" s="37" t="s">
        <v>317</v>
      </c>
      <c r="I55" s="37" t="s">
        <v>308</v>
      </c>
      <c r="J55" s="51" t="s">
        <v>308</v>
      </c>
      <c r="K55" s="48"/>
      <c r="L55" s="48"/>
      <c r="M55" s="37" t="s">
        <v>318</v>
      </c>
      <c r="N55" s="110" t="s">
        <v>310</v>
      </c>
      <c r="O55" s="49"/>
      <c r="P55" s="49" t="s">
        <v>321</v>
      </c>
      <c r="Q55" s="2"/>
      <c r="R55" s="2"/>
      <c r="S55" s="2"/>
      <c r="T55" s="2"/>
      <c r="U55" s="2"/>
      <c r="V55" s="2"/>
      <c r="W55" s="2"/>
      <c r="X55" s="2"/>
      <c r="Y55" s="2"/>
      <c r="Z55" s="2"/>
      <c r="AA55" s="2"/>
      <c r="AB55" s="2"/>
    </row>
    <row r="56" spans="1:28" ht="90.75" customHeight="1">
      <c r="A56" s="30">
        <v>45</v>
      </c>
      <c r="B56" s="43" t="s">
        <v>322</v>
      </c>
      <c r="C56" s="43"/>
      <c r="D56" s="41">
        <v>1</v>
      </c>
      <c r="E56" s="41" t="s">
        <v>130</v>
      </c>
      <c r="F56" s="37" t="s">
        <v>323</v>
      </c>
      <c r="G56" s="37" t="s">
        <v>324</v>
      </c>
      <c r="H56" s="37" t="s">
        <v>325</v>
      </c>
      <c r="I56" s="37" t="s">
        <v>323</v>
      </c>
      <c r="J56" s="51" t="s">
        <v>326</v>
      </c>
      <c r="K56" s="48"/>
      <c r="L56" s="48"/>
      <c r="M56" s="37" t="s">
        <v>327</v>
      </c>
      <c r="N56" s="110" t="s">
        <v>328</v>
      </c>
      <c r="O56" s="49"/>
      <c r="P56" s="49" t="s">
        <v>329</v>
      </c>
      <c r="Q56" s="2"/>
      <c r="R56" s="2"/>
      <c r="S56" s="2"/>
      <c r="T56" s="2"/>
      <c r="U56" s="2"/>
      <c r="V56" s="2"/>
      <c r="W56" s="2"/>
      <c r="X56" s="2"/>
      <c r="Y56" s="2"/>
      <c r="Z56" s="2"/>
      <c r="AA56" s="2"/>
      <c r="AB56" s="2"/>
    </row>
    <row r="57" spans="1:28" ht="90.75" customHeight="1">
      <c r="A57" s="33">
        <v>46</v>
      </c>
      <c r="B57" s="43" t="s">
        <v>330</v>
      </c>
      <c r="C57" s="43"/>
      <c r="D57" s="41">
        <v>11000</v>
      </c>
      <c r="E57" s="41" t="s">
        <v>331</v>
      </c>
      <c r="F57" s="37" t="s">
        <v>332</v>
      </c>
      <c r="G57" s="37" t="s">
        <v>333</v>
      </c>
      <c r="H57" s="37" t="s">
        <v>334</v>
      </c>
      <c r="I57" s="51" t="s">
        <v>335</v>
      </c>
      <c r="J57" s="51" t="s">
        <v>335</v>
      </c>
      <c r="K57" s="48"/>
      <c r="L57" s="48"/>
      <c r="M57" s="37" t="s">
        <v>336</v>
      </c>
      <c r="N57" s="110" t="s">
        <v>337</v>
      </c>
      <c r="O57" s="49"/>
      <c r="P57" s="49" t="s">
        <v>338</v>
      </c>
      <c r="Q57" s="2"/>
      <c r="R57" s="2"/>
      <c r="S57" s="2"/>
      <c r="T57" s="2"/>
      <c r="U57" s="2"/>
      <c r="V57" s="2"/>
      <c r="W57" s="2"/>
      <c r="X57" s="2"/>
      <c r="Y57" s="2"/>
      <c r="Z57" s="2"/>
      <c r="AA57" s="2"/>
      <c r="AB57" s="2"/>
    </row>
    <row r="58" spans="1:28" ht="90.75" customHeight="1" thickBot="1">
      <c r="A58" s="30">
        <v>47</v>
      </c>
      <c r="B58" s="43" t="s">
        <v>330</v>
      </c>
      <c r="C58" s="43"/>
      <c r="D58" s="41">
        <v>11000</v>
      </c>
      <c r="E58" s="41" t="s">
        <v>331</v>
      </c>
      <c r="F58" s="37" t="s">
        <v>332</v>
      </c>
      <c r="G58" s="37" t="s">
        <v>333</v>
      </c>
      <c r="H58" s="37" t="s">
        <v>334</v>
      </c>
      <c r="I58" s="51" t="s">
        <v>335</v>
      </c>
      <c r="J58" s="51" t="s">
        <v>335</v>
      </c>
      <c r="K58" s="48"/>
      <c r="L58" s="48"/>
      <c r="M58" s="37" t="s">
        <v>336</v>
      </c>
      <c r="N58" s="110" t="s">
        <v>337</v>
      </c>
      <c r="O58" s="49"/>
      <c r="P58" s="49" t="s">
        <v>1322</v>
      </c>
      <c r="Q58" s="2"/>
      <c r="R58" s="2"/>
      <c r="S58" s="2"/>
      <c r="T58" s="2"/>
      <c r="U58" s="2"/>
      <c r="V58" s="2"/>
      <c r="W58" s="2"/>
      <c r="X58" s="2"/>
      <c r="Y58" s="2"/>
      <c r="Z58" s="2"/>
      <c r="AA58" s="2"/>
      <c r="AB58" s="2"/>
    </row>
    <row r="59" spans="1:28" ht="90.75" customHeight="1" thickBot="1">
      <c r="A59" s="33">
        <v>48</v>
      </c>
      <c r="B59" s="152" t="s">
        <v>339</v>
      </c>
      <c r="C59" s="152"/>
      <c r="D59" s="152">
        <v>270</v>
      </c>
      <c r="E59" s="152" t="s">
        <v>331</v>
      </c>
      <c r="F59" s="152" t="s">
        <v>340</v>
      </c>
      <c r="G59" s="153" t="s">
        <v>1343</v>
      </c>
      <c r="H59" s="152" t="s">
        <v>341</v>
      </c>
      <c r="I59" s="152" t="s">
        <v>335</v>
      </c>
      <c r="J59" s="152" t="s">
        <v>335</v>
      </c>
      <c r="K59" s="152">
        <v>1746321.6357841864</v>
      </c>
      <c r="L59" s="152">
        <f t="shared" ref="L59" si="1">K59*0.19</f>
        <v>331801.11079899542</v>
      </c>
      <c r="M59" s="152" t="s">
        <v>1321</v>
      </c>
      <c r="N59" s="153" t="s">
        <v>342</v>
      </c>
      <c r="O59" s="152"/>
      <c r="P59" s="152" t="s">
        <v>1319</v>
      </c>
      <c r="Q59" s="2"/>
      <c r="R59" s="2"/>
      <c r="S59" s="2"/>
      <c r="T59" s="2"/>
      <c r="U59" s="2"/>
      <c r="V59" s="2"/>
      <c r="W59" s="2"/>
      <c r="X59" s="2"/>
      <c r="Y59" s="2"/>
      <c r="Z59" s="2"/>
      <c r="AA59" s="2"/>
      <c r="AB59" s="2"/>
    </row>
    <row r="60" spans="1:28" ht="90.75" customHeight="1">
      <c r="A60" s="30">
        <v>49</v>
      </c>
      <c r="B60" s="43" t="s">
        <v>339</v>
      </c>
      <c r="C60" s="43"/>
      <c r="D60" s="41">
        <v>150</v>
      </c>
      <c r="E60" s="41" t="s">
        <v>331</v>
      </c>
      <c r="F60" s="37" t="s">
        <v>340</v>
      </c>
      <c r="G60" s="37" t="s">
        <v>343</v>
      </c>
      <c r="H60" s="37" t="s">
        <v>344</v>
      </c>
      <c r="I60" s="51" t="s">
        <v>335</v>
      </c>
      <c r="J60" s="51" t="s">
        <v>335</v>
      </c>
      <c r="K60" s="48"/>
      <c r="L60" s="48"/>
      <c r="M60" s="37" t="s">
        <v>1321</v>
      </c>
      <c r="N60" s="110" t="s">
        <v>342</v>
      </c>
      <c r="O60" s="49"/>
      <c r="P60" s="49" t="s">
        <v>1320</v>
      </c>
      <c r="Q60" s="2"/>
      <c r="R60" s="2"/>
      <c r="S60" s="2"/>
      <c r="T60" s="2"/>
      <c r="U60" s="2"/>
      <c r="V60" s="2"/>
      <c r="W60" s="2"/>
      <c r="X60" s="2"/>
      <c r="Y60" s="2"/>
      <c r="Z60" s="2"/>
      <c r="AA60" s="2"/>
      <c r="AB60" s="2"/>
    </row>
    <row r="61" spans="1:28" ht="90.75" customHeight="1">
      <c r="A61" s="33">
        <v>50</v>
      </c>
      <c r="B61" s="43" t="s">
        <v>339</v>
      </c>
      <c r="C61" s="43"/>
      <c r="D61" s="41">
        <v>200</v>
      </c>
      <c r="E61" s="41" t="s">
        <v>331</v>
      </c>
      <c r="F61" s="37" t="s">
        <v>340</v>
      </c>
      <c r="G61" s="37" t="s">
        <v>345</v>
      </c>
      <c r="H61" s="37" t="s">
        <v>341</v>
      </c>
      <c r="I61" s="51" t="s">
        <v>335</v>
      </c>
      <c r="J61" s="51" t="s">
        <v>335</v>
      </c>
      <c r="K61" s="48"/>
      <c r="L61" s="48"/>
      <c r="M61" s="37" t="s">
        <v>1323</v>
      </c>
      <c r="N61" s="110" t="s">
        <v>342</v>
      </c>
      <c r="O61" s="49"/>
      <c r="P61" s="49" t="s">
        <v>346</v>
      </c>
      <c r="Q61" s="2"/>
      <c r="R61" s="2"/>
      <c r="S61" s="2"/>
      <c r="T61" s="2"/>
      <c r="U61" s="2"/>
      <c r="V61" s="2"/>
      <c r="W61" s="2"/>
      <c r="X61" s="2"/>
      <c r="Y61" s="2"/>
      <c r="Z61" s="2"/>
      <c r="AA61" s="2"/>
      <c r="AB61" s="2"/>
    </row>
    <row r="62" spans="1:28" ht="90.75" customHeight="1" thickBot="1">
      <c r="A62" s="30">
        <v>51</v>
      </c>
      <c r="B62" s="43" t="s">
        <v>339</v>
      </c>
      <c r="C62" s="43"/>
      <c r="D62" s="41">
        <v>300</v>
      </c>
      <c r="E62" s="41" t="s">
        <v>331</v>
      </c>
      <c r="F62" s="37" t="s">
        <v>340</v>
      </c>
      <c r="G62" s="37" t="s">
        <v>347</v>
      </c>
      <c r="H62" s="37" t="s">
        <v>348</v>
      </c>
      <c r="I62" s="51" t="s">
        <v>335</v>
      </c>
      <c r="J62" s="51" t="s">
        <v>335</v>
      </c>
      <c r="K62" s="48"/>
      <c r="L62" s="48"/>
      <c r="M62" s="37" t="s">
        <v>349</v>
      </c>
      <c r="N62" s="110" t="s">
        <v>350</v>
      </c>
      <c r="O62" s="49"/>
      <c r="P62" s="49" t="s">
        <v>1336</v>
      </c>
      <c r="Q62" s="2"/>
      <c r="R62" s="2"/>
      <c r="S62" s="2"/>
      <c r="T62" s="2"/>
      <c r="U62" s="2"/>
      <c r="V62" s="2"/>
      <c r="W62" s="2"/>
      <c r="X62" s="2"/>
      <c r="Y62" s="2"/>
      <c r="Z62" s="2"/>
      <c r="AA62" s="2"/>
      <c r="AB62" s="2"/>
    </row>
    <row r="63" spans="1:28" ht="90.75" customHeight="1" thickBot="1">
      <c r="A63" s="33">
        <v>52</v>
      </c>
      <c r="B63" s="153" t="s">
        <v>339</v>
      </c>
      <c r="C63" s="152"/>
      <c r="D63" s="152">
        <v>145</v>
      </c>
      <c r="E63" s="153" t="s">
        <v>331</v>
      </c>
      <c r="F63" s="153" t="s">
        <v>1344</v>
      </c>
      <c r="G63" s="153" t="s">
        <v>1352</v>
      </c>
      <c r="H63" s="153" t="s">
        <v>1353</v>
      </c>
      <c r="I63" s="153" t="s">
        <v>1347</v>
      </c>
      <c r="J63" s="152" t="s">
        <v>1348</v>
      </c>
      <c r="K63" s="152">
        <v>846848.73949579836</v>
      </c>
      <c r="L63" s="152">
        <f t="shared" ref="L63" si="2">K63*0.19</f>
        <v>160901.26050420169</v>
      </c>
      <c r="M63" s="153" t="s">
        <v>1354</v>
      </c>
      <c r="N63" s="152" t="s">
        <v>1355</v>
      </c>
      <c r="O63" s="152"/>
      <c r="P63" s="153" t="s">
        <v>1356</v>
      </c>
      <c r="Q63" s="2"/>
      <c r="R63" s="2"/>
      <c r="S63" s="2"/>
      <c r="T63" s="2"/>
      <c r="U63" s="2"/>
      <c r="V63" s="2"/>
      <c r="W63" s="2"/>
      <c r="X63" s="2"/>
      <c r="Y63" s="2"/>
      <c r="Z63" s="2"/>
      <c r="AA63" s="2"/>
      <c r="AB63" s="2"/>
    </row>
    <row r="64" spans="1:28" ht="90.75" customHeight="1" thickBot="1">
      <c r="A64" s="30">
        <v>53</v>
      </c>
      <c r="B64" s="153" t="s">
        <v>339</v>
      </c>
      <c r="C64" s="152"/>
      <c r="D64" s="152">
        <v>300</v>
      </c>
      <c r="E64" s="153" t="s">
        <v>331</v>
      </c>
      <c r="F64" s="153" t="s">
        <v>1344</v>
      </c>
      <c r="G64" s="153" t="s">
        <v>1345</v>
      </c>
      <c r="H64" s="153" t="s">
        <v>1346</v>
      </c>
      <c r="I64" s="153" t="s">
        <v>1347</v>
      </c>
      <c r="J64" s="152" t="s">
        <v>1348</v>
      </c>
      <c r="K64" s="152">
        <v>2810924.3697478995</v>
      </c>
      <c r="L64" s="152">
        <f t="shared" ref="L64" si="3">K64*0.19</f>
        <v>534075.63025210088</v>
      </c>
      <c r="M64" s="153" t="s">
        <v>1349</v>
      </c>
      <c r="N64" s="152" t="s">
        <v>1350</v>
      </c>
      <c r="O64" s="152"/>
      <c r="P64" s="152" t="s">
        <v>1351</v>
      </c>
      <c r="Q64" s="2"/>
      <c r="R64" s="2"/>
      <c r="S64" s="2"/>
      <c r="T64" s="2"/>
      <c r="U64" s="2"/>
      <c r="V64" s="2"/>
      <c r="W64" s="2"/>
      <c r="X64" s="2"/>
      <c r="Y64" s="2"/>
      <c r="Z64" s="2"/>
      <c r="AA64" s="2"/>
      <c r="AB64" s="2"/>
    </row>
    <row r="65" spans="1:28" ht="90.75" customHeight="1">
      <c r="A65" s="33">
        <v>54</v>
      </c>
      <c r="B65" s="43" t="s">
        <v>339</v>
      </c>
      <c r="C65" s="43"/>
      <c r="D65" s="41">
        <v>300</v>
      </c>
      <c r="E65" s="41" t="s">
        <v>331</v>
      </c>
      <c r="F65" s="37" t="s">
        <v>340</v>
      </c>
      <c r="G65" s="37" t="s">
        <v>351</v>
      </c>
      <c r="H65" s="37" t="s">
        <v>341</v>
      </c>
      <c r="I65" s="51" t="s">
        <v>335</v>
      </c>
      <c r="J65" s="51" t="s">
        <v>335</v>
      </c>
      <c r="K65" s="48"/>
      <c r="L65" s="48"/>
      <c r="M65" s="37" t="s">
        <v>349</v>
      </c>
      <c r="N65" s="110" t="s">
        <v>350</v>
      </c>
      <c r="O65" s="49"/>
      <c r="P65" s="49" t="s">
        <v>1335</v>
      </c>
      <c r="Q65" s="2"/>
      <c r="R65" s="2"/>
      <c r="S65" s="2"/>
      <c r="T65" s="2"/>
      <c r="U65" s="2"/>
      <c r="V65" s="2"/>
      <c r="W65" s="2"/>
      <c r="X65" s="2"/>
      <c r="Y65" s="2"/>
      <c r="Z65" s="2"/>
      <c r="AA65" s="2"/>
      <c r="AB65" s="2"/>
    </row>
    <row r="66" spans="1:28" ht="90.75" customHeight="1">
      <c r="A66" s="30">
        <v>55</v>
      </c>
      <c r="B66" s="43" t="s">
        <v>339</v>
      </c>
      <c r="C66" s="43"/>
      <c r="D66" s="41">
        <v>120</v>
      </c>
      <c r="E66" s="41" t="s">
        <v>331</v>
      </c>
      <c r="F66" s="37" t="s">
        <v>352</v>
      </c>
      <c r="G66" s="37" t="s">
        <v>353</v>
      </c>
      <c r="H66" s="37" t="s">
        <v>354</v>
      </c>
      <c r="I66" s="51" t="s">
        <v>355</v>
      </c>
      <c r="J66" s="51" t="s">
        <v>356</v>
      </c>
      <c r="K66" s="48"/>
      <c r="L66" s="48"/>
      <c r="M66" s="37" t="s">
        <v>357</v>
      </c>
      <c r="N66" s="110" t="s">
        <v>358</v>
      </c>
      <c r="O66" s="49"/>
      <c r="P66" s="49" t="s">
        <v>359</v>
      </c>
      <c r="Q66" s="2"/>
      <c r="R66" s="2"/>
      <c r="S66" s="2"/>
      <c r="T66" s="2"/>
      <c r="U66" s="2"/>
      <c r="V66" s="2"/>
      <c r="W66" s="2"/>
      <c r="X66" s="2"/>
      <c r="Y66" s="2"/>
      <c r="Z66" s="2"/>
      <c r="AA66" s="2"/>
      <c r="AB66" s="2"/>
    </row>
    <row r="67" spans="1:28" ht="58">
      <c r="A67" s="33">
        <v>56</v>
      </c>
      <c r="B67" s="43" t="s">
        <v>339</v>
      </c>
      <c r="C67" s="43"/>
      <c r="D67" s="41">
        <v>200</v>
      </c>
      <c r="E67" s="41" t="s">
        <v>331</v>
      </c>
      <c r="F67" s="37" t="s">
        <v>340</v>
      </c>
      <c r="G67" s="37" t="s">
        <v>1318</v>
      </c>
      <c r="H67" s="37" t="s">
        <v>341</v>
      </c>
      <c r="I67" s="51" t="s">
        <v>335</v>
      </c>
      <c r="J67" s="51" t="s">
        <v>335</v>
      </c>
      <c r="K67" s="48"/>
      <c r="L67" s="48"/>
      <c r="M67" s="37" t="s">
        <v>1323</v>
      </c>
      <c r="N67" s="110" t="s">
        <v>342</v>
      </c>
      <c r="O67" s="49"/>
      <c r="P67" s="49" t="s">
        <v>346</v>
      </c>
    </row>
    <row r="68" spans="1:28" ht="135">
      <c r="A68" s="30">
        <v>57</v>
      </c>
      <c r="B68" s="131" t="s">
        <v>339</v>
      </c>
      <c r="C68" s="132"/>
      <c r="D68" s="132">
        <v>1000</v>
      </c>
      <c r="E68" s="132" t="s">
        <v>331</v>
      </c>
      <c r="F68" s="132" t="s">
        <v>352</v>
      </c>
      <c r="G68" s="132" t="s">
        <v>1372</v>
      </c>
      <c r="H68" s="132" t="s">
        <v>1373</v>
      </c>
      <c r="I68" s="51" t="s">
        <v>355</v>
      </c>
      <c r="J68" s="51" t="s">
        <v>356</v>
      </c>
      <c r="K68" s="133">
        <v>80960139.667481601</v>
      </c>
      <c r="L68" s="133">
        <f t="shared" ref="L68" si="4">K68*0.19</f>
        <v>15382426.536821505</v>
      </c>
      <c r="M68" s="134" t="s">
        <v>1325</v>
      </c>
      <c r="O68" s="155" t="s">
        <v>1374</v>
      </c>
      <c r="P68" s="135" t="s">
        <v>1326</v>
      </c>
    </row>
    <row r="69" spans="1:28" ht="81">
      <c r="A69" s="30">
        <v>57</v>
      </c>
      <c r="B69" s="131" t="s">
        <v>339</v>
      </c>
      <c r="C69" s="132"/>
      <c r="D69" s="132">
        <v>1000</v>
      </c>
      <c r="E69" s="132" t="s">
        <v>331</v>
      </c>
      <c r="F69" s="132" t="s">
        <v>1314</v>
      </c>
      <c r="G69" s="132" t="s">
        <v>1315</v>
      </c>
      <c r="H69" s="132" t="s">
        <v>1316</v>
      </c>
      <c r="I69" s="132" t="s">
        <v>1317</v>
      </c>
      <c r="J69" s="132" t="s">
        <v>335</v>
      </c>
      <c r="K69" s="133">
        <v>80960139.667481601</v>
      </c>
      <c r="L69" s="133">
        <f t="shared" ref="L69" si="5">K69*0.19</f>
        <v>15382426.536821505</v>
      </c>
      <c r="M69" s="134" t="s">
        <v>1325</v>
      </c>
      <c r="O69" t="s">
        <v>1327</v>
      </c>
      <c r="P69" s="135" t="s">
        <v>1326</v>
      </c>
    </row>
    <row r="70" spans="1:28" ht="90.75" customHeight="1">
      <c r="A70" s="33">
        <v>58</v>
      </c>
      <c r="B70" s="43" t="s">
        <v>361</v>
      </c>
      <c r="C70" s="43"/>
      <c r="D70" s="41">
        <v>3</v>
      </c>
      <c r="E70" s="41" t="s">
        <v>331</v>
      </c>
      <c r="F70" s="37" t="s">
        <v>362</v>
      </c>
      <c r="G70" s="37" t="s">
        <v>363</v>
      </c>
      <c r="H70" s="37" t="s">
        <v>364</v>
      </c>
      <c r="I70" s="37" t="s">
        <v>365</v>
      </c>
      <c r="J70" s="51" t="s">
        <v>366</v>
      </c>
      <c r="K70" s="48"/>
      <c r="L70" s="48"/>
      <c r="M70" s="37" t="s">
        <v>367</v>
      </c>
      <c r="N70" s="110" t="s">
        <v>368</v>
      </c>
      <c r="O70" s="49"/>
      <c r="P70" s="49" t="s">
        <v>138</v>
      </c>
      <c r="Q70" s="2"/>
      <c r="R70" s="2"/>
      <c r="S70" s="2"/>
      <c r="T70" s="2"/>
      <c r="U70" s="2"/>
      <c r="V70" s="2"/>
      <c r="W70" s="2"/>
      <c r="X70" s="2"/>
      <c r="Y70" s="2"/>
      <c r="Z70" s="2"/>
      <c r="AA70" s="2"/>
      <c r="AB70" s="2"/>
    </row>
    <row r="71" spans="1:28" ht="90.75" customHeight="1">
      <c r="A71" s="30">
        <v>59</v>
      </c>
      <c r="B71" s="43" t="s">
        <v>361</v>
      </c>
      <c r="C71" s="43"/>
      <c r="D71" s="41">
        <v>6</v>
      </c>
      <c r="E71" s="41" t="s">
        <v>216</v>
      </c>
      <c r="F71" s="37" t="s">
        <v>362</v>
      </c>
      <c r="G71" s="37" t="s">
        <v>369</v>
      </c>
      <c r="H71" s="37" t="s">
        <v>364</v>
      </c>
      <c r="I71" s="37" t="s">
        <v>365</v>
      </c>
      <c r="J71" s="51" t="s">
        <v>366</v>
      </c>
      <c r="K71" s="48"/>
      <c r="L71" s="48"/>
      <c r="M71" s="37" t="s">
        <v>370</v>
      </c>
      <c r="N71" s="110" t="s">
        <v>368</v>
      </c>
      <c r="O71" s="49"/>
      <c r="P71" s="49" t="s">
        <v>371</v>
      </c>
      <c r="Q71" s="2"/>
      <c r="R71" s="2"/>
      <c r="S71" s="2"/>
      <c r="T71" s="2"/>
      <c r="U71" s="2"/>
      <c r="V71" s="2"/>
      <c r="W71" s="2"/>
      <c r="X71" s="2"/>
      <c r="Y71" s="2"/>
      <c r="Z71" s="2"/>
      <c r="AA71" s="2"/>
      <c r="AB71" s="2"/>
    </row>
    <row r="72" spans="1:28" ht="90.75" customHeight="1">
      <c r="A72" s="33">
        <v>60</v>
      </c>
      <c r="B72" s="43" t="s">
        <v>361</v>
      </c>
      <c r="C72" s="43"/>
      <c r="D72" s="41">
        <v>3</v>
      </c>
      <c r="E72" s="41" t="s">
        <v>331</v>
      </c>
      <c r="F72" s="37" t="s">
        <v>362</v>
      </c>
      <c r="G72" s="37" t="s">
        <v>372</v>
      </c>
      <c r="H72" s="37" t="s">
        <v>364</v>
      </c>
      <c r="I72" s="37" t="s">
        <v>365</v>
      </c>
      <c r="J72" s="51" t="s">
        <v>366</v>
      </c>
      <c r="K72" s="48"/>
      <c r="L72" s="48"/>
      <c r="M72" s="37" t="s">
        <v>370</v>
      </c>
      <c r="N72" s="110" t="s">
        <v>368</v>
      </c>
      <c r="O72" s="49"/>
      <c r="P72" s="49" t="s">
        <v>373</v>
      </c>
      <c r="Q72" s="2"/>
      <c r="R72" s="2"/>
      <c r="S72" s="2"/>
      <c r="T72" s="2"/>
      <c r="U72" s="2"/>
      <c r="V72" s="2"/>
      <c r="W72" s="2"/>
      <c r="X72" s="2"/>
      <c r="Y72" s="2"/>
      <c r="Z72" s="2"/>
      <c r="AA72" s="2"/>
      <c r="AB72" s="2"/>
    </row>
    <row r="73" spans="1:28" ht="90.75" customHeight="1">
      <c r="A73" s="30">
        <v>61</v>
      </c>
      <c r="B73" s="43" t="s">
        <v>361</v>
      </c>
      <c r="C73" s="43"/>
      <c r="D73" s="41">
        <v>300</v>
      </c>
      <c r="E73" s="41" t="s">
        <v>231</v>
      </c>
      <c r="F73" s="37" t="s">
        <v>374</v>
      </c>
      <c r="G73" s="37" t="s">
        <v>375</v>
      </c>
      <c r="H73" s="37" t="s">
        <v>376</v>
      </c>
      <c r="I73" s="37" t="s">
        <v>377</v>
      </c>
      <c r="J73" s="51" t="s">
        <v>378</v>
      </c>
      <c r="K73" s="48"/>
      <c r="L73" s="48"/>
      <c r="M73" s="37" t="s">
        <v>1324</v>
      </c>
      <c r="N73" s="110" t="s">
        <v>379</v>
      </c>
      <c r="O73" s="49"/>
      <c r="P73" s="49" t="s">
        <v>380</v>
      </c>
      <c r="Q73" s="2"/>
      <c r="R73" s="2"/>
      <c r="S73" s="2"/>
      <c r="T73" s="2"/>
      <c r="U73" s="2"/>
      <c r="V73" s="2"/>
      <c r="W73" s="2"/>
      <c r="X73" s="2"/>
      <c r="Y73" s="2"/>
      <c r="Z73" s="2"/>
      <c r="AA73" s="2"/>
      <c r="AB73" s="2"/>
    </row>
    <row r="74" spans="1:28" ht="92.25" customHeight="1">
      <c r="A74" s="33">
        <v>62</v>
      </c>
      <c r="B74" s="43" t="s">
        <v>361</v>
      </c>
      <c r="C74" s="43"/>
      <c r="D74" s="41">
        <v>160</v>
      </c>
      <c r="E74" s="41" t="s">
        <v>130</v>
      </c>
      <c r="F74" s="37" t="s">
        <v>381</v>
      </c>
      <c r="G74" s="37" t="s">
        <v>382</v>
      </c>
      <c r="H74" s="37" t="s">
        <v>383</v>
      </c>
      <c r="I74" s="37" t="s">
        <v>384</v>
      </c>
      <c r="J74" s="51" t="s">
        <v>378</v>
      </c>
      <c r="K74" s="48"/>
      <c r="L74" s="48"/>
      <c r="M74" s="37" t="s">
        <v>385</v>
      </c>
      <c r="N74" s="110" t="s">
        <v>386</v>
      </c>
      <c r="O74" s="49"/>
      <c r="P74" s="49" t="s">
        <v>387</v>
      </c>
      <c r="Q74" s="2"/>
      <c r="R74" s="2"/>
      <c r="S74" s="2"/>
      <c r="T74" s="2"/>
      <c r="U74" s="2"/>
      <c r="V74" s="2"/>
      <c r="W74" s="2"/>
      <c r="X74" s="2"/>
      <c r="Y74" s="2"/>
      <c r="Z74" s="2"/>
      <c r="AA74" s="2"/>
      <c r="AB74" s="2"/>
    </row>
    <row r="75" spans="1:28" ht="92.25" customHeight="1">
      <c r="A75" s="30">
        <v>63</v>
      </c>
      <c r="B75" s="43" t="s">
        <v>361</v>
      </c>
      <c r="C75" s="43"/>
      <c r="D75" s="41">
        <v>100</v>
      </c>
      <c r="E75" s="41" t="s">
        <v>130</v>
      </c>
      <c r="F75" s="37" t="s">
        <v>381</v>
      </c>
      <c r="G75" s="37" t="s">
        <v>388</v>
      </c>
      <c r="H75" s="37" t="s">
        <v>389</v>
      </c>
      <c r="I75" s="37" t="s">
        <v>384</v>
      </c>
      <c r="J75" s="51" t="s">
        <v>378</v>
      </c>
      <c r="K75" s="48"/>
      <c r="L75" s="48"/>
      <c r="M75" s="37" t="s">
        <v>385</v>
      </c>
      <c r="N75" s="110" t="s">
        <v>386</v>
      </c>
      <c r="O75" s="49"/>
      <c r="P75" s="49" t="s">
        <v>387</v>
      </c>
      <c r="Q75" s="2"/>
      <c r="R75" s="2"/>
      <c r="S75" s="2"/>
      <c r="T75" s="2"/>
      <c r="U75" s="2"/>
      <c r="V75" s="2"/>
      <c r="W75" s="2"/>
      <c r="X75" s="2"/>
      <c r="Y75" s="2"/>
      <c r="Z75" s="2"/>
      <c r="AA75" s="2"/>
      <c r="AB75" s="2"/>
    </row>
    <row r="76" spans="1:28" ht="92.25" customHeight="1">
      <c r="A76" s="33">
        <v>64</v>
      </c>
      <c r="B76" s="43" t="s">
        <v>361</v>
      </c>
      <c r="C76" s="43"/>
      <c r="D76" s="41">
        <v>800</v>
      </c>
      <c r="E76" s="41" t="s">
        <v>130</v>
      </c>
      <c r="F76" s="37" t="s">
        <v>381</v>
      </c>
      <c r="G76" s="37" t="s">
        <v>390</v>
      </c>
      <c r="H76" s="37" t="s">
        <v>389</v>
      </c>
      <c r="I76" s="37" t="s">
        <v>384</v>
      </c>
      <c r="J76" s="51" t="s">
        <v>378</v>
      </c>
      <c r="K76" s="48"/>
      <c r="L76" s="48"/>
      <c r="M76" s="37" t="s">
        <v>385</v>
      </c>
      <c r="N76" s="110" t="s">
        <v>386</v>
      </c>
      <c r="O76" s="49"/>
      <c r="P76" s="49" t="s">
        <v>387</v>
      </c>
      <c r="Q76" s="2"/>
      <c r="R76" s="2"/>
      <c r="S76" s="2"/>
      <c r="T76" s="2"/>
      <c r="U76" s="2"/>
      <c r="V76" s="2"/>
      <c r="W76" s="2"/>
      <c r="X76" s="2"/>
      <c r="Y76" s="2"/>
      <c r="Z76" s="2"/>
      <c r="AA76" s="2"/>
      <c r="AB76" s="2"/>
    </row>
    <row r="77" spans="1:28" ht="90.75" customHeight="1">
      <c r="A77" s="30">
        <v>65</v>
      </c>
      <c r="B77" s="43" t="s">
        <v>361</v>
      </c>
      <c r="C77" s="43"/>
      <c r="D77" s="41">
        <v>90</v>
      </c>
      <c r="E77" s="41" t="s">
        <v>130</v>
      </c>
      <c r="F77" s="37" t="s">
        <v>381</v>
      </c>
      <c r="G77" s="37" t="s">
        <v>391</v>
      </c>
      <c r="H77" s="37" t="s">
        <v>383</v>
      </c>
      <c r="I77" s="37" t="s">
        <v>384</v>
      </c>
      <c r="J77" s="51" t="s">
        <v>366</v>
      </c>
      <c r="K77" s="48"/>
      <c r="L77" s="48"/>
      <c r="M77" s="37" t="s">
        <v>392</v>
      </c>
      <c r="N77" s="110" t="s">
        <v>386</v>
      </c>
      <c r="O77" s="49"/>
      <c r="P77" s="49" t="s">
        <v>393</v>
      </c>
      <c r="Q77" s="2"/>
      <c r="R77" s="2"/>
      <c r="S77" s="2"/>
      <c r="T77" s="2"/>
      <c r="U77" s="2"/>
      <c r="V77" s="2"/>
      <c r="W77" s="2"/>
      <c r="X77" s="2"/>
      <c r="Y77" s="2"/>
      <c r="Z77" s="2"/>
      <c r="AA77" s="2"/>
      <c r="AB77" s="2"/>
    </row>
    <row r="78" spans="1:28" ht="90.75" customHeight="1">
      <c r="A78" s="33">
        <v>66</v>
      </c>
      <c r="B78" s="43" t="s">
        <v>361</v>
      </c>
      <c r="C78" s="43"/>
      <c r="D78" s="41">
        <v>50</v>
      </c>
      <c r="E78" s="41" t="s">
        <v>130</v>
      </c>
      <c r="F78" s="37" t="s">
        <v>381</v>
      </c>
      <c r="G78" s="37" t="s">
        <v>394</v>
      </c>
      <c r="H78" s="37" t="s">
        <v>383</v>
      </c>
      <c r="I78" s="37" t="s">
        <v>384</v>
      </c>
      <c r="J78" s="51" t="s">
        <v>366</v>
      </c>
      <c r="K78" s="48"/>
      <c r="L78" s="48"/>
      <c r="M78" s="37" t="s">
        <v>395</v>
      </c>
      <c r="N78" s="110" t="s">
        <v>386</v>
      </c>
      <c r="O78" s="49"/>
      <c r="P78" s="49" t="s">
        <v>138</v>
      </c>
      <c r="Q78" s="2"/>
      <c r="R78" s="2"/>
      <c r="S78" s="2"/>
      <c r="T78" s="2"/>
      <c r="U78" s="2"/>
      <c r="V78" s="2"/>
      <c r="W78" s="2"/>
      <c r="X78" s="2"/>
      <c r="Y78" s="2"/>
      <c r="Z78" s="2"/>
      <c r="AA78" s="2"/>
      <c r="AB78" s="2"/>
    </row>
    <row r="79" spans="1:28" ht="108" customHeight="1">
      <c r="A79" s="30">
        <v>67</v>
      </c>
      <c r="B79" s="43" t="s">
        <v>361</v>
      </c>
      <c r="C79" s="43"/>
      <c r="D79" s="41">
        <v>40</v>
      </c>
      <c r="E79" s="41" t="s">
        <v>130</v>
      </c>
      <c r="F79" s="37" t="s">
        <v>381</v>
      </c>
      <c r="G79" s="37" t="s">
        <v>396</v>
      </c>
      <c r="H79" s="37" t="s">
        <v>397</v>
      </c>
      <c r="I79" s="37" t="s">
        <v>384</v>
      </c>
      <c r="J79" s="51" t="s">
        <v>398</v>
      </c>
      <c r="K79" s="48"/>
      <c r="L79" s="48"/>
      <c r="M79" s="37" t="s">
        <v>399</v>
      </c>
      <c r="N79" s="110" t="s">
        <v>386</v>
      </c>
      <c r="O79" s="49"/>
      <c r="P79" s="49" t="s">
        <v>138</v>
      </c>
      <c r="Q79" s="2"/>
      <c r="R79" s="2"/>
      <c r="S79" s="2"/>
      <c r="T79" s="2"/>
      <c r="U79" s="2"/>
      <c r="V79" s="2"/>
      <c r="W79" s="2"/>
      <c r="X79" s="2"/>
      <c r="Y79" s="2"/>
      <c r="Z79" s="2"/>
      <c r="AA79" s="2"/>
      <c r="AB79" s="2"/>
    </row>
    <row r="80" spans="1:28" ht="90.75" customHeight="1">
      <c r="A80" s="33">
        <v>68</v>
      </c>
      <c r="B80" s="43" t="s">
        <v>361</v>
      </c>
      <c r="C80" s="43"/>
      <c r="D80" s="41">
        <v>30</v>
      </c>
      <c r="E80" s="41" t="s">
        <v>130</v>
      </c>
      <c r="F80" s="37" t="s">
        <v>381</v>
      </c>
      <c r="G80" s="37" t="s">
        <v>400</v>
      </c>
      <c r="H80" s="37" t="s">
        <v>383</v>
      </c>
      <c r="I80" s="37" t="s">
        <v>384</v>
      </c>
      <c r="J80" s="51" t="s">
        <v>401</v>
      </c>
      <c r="K80" s="48"/>
      <c r="L80" s="48"/>
      <c r="M80" s="37" t="s">
        <v>399</v>
      </c>
      <c r="N80" s="110" t="s">
        <v>386</v>
      </c>
      <c r="O80" s="49"/>
      <c r="P80" s="49" t="s">
        <v>138</v>
      </c>
      <c r="Q80" s="2"/>
      <c r="R80" s="2"/>
      <c r="S80" s="2"/>
      <c r="T80" s="2"/>
      <c r="U80" s="2"/>
      <c r="V80" s="2"/>
      <c r="W80" s="2"/>
      <c r="X80" s="2"/>
      <c r="Y80" s="2"/>
      <c r="Z80" s="2"/>
      <c r="AA80" s="2"/>
      <c r="AB80" s="2"/>
    </row>
    <row r="81" spans="1:28" ht="90.75" customHeight="1" thickBot="1">
      <c r="A81" s="30">
        <v>69</v>
      </c>
      <c r="B81" s="43" t="s">
        <v>361</v>
      </c>
      <c r="C81" s="43"/>
      <c r="D81" s="41">
        <v>25</v>
      </c>
      <c r="E81" s="41" t="s">
        <v>130</v>
      </c>
      <c r="F81" s="37" t="s">
        <v>381</v>
      </c>
      <c r="G81" s="37" t="s">
        <v>402</v>
      </c>
      <c r="H81" s="37" t="s">
        <v>383</v>
      </c>
      <c r="I81" s="37" t="s">
        <v>384</v>
      </c>
      <c r="J81" s="51" t="s">
        <v>366</v>
      </c>
      <c r="K81" s="48"/>
      <c r="L81" s="48"/>
      <c r="M81" s="37" t="s">
        <v>399</v>
      </c>
      <c r="N81" s="110" t="s">
        <v>386</v>
      </c>
      <c r="O81" s="49"/>
      <c r="P81" s="49" t="s">
        <v>138</v>
      </c>
      <c r="Q81" s="2"/>
      <c r="R81" s="2"/>
      <c r="S81" s="2"/>
      <c r="T81" s="2"/>
      <c r="U81" s="2"/>
      <c r="V81" s="2"/>
      <c r="W81" s="2"/>
      <c r="X81" s="2"/>
      <c r="Y81" s="2"/>
      <c r="Z81" s="2"/>
      <c r="AA81" s="2"/>
      <c r="AB81" s="2"/>
    </row>
    <row r="82" spans="1:28" ht="90.75" customHeight="1" thickBot="1">
      <c r="A82" s="33">
        <v>70</v>
      </c>
      <c r="B82" s="43" t="s">
        <v>361</v>
      </c>
      <c r="C82" s="116"/>
      <c r="D82" s="117"/>
      <c r="E82" s="41" t="s">
        <v>130</v>
      </c>
      <c r="F82" s="37" t="s">
        <v>360</v>
      </c>
      <c r="G82" s="122" t="s">
        <v>1303</v>
      </c>
      <c r="H82" s="118" t="s">
        <v>1305</v>
      </c>
      <c r="I82" s="37" t="s">
        <v>407</v>
      </c>
      <c r="J82" s="37" t="s">
        <v>407</v>
      </c>
      <c r="K82" s="119"/>
      <c r="L82" s="119"/>
      <c r="M82" s="37" t="s">
        <v>392</v>
      </c>
      <c r="N82" s="120"/>
      <c r="O82" s="121" t="s">
        <v>1333</v>
      </c>
      <c r="P82" s="130" t="s">
        <v>1302</v>
      </c>
      <c r="Q82" s="2"/>
      <c r="R82" s="2"/>
      <c r="S82" s="2"/>
      <c r="T82" s="2"/>
      <c r="U82" s="2"/>
      <c r="V82" s="2"/>
      <c r="W82" s="2"/>
      <c r="X82" s="2"/>
      <c r="Y82" s="2"/>
      <c r="Z82" s="2"/>
      <c r="AA82" s="2"/>
      <c r="AB82" s="2"/>
    </row>
    <row r="83" spans="1:28" ht="90.75" customHeight="1" thickBot="1">
      <c r="A83" s="30">
        <v>71</v>
      </c>
      <c r="B83" s="43" t="s">
        <v>361</v>
      </c>
      <c r="C83" s="116"/>
      <c r="D83" s="117"/>
      <c r="E83" s="41" t="s">
        <v>130</v>
      </c>
      <c r="F83" s="3" t="s">
        <v>360</v>
      </c>
      <c r="G83" s="127" t="s">
        <v>1304</v>
      </c>
      <c r="H83" s="118" t="s">
        <v>1305</v>
      </c>
      <c r="I83" s="37" t="s">
        <v>407</v>
      </c>
      <c r="J83" s="37" t="s">
        <v>407</v>
      </c>
      <c r="K83" s="119"/>
      <c r="L83" s="119"/>
      <c r="M83" s="37" t="s">
        <v>392</v>
      </c>
      <c r="N83" s="120"/>
      <c r="O83" s="121" t="s">
        <v>1332</v>
      </c>
      <c r="P83" s="130" t="s">
        <v>1308</v>
      </c>
      <c r="Q83" s="2"/>
      <c r="R83" s="2"/>
      <c r="S83" s="2"/>
      <c r="T83" s="2"/>
      <c r="U83" s="2"/>
      <c r="V83" s="2"/>
      <c r="W83" s="2"/>
      <c r="X83" s="2"/>
      <c r="Y83" s="2"/>
      <c r="Z83" s="2"/>
      <c r="AA83" s="2"/>
      <c r="AB83" s="2"/>
    </row>
    <row r="84" spans="1:28" ht="90.75" customHeight="1" thickBot="1">
      <c r="A84" s="33">
        <v>72</v>
      </c>
      <c r="B84" s="43" t="s">
        <v>361</v>
      </c>
      <c r="C84" s="116"/>
      <c r="D84" s="117"/>
      <c r="E84" s="41" t="s">
        <v>130</v>
      </c>
      <c r="F84" s="3" t="s">
        <v>360</v>
      </c>
      <c r="G84" s="127" t="s">
        <v>1306</v>
      </c>
      <c r="H84" s="118" t="s">
        <v>1305</v>
      </c>
      <c r="I84" s="37" t="s">
        <v>407</v>
      </c>
      <c r="J84" s="37" t="s">
        <v>407</v>
      </c>
      <c r="K84" s="119"/>
      <c r="L84" s="119"/>
      <c r="M84" s="37" t="s">
        <v>392</v>
      </c>
      <c r="N84" s="120"/>
      <c r="O84" s="121" t="s">
        <v>1332</v>
      </c>
      <c r="P84" s="130" t="s">
        <v>1309</v>
      </c>
      <c r="Q84" s="2"/>
      <c r="R84" s="2"/>
      <c r="S84" s="2"/>
      <c r="T84" s="2"/>
      <c r="U84" s="2"/>
      <c r="V84" s="2"/>
      <c r="W84" s="2"/>
      <c r="X84" s="2"/>
      <c r="Y84" s="2"/>
      <c r="Z84" s="2"/>
      <c r="AA84" s="2"/>
      <c r="AB84" s="2"/>
    </row>
    <row r="85" spans="1:28" ht="90.75" customHeight="1" thickBot="1">
      <c r="A85" s="30">
        <v>73</v>
      </c>
      <c r="B85" s="43" t="s">
        <v>361</v>
      </c>
      <c r="C85" s="116"/>
      <c r="D85" s="117"/>
      <c r="E85" s="41" t="s">
        <v>130</v>
      </c>
      <c r="F85" s="3" t="s">
        <v>360</v>
      </c>
      <c r="G85" s="127" t="s">
        <v>1307</v>
      </c>
      <c r="H85" s="118" t="s">
        <v>1305</v>
      </c>
      <c r="I85" s="37" t="s">
        <v>407</v>
      </c>
      <c r="J85" s="37" t="s">
        <v>407</v>
      </c>
      <c r="K85" s="119"/>
      <c r="L85" s="119"/>
      <c r="M85" s="37" t="s">
        <v>392</v>
      </c>
      <c r="N85" s="120"/>
      <c r="O85" s="121" t="s">
        <v>1333</v>
      </c>
      <c r="P85" s="130" t="s">
        <v>1302</v>
      </c>
      <c r="Q85" s="2"/>
      <c r="R85" s="2"/>
      <c r="S85" s="2"/>
      <c r="T85" s="2"/>
      <c r="U85" s="2"/>
      <c r="V85" s="2"/>
      <c r="W85" s="2"/>
      <c r="X85" s="2"/>
      <c r="Y85" s="2"/>
      <c r="Z85" s="2"/>
      <c r="AA85" s="2"/>
      <c r="AB85" s="2"/>
    </row>
    <row r="86" spans="1:28" ht="90.75" customHeight="1" thickBot="1">
      <c r="A86" s="33">
        <v>74</v>
      </c>
      <c r="B86" s="43" t="s">
        <v>361</v>
      </c>
      <c r="C86" s="116"/>
      <c r="D86" s="117"/>
      <c r="E86" s="41" t="s">
        <v>130</v>
      </c>
      <c r="F86" s="3" t="s">
        <v>360</v>
      </c>
      <c r="G86" s="127" t="s">
        <v>1310</v>
      </c>
      <c r="H86" s="118" t="s">
        <v>1305</v>
      </c>
      <c r="I86" s="37" t="s">
        <v>407</v>
      </c>
      <c r="J86" s="37" t="s">
        <v>407</v>
      </c>
      <c r="K86" s="119"/>
      <c r="L86" s="119"/>
      <c r="M86" s="37" t="s">
        <v>392</v>
      </c>
      <c r="N86" s="120"/>
      <c r="O86" s="121" t="s">
        <v>1332</v>
      </c>
      <c r="P86" s="130" t="s">
        <v>1312</v>
      </c>
      <c r="Q86" s="2"/>
      <c r="R86" s="2"/>
      <c r="S86" s="2"/>
      <c r="T86" s="2"/>
      <c r="U86" s="2"/>
      <c r="V86" s="2"/>
      <c r="W86" s="2"/>
      <c r="X86" s="2"/>
      <c r="Y86" s="2"/>
      <c r="Z86" s="2"/>
      <c r="AA86" s="2"/>
      <c r="AB86" s="2"/>
    </row>
    <row r="87" spans="1:28" ht="90.75" customHeight="1" thickBot="1">
      <c r="A87" s="30">
        <v>75</v>
      </c>
      <c r="B87" s="43" t="s">
        <v>361</v>
      </c>
      <c r="C87" s="116"/>
      <c r="D87" s="117"/>
      <c r="E87" s="41" t="s">
        <v>130</v>
      </c>
      <c r="F87" s="3" t="s">
        <v>360</v>
      </c>
      <c r="G87" s="127" t="s">
        <v>1311</v>
      </c>
      <c r="H87" s="118" t="s">
        <v>1305</v>
      </c>
      <c r="I87" s="37" t="s">
        <v>407</v>
      </c>
      <c r="J87" s="37" t="s">
        <v>407</v>
      </c>
      <c r="K87" s="119"/>
      <c r="L87" s="119"/>
      <c r="M87" s="37" t="s">
        <v>392</v>
      </c>
      <c r="N87" s="120"/>
      <c r="O87" s="121" t="s">
        <v>1332</v>
      </c>
      <c r="P87" s="130" t="s">
        <v>1313</v>
      </c>
      <c r="Q87" s="2"/>
      <c r="R87" s="2"/>
      <c r="S87" s="2"/>
      <c r="T87" s="2"/>
      <c r="U87" s="2"/>
      <c r="V87" s="2"/>
      <c r="W87" s="2"/>
      <c r="X87" s="2"/>
      <c r="Y87" s="2"/>
      <c r="Z87" s="2"/>
      <c r="AA87" s="2"/>
      <c r="AB87" s="2"/>
    </row>
    <row r="88" spans="1:28" ht="90.75" customHeight="1">
      <c r="A88" s="33">
        <v>76</v>
      </c>
      <c r="B88" s="43" t="s">
        <v>403</v>
      </c>
      <c r="C88" s="43"/>
      <c r="D88" s="41"/>
      <c r="E88" s="41" t="s">
        <v>404</v>
      </c>
      <c r="F88" s="3" t="s">
        <v>360</v>
      </c>
      <c r="G88" s="128" t="s">
        <v>405</v>
      </c>
      <c r="H88" s="124" t="s">
        <v>406</v>
      </c>
      <c r="I88" s="37" t="s">
        <v>407</v>
      </c>
      <c r="J88" s="51" t="s">
        <v>408</v>
      </c>
      <c r="K88" s="48"/>
      <c r="L88" s="48"/>
      <c r="M88" s="37" t="s">
        <v>409</v>
      </c>
      <c r="N88" s="110" t="s">
        <v>410</v>
      </c>
      <c r="O88" s="49"/>
      <c r="P88" s="49" t="s">
        <v>138</v>
      </c>
      <c r="Q88" s="2"/>
      <c r="R88" s="2"/>
      <c r="S88" s="2"/>
      <c r="T88" s="2"/>
      <c r="U88" s="2"/>
      <c r="V88" s="2"/>
      <c r="W88" s="2"/>
      <c r="X88" s="2"/>
      <c r="Y88" s="2"/>
      <c r="Z88" s="2"/>
      <c r="AA88" s="2"/>
      <c r="AB88" s="2"/>
    </row>
    <row r="89" spans="1:28" ht="90.75" customHeight="1">
      <c r="A89" s="30">
        <v>77</v>
      </c>
      <c r="B89" s="43" t="s">
        <v>403</v>
      </c>
      <c r="C89" s="43"/>
      <c r="D89" s="41">
        <v>5</v>
      </c>
      <c r="E89" s="41" t="s">
        <v>130</v>
      </c>
      <c r="F89" s="3" t="s">
        <v>411</v>
      </c>
      <c r="G89" s="128" t="s">
        <v>412</v>
      </c>
      <c r="H89" s="124" t="s">
        <v>413</v>
      </c>
      <c r="I89" s="51" t="s">
        <v>414</v>
      </c>
      <c r="J89" s="51" t="s">
        <v>414</v>
      </c>
      <c r="K89" s="48"/>
      <c r="L89" s="48"/>
      <c r="M89" s="37" t="s">
        <v>415</v>
      </c>
      <c r="N89" s="110" t="s">
        <v>416</v>
      </c>
      <c r="O89" s="49"/>
      <c r="P89" s="49" t="s">
        <v>417</v>
      </c>
      <c r="Q89" s="2"/>
      <c r="R89" s="2"/>
      <c r="S89" s="2"/>
      <c r="T89" s="2"/>
      <c r="U89" s="2"/>
      <c r="V89" s="2"/>
      <c r="W89" s="2"/>
      <c r="X89" s="2"/>
      <c r="Y89" s="2"/>
      <c r="Z89" s="2"/>
      <c r="AA89" s="2"/>
      <c r="AB89" s="2"/>
    </row>
    <row r="90" spans="1:28" ht="90.75" customHeight="1">
      <c r="A90" s="33">
        <v>78</v>
      </c>
      <c r="B90" s="46" t="s">
        <v>418</v>
      </c>
      <c r="C90" s="43"/>
      <c r="D90" s="47">
        <v>7</v>
      </c>
      <c r="E90" s="47" t="s">
        <v>130</v>
      </c>
      <c r="F90" s="123" t="s">
        <v>411</v>
      </c>
      <c r="G90" s="129" t="s">
        <v>419</v>
      </c>
      <c r="H90" s="125" t="s">
        <v>420</v>
      </c>
      <c r="I90" s="50" t="s">
        <v>414</v>
      </c>
      <c r="J90" s="50" t="s">
        <v>414</v>
      </c>
      <c r="K90" s="48"/>
      <c r="L90" s="48"/>
      <c r="M90" s="54" t="s">
        <v>421</v>
      </c>
      <c r="N90" s="110" t="s">
        <v>416</v>
      </c>
      <c r="O90" s="49"/>
      <c r="P90" s="49" t="s">
        <v>422</v>
      </c>
      <c r="Q90" s="2"/>
      <c r="R90" s="2"/>
      <c r="S90" s="2"/>
      <c r="T90" s="2"/>
      <c r="U90" s="2"/>
      <c r="V90" s="2"/>
      <c r="W90" s="2"/>
      <c r="X90" s="2"/>
      <c r="Y90" s="2"/>
      <c r="Z90" s="2"/>
      <c r="AA90" s="2"/>
      <c r="AB90" s="2"/>
    </row>
    <row r="91" spans="1:28" ht="90.75" customHeight="1">
      <c r="A91" s="30">
        <v>79</v>
      </c>
      <c r="B91" s="46" t="s">
        <v>418</v>
      </c>
      <c r="C91" s="43"/>
      <c r="D91" s="47">
        <v>10</v>
      </c>
      <c r="E91" s="47" t="s">
        <v>130</v>
      </c>
      <c r="F91" s="123" t="s">
        <v>411</v>
      </c>
      <c r="G91" s="129" t="s">
        <v>423</v>
      </c>
      <c r="H91" s="125" t="s">
        <v>420</v>
      </c>
      <c r="I91" s="50" t="s">
        <v>414</v>
      </c>
      <c r="J91" s="50" t="s">
        <v>414</v>
      </c>
      <c r="K91" s="48"/>
      <c r="L91" s="48"/>
      <c r="M91" s="54" t="s">
        <v>424</v>
      </c>
      <c r="N91" s="110" t="s">
        <v>416</v>
      </c>
      <c r="O91" s="49"/>
      <c r="P91" s="49" t="s">
        <v>425</v>
      </c>
      <c r="Q91" s="2"/>
      <c r="R91" s="2"/>
      <c r="S91" s="2"/>
      <c r="T91" s="2"/>
      <c r="U91" s="2"/>
      <c r="V91" s="2"/>
      <c r="W91" s="2"/>
      <c r="X91" s="2"/>
      <c r="Y91" s="2"/>
      <c r="Z91" s="2"/>
      <c r="AA91" s="2"/>
      <c r="AB91" s="2"/>
    </row>
    <row r="92" spans="1:28" ht="90.75" customHeight="1">
      <c r="A92" s="33">
        <v>80</v>
      </c>
      <c r="B92" s="46" t="s">
        <v>418</v>
      </c>
      <c r="C92" s="43"/>
      <c r="D92" s="47">
        <v>10</v>
      </c>
      <c r="E92" s="47" t="s">
        <v>130</v>
      </c>
      <c r="F92" s="54" t="s">
        <v>411</v>
      </c>
      <c r="G92" s="126" t="s">
        <v>426</v>
      </c>
      <c r="H92" s="54" t="s">
        <v>427</v>
      </c>
      <c r="I92" s="50" t="s">
        <v>414</v>
      </c>
      <c r="J92" s="50" t="s">
        <v>414</v>
      </c>
      <c r="K92" s="48"/>
      <c r="L92" s="48"/>
      <c r="M92" s="54" t="s">
        <v>428</v>
      </c>
      <c r="N92" s="110" t="s">
        <v>429</v>
      </c>
      <c r="O92" s="49"/>
      <c r="P92" s="49" t="s">
        <v>430</v>
      </c>
      <c r="Q92" s="2"/>
      <c r="R92" s="2"/>
      <c r="S92" s="2"/>
      <c r="T92" s="2"/>
      <c r="U92" s="2"/>
      <c r="V92" s="2"/>
      <c r="W92" s="2"/>
      <c r="X92" s="2"/>
      <c r="Y92" s="2"/>
      <c r="Z92" s="2"/>
      <c r="AA92" s="2"/>
      <c r="AB92" s="2"/>
    </row>
    <row r="93" spans="1:28" ht="90.75" customHeight="1">
      <c r="A93" s="30">
        <v>81</v>
      </c>
      <c r="B93" s="43" t="s">
        <v>431</v>
      </c>
      <c r="C93" s="43"/>
      <c r="D93" s="41">
        <v>10</v>
      </c>
      <c r="E93" s="41" t="s">
        <v>130</v>
      </c>
      <c r="F93" s="37" t="s">
        <v>432</v>
      </c>
      <c r="G93" s="37" t="s">
        <v>433</v>
      </c>
      <c r="H93" s="37" t="s">
        <v>434</v>
      </c>
      <c r="I93" s="37" t="s">
        <v>435</v>
      </c>
      <c r="J93" s="51" t="s">
        <v>366</v>
      </c>
      <c r="K93" s="48"/>
      <c r="L93" s="48"/>
      <c r="M93" s="37" t="s">
        <v>436</v>
      </c>
      <c r="N93" s="110" t="s">
        <v>437</v>
      </c>
      <c r="O93" s="49"/>
      <c r="P93" s="49" t="s">
        <v>438</v>
      </c>
      <c r="Q93" s="2"/>
      <c r="R93" s="2"/>
      <c r="S93" s="2"/>
      <c r="T93" s="2"/>
      <c r="U93" s="2"/>
      <c r="V93" s="2"/>
      <c r="W93" s="2"/>
      <c r="X93" s="2"/>
      <c r="Y93" s="2"/>
      <c r="Z93" s="2"/>
      <c r="AA93" s="2"/>
      <c r="AB93" s="2"/>
    </row>
    <row r="94" spans="1:28" ht="90.75" customHeight="1">
      <c r="A94" s="33">
        <v>82</v>
      </c>
      <c r="B94" s="43" t="s">
        <v>431</v>
      </c>
      <c r="C94" s="43"/>
      <c r="D94" s="41">
        <v>10</v>
      </c>
      <c r="E94" s="41" t="s">
        <v>130</v>
      </c>
      <c r="F94" s="37" t="s">
        <v>432</v>
      </c>
      <c r="G94" s="37" t="s">
        <v>439</v>
      </c>
      <c r="H94" s="37" t="s">
        <v>434</v>
      </c>
      <c r="I94" s="37" t="s">
        <v>435</v>
      </c>
      <c r="J94" s="51" t="s">
        <v>366</v>
      </c>
      <c r="K94" s="48"/>
      <c r="L94" s="48"/>
      <c r="M94" s="37" t="s">
        <v>436</v>
      </c>
      <c r="N94" s="110" t="s">
        <v>437</v>
      </c>
      <c r="O94" s="49"/>
      <c r="P94" s="49" t="s">
        <v>440</v>
      </c>
      <c r="Q94" s="2"/>
      <c r="R94" s="2"/>
      <c r="S94" s="2"/>
      <c r="T94" s="2"/>
      <c r="U94" s="2"/>
      <c r="V94" s="2"/>
      <c r="W94" s="2"/>
      <c r="X94" s="2"/>
      <c r="Y94" s="2"/>
      <c r="Z94" s="2"/>
      <c r="AA94" s="2"/>
      <c r="AB94" s="2"/>
    </row>
    <row r="95" spans="1:28" ht="90.75" customHeight="1">
      <c r="A95" s="30">
        <v>83</v>
      </c>
      <c r="B95" s="43" t="s">
        <v>361</v>
      </c>
      <c r="C95" s="43"/>
      <c r="D95" s="41">
        <v>25</v>
      </c>
      <c r="E95" s="41" t="s">
        <v>130</v>
      </c>
      <c r="F95" s="37" t="s">
        <v>432</v>
      </c>
      <c r="G95" s="52" t="s">
        <v>441</v>
      </c>
      <c r="H95" s="37" t="s">
        <v>434</v>
      </c>
      <c r="I95" s="37" t="s">
        <v>435</v>
      </c>
      <c r="J95" s="51" t="s">
        <v>366</v>
      </c>
      <c r="K95" s="48"/>
      <c r="L95" s="48"/>
      <c r="M95" s="37" t="s">
        <v>442</v>
      </c>
      <c r="N95" s="110" t="s">
        <v>437</v>
      </c>
      <c r="O95" s="49"/>
      <c r="P95" s="49" t="s">
        <v>443</v>
      </c>
      <c r="Q95" s="2"/>
      <c r="R95" s="2"/>
      <c r="S95" s="2"/>
      <c r="T95" s="2"/>
      <c r="U95" s="2"/>
      <c r="V95" s="2"/>
      <c r="W95" s="2"/>
      <c r="X95" s="2"/>
      <c r="Y95" s="2"/>
      <c r="Z95" s="2"/>
      <c r="AA95" s="2"/>
      <c r="AB95" s="2"/>
    </row>
    <row r="96" spans="1:28" ht="106.5" customHeight="1">
      <c r="A96" s="30">
        <v>85</v>
      </c>
      <c r="B96" s="43" t="s">
        <v>444</v>
      </c>
      <c r="C96" s="43"/>
      <c r="D96" s="41">
        <v>10</v>
      </c>
      <c r="E96" s="41" t="s">
        <v>216</v>
      </c>
      <c r="F96" s="37" t="s">
        <v>447</v>
      </c>
      <c r="G96" s="37" t="s">
        <v>448</v>
      </c>
      <c r="H96" s="37" t="s">
        <v>449</v>
      </c>
      <c r="I96" s="37" t="s">
        <v>447</v>
      </c>
      <c r="J96" s="37" t="s">
        <v>447</v>
      </c>
      <c r="K96" s="48"/>
      <c r="L96" s="48"/>
      <c r="M96" s="37" t="s">
        <v>349</v>
      </c>
      <c r="N96" s="110" t="s">
        <v>445</v>
      </c>
      <c r="O96" s="49"/>
      <c r="P96" s="49" t="s">
        <v>446</v>
      </c>
      <c r="Q96" s="2"/>
      <c r="R96" s="2"/>
      <c r="S96" s="2"/>
      <c r="T96" s="2"/>
      <c r="U96" s="2"/>
      <c r="V96" s="2"/>
      <c r="W96" s="2"/>
      <c r="X96" s="2"/>
      <c r="Y96" s="2"/>
      <c r="Z96" s="2"/>
      <c r="AA96" s="2"/>
      <c r="AB96" s="2"/>
    </row>
    <row r="97" spans="1:28" ht="90.75" customHeight="1" thickBot="1">
      <c r="A97" s="33">
        <v>86</v>
      </c>
      <c r="B97" s="43" t="s">
        <v>444</v>
      </c>
      <c r="C97" s="43"/>
      <c r="D97" s="41">
        <v>2</v>
      </c>
      <c r="E97" s="41" t="s">
        <v>130</v>
      </c>
      <c r="F97" s="37" t="s">
        <v>450</v>
      </c>
      <c r="G97" s="37" t="s">
        <v>451</v>
      </c>
      <c r="H97" s="37" t="s">
        <v>452</v>
      </c>
      <c r="I97" s="37" t="s">
        <v>450</v>
      </c>
      <c r="J97" s="51" t="s">
        <v>366</v>
      </c>
      <c r="K97" s="48"/>
      <c r="L97" s="48"/>
      <c r="M97" s="37" t="s">
        <v>453</v>
      </c>
      <c r="N97" s="110" t="s">
        <v>454</v>
      </c>
      <c r="O97" s="49"/>
      <c r="P97" s="49" t="s">
        <v>455</v>
      </c>
      <c r="Q97" s="2"/>
      <c r="R97" s="2"/>
      <c r="S97" s="2"/>
      <c r="T97" s="2"/>
      <c r="U97" s="2"/>
      <c r="V97" s="2"/>
      <c r="W97" s="2"/>
      <c r="X97" s="2"/>
      <c r="Y97" s="2"/>
      <c r="Z97" s="2"/>
      <c r="AA97" s="2"/>
      <c r="AB97" s="2"/>
    </row>
    <row r="98" spans="1:28" ht="90.75" customHeight="1" thickBot="1">
      <c r="A98" s="30">
        <v>87</v>
      </c>
      <c r="B98" s="152" t="s">
        <v>444</v>
      </c>
      <c r="C98" s="152"/>
      <c r="D98" s="152">
        <v>1</v>
      </c>
      <c r="E98" s="152" t="s">
        <v>130</v>
      </c>
      <c r="F98" s="152" t="s">
        <v>450</v>
      </c>
      <c r="G98" s="153" t="s">
        <v>1357</v>
      </c>
      <c r="H98" s="152" t="s">
        <v>452</v>
      </c>
      <c r="I98" s="152" t="s">
        <v>450</v>
      </c>
      <c r="J98" s="152" t="s">
        <v>1358</v>
      </c>
      <c r="K98" s="152">
        <v>76211.000734891131</v>
      </c>
      <c r="L98" s="152">
        <f>K98*0.19</f>
        <v>14480.090139629316</v>
      </c>
      <c r="M98" s="152" t="s">
        <v>453</v>
      </c>
      <c r="N98" s="152" t="s">
        <v>457</v>
      </c>
      <c r="O98" s="152"/>
      <c r="P98" s="152" t="s">
        <v>1359</v>
      </c>
      <c r="Q98" s="2"/>
      <c r="R98" s="2"/>
      <c r="S98" s="2"/>
      <c r="T98" s="2"/>
      <c r="U98" s="2"/>
      <c r="V98" s="2"/>
      <c r="W98" s="2"/>
      <c r="X98" s="2"/>
      <c r="Y98" s="2"/>
      <c r="Z98" s="2"/>
      <c r="AA98" s="2"/>
      <c r="AB98" s="2"/>
    </row>
    <row r="99" spans="1:28" ht="90.75" customHeight="1" thickBot="1">
      <c r="A99" s="33">
        <v>88</v>
      </c>
      <c r="B99" s="152" t="s">
        <v>444</v>
      </c>
      <c r="C99" s="152"/>
      <c r="D99" s="152">
        <v>1</v>
      </c>
      <c r="E99" s="152" t="s">
        <v>130</v>
      </c>
      <c r="F99" s="152" t="s">
        <v>450</v>
      </c>
      <c r="G99" s="153" t="s">
        <v>1360</v>
      </c>
      <c r="H99" s="152" t="s">
        <v>452</v>
      </c>
      <c r="I99" s="152" t="s">
        <v>450</v>
      </c>
      <c r="J99" s="152" t="s">
        <v>1358</v>
      </c>
      <c r="K99" s="152">
        <v>76211.000734891131</v>
      </c>
      <c r="L99" s="152">
        <f>K99*0.19</f>
        <v>14480.090139629316</v>
      </c>
      <c r="M99" s="152" t="s">
        <v>453</v>
      </c>
      <c r="N99" s="152" t="s">
        <v>457</v>
      </c>
      <c r="O99" s="152"/>
      <c r="P99" s="152" t="s">
        <v>1361</v>
      </c>
      <c r="Q99" s="2"/>
      <c r="R99" s="2"/>
      <c r="S99" s="2"/>
      <c r="T99" s="2"/>
      <c r="U99" s="2"/>
      <c r="V99" s="2"/>
      <c r="W99" s="2"/>
      <c r="X99" s="2"/>
      <c r="Y99" s="2"/>
      <c r="Z99" s="2"/>
      <c r="AA99" s="2"/>
      <c r="AB99" s="2"/>
    </row>
    <row r="100" spans="1:28" ht="90.75" customHeight="1">
      <c r="A100" s="30">
        <v>89</v>
      </c>
      <c r="B100" s="43" t="s">
        <v>444</v>
      </c>
      <c r="C100" s="43"/>
      <c r="D100" s="41">
        <v>2</v>
      </c>
      <c r="E100" s="41" t="s">
        <v>130</v>
      </c>
      <c r="F100" s="37" t="s">
        <v>450</v>
      </c>
      <c r="G100" s="37" t="s">
        <v>456</v>
      </c>
      <c r="H100" s="37" t="s">
        <v>452</v>
      </c>
      <c r="I100" s="37" t="s">
        <v>450</v>
      </c>
      <c r="J100" s="51" t="s">
        <v>366</v>
      </c>
      <c r="K100" s="48"/>
      <c r="L100" s="48"/>
      <c r="M100" s="37" t="s">
        <v>453</v>
      </c>
      <c r="N100" s="110" t="s">
        <v>457</v>
      </c>
      <c r="O100" s="49"/>
      <c r="P100" s="49" t="s">
        <v>458</v>
      </c>
      <c r="Q100" s="2"/>
      <c r="R100" s="2"/>
      <c r="S100" s="2"/>
      <c r="T100" s="2"/>
      <c r="U100" s="2"/>
      <c r="V100" s="2"/>
      <c r="W100" s="2"/>
      <c r="X100" s="2"/>
      <c r="Y100" s="2"/>
      <c r="Z100" s="2"/>
      <c r="AA100" s="2"/>
      <c r="AB100" s="2"/>
    </row>
    <row r="101" spans="1:28" ht="90.75" customHeight="1">
      <c r="A101" s="33">
        <v>90</v>
      </c>
      <c r="B101" s="43" t="s">
        <v>444</v>
      </c>
      <c r="C101" s="43"/>
      <c r="D101" s="41">
        <v>2</v>
      </c>
      <c r="E101" s="41" t="s">
        <v>130</v>
      </c>
      <c r="F101" s="37" t="s">
        <v>450</v>
      </c>
      <c r="G101" s="37" t="s">
        <v>459</v>
      </c>
      <c r="H101" s="37" t="s">
        <v>452</v>
      </c>
      <c r="I101" s="37" t="s">
        <v>450</v>
      </c>
      <c r="J101" s="51" t="s">
        <v>366</v>
      </c>
      <c r="K101" s="48"/>
      <c r="L101" s="48"/>
      <c r="M101" s="37" t="s">
        <v>453</v>
      </c>
      <c r="N101" s="110" t="s">
        <v>460</v>
      </c>
      <c r="O101" s="49"/>
      <c r="P101" s="49" t="s">
        <v>461</v>
      </c>
      <c r="Q101" s="2"/>
      <c r="R101" s="2"/>
      <c r="S101" s="2"/>
      <c r="T101" s="2"/>
      <c r="U101" s="2"/>
      <c r="V101" s="2"/>
      <c r="W101" s="2"/>
      <c r="X101" s="2"/>
      <c r="Y101" s="2"/>
      <c r="Z101" s="2"/>
      <c r="AA101" s="2"/>
      <c r="AB101" s="2"/>
    </row>
    <row r="102" spans="1:28" ht="90.75" customHeight="1">
      <c r="A102" s="30">
        <v>91</v>
      </c>
      <c r="B102" s="43" t="s">
        <v>444</v>
      </c>
      <c r="C102" s="43"/>
      <c r="D102" s="41">
        <v>2</v>
      </c>
      <c r="E102" s="41" t="s">
        <v>130</v>
      </c>
      <c r="F102" s="37" t="s">
        <v>450</v>
      </c>
      <c r="G102" s="37" t="s">
        <v>462</v>
      </c>
      <c r="H102" s="37" t="s">
        <v>452</v>
      </c>
      <c r="I102" s="37" t="s">
        <v>450</v>
      </c>
      <c r="J102" s="51" t="s">
        <v>366</v>
      </c>
      <c r="K102" s="48"/>
      <c r="L102" s="48"/>
      <c r="M102" s="37" t="s">
        <v>453</v>
      </c>
      <c r="N102" s="110" t="s">
        <v>463</v>
      </c>
      <c r="O102" s="49"/>
      <c r="P102" s="49" t="s">
        <v>464</v>
      </c>
      <c r="Q102" s="2"/>
      <c r="R102" s="2"/>
      <c r="S102" s="2"/>
      <c r="T102" s="2"/>
      <c r="U102" s="2"/>
      <c r="V102" s="2"/>
      <c r="W102" s="2"/>
      <c r="X102" s="2"/>
      <c r="Y102" s="2"/>
      <c r="Z102" s="2"/>
      <c r="AA102" s="2"/>
      <c r="AB102" s="2"/>
    </row>
    <row r="103" spans="1:28" ht="90.75" customHeight="1">
      <c r="A103" s="33">
        <v>92</v>
      </c>
      <c r="B103" s="43" t="s">
        <v>444</v>
      </c>
      <c r="C103" s="43"/>
      <c r="D103" s="41">
        <v>2</v>
      </c>
      <c r="E103" s="41" t="s">
        <v>130</v>
      </c>
      <c r="F103" s="37" t="s">
        <v>450</v>
      </c>
      <c r="G103" s="37" t="s">
        <v>465</v>
      </c>
      <c r="H103" s="37" t="s">
        <v>452</v>
      </c>
      <c r="I103" s="37" t="s">
        <v>450</v>
      </c>
      <c r="J103" s="51" t="s">
        <v>366</v>
      </c>
      <c r="K103" s="48"/>
      <c r="L103" s="48"/>
      <c r="M103" s="37" t="s">
        <v>453</v>
      </c>
      <c r="N103" s="110" t="s">
        <v>466</v>
      </c>
      <c r="O103" s="49"/>
      <c r="P103" s="49" t="s">
        <v>467</v>
      </c>
      <c r="Q103" s="2"/>
      <c r="R103" s="2"/>
      <c r="S103" s="2"/>
      <c r="T103" s="2"/>
      <c r="U103" s="2"/>
      <c r="V103" s="2"/>
      <c r="W103" s="2"/>
      <c r="X103" s="2"/>
      <c r="Y103" s="2"/>
      <c r="Z103" s="2"/>
      <c r="AA103" s="2"/>
      <c r="AB103" s="2"/>
    </row>
    <row r="104" spans="1:28" ht="108.75" customHeight="1">
      <c r="A104" s="30">
        <v>93</v>
      </c>
      <c r="B104" s="43" t="s">
        <v>468</v>
      </c>
      <c r="C104" s="43"/>
      <c r="D104" s="41">
        <v>4</v>
      </c>
      <c r="E104" s="41" t="s">
        <v>130</v>
      </c>
      <c r="F104" s="37" t="s">
        <v>469</v>
      </c>
      <c r="G104" s="37" t="s">
        <v>470</v>
      </c>
      <c r="H104" s="37" t="s">
        <v>471</v>
      </c>
      <c r="I104" s="37" t="s">
        <v>472</v>
      </c>
      <c r="J104" s="51" t="s">
        <v>366</v>
      </c>
      <c r="K104" s="48"/>
      <c r="L104" s="48"/>
      <c r="M104" s="37" t="s">
        <v>473</v>
      </c>
      <c r="N104" s="110" t="s">
        <v>474</v>
      </c>
      <c r="O104" s="49"/>
      <c r="P104" s="49" t="s">
        <v>475</v>
      </c>
      <c r="Q104" s="2"/>
      <c r="R104" s="2"/>
      <c r="S104" s="2"/>
      <c r="T104" s="2"/>
      <c r="U104" s="2"/>
      <c r="V104" s="2"/>
      <c r="W104" s="2"/>
      <c r="X104" s="2"/>
      <c r="Y104" s="2"/>
      <c r="Z104" s="2"/>
      <c r="AA104" s="2"/>
      <c r="AB104" s="2"/>
    </row>
    <row r="105" spans="1:28" ht="90.75" customHeight="1">
      <c r="A105" s="33">
        <v>94</v>
      </c>
      <c r="B105" s="43" t="s">
        <v>468</v>
      </c>
      <c r="C105" s="43"/>
      <c r="D105" s="41">
        <v>3</v>
      </c>
      <c r="E105" s="41" t="s">
        <v>130</v>
      </c>
      <c r="F105" s="37" t="s">
        <v>476</v>
      </c>
      <c r="G105" s="37" t="s">
        <v>477</v>
      </c>
      <c r="H105" s="37" t="s">
        <v>478</v>
      </c>
      <c r="I105" s="37" t="s">
        <v>479</v>
      </c>
      <c r="J105" s="51" t="s">
        <v>366</v>
      </c>
      <c r="K105" s="48"/>
      <c r="L105" s="48"/>
      <c r="M105" s="37" t="s">
        <v>480</v>
      </c>
      <c r="N105" s="110" t="s">
        <v>481</v>
      </c>
      <c r="O105" s="49"/>
      <c r="P105" s="49" t="s">
        <v>482</v>
      </c>
      <c r="Q105" s="2"/>
      <c r="R105" s="2"/>
      <c r="S105" s="2"/>
      <c r="T105" s="2"/>
      <c r="U105" s="2"/>
      <c r="V105" s="2"/>
      <c r="W105" s="2"/>
      <c r="X105" s="2"/>
      <c r="Y105" s="2"/>
      <c r="Z105" s="2"/>
      <c r="AA105" s="2"/>
      <c r="AB105" s="2"/>
    </row>
    <row r="106" spans="1:28" ht="90.75" customHeight="1">
      <c r="A106" s="30">
        <v>95</v>
      </c>
      <c r="B106" s="43" t="s">
        <v>483</v>
      </c>
      <c r="C106" s="43"/>
      <c r="D106" s="41">
        <v>27</v>
      </c>
      <c r="E106" s="41" t="s">
        <v>130</v>
      </c>
      <c r="F106" s="37" t="s">
        <v>476</v>
      </c>
      <c r="G106" s="37" t="s">
        <v>484</v>
      </c>
      <c r="H106" s="37" t="s">
        <v>485</v>
      </c>
      <c r="I106" s="37" t="s">
        <v>479</v>
      </c>
      <c r="J106" s="51" t="s">
        <v>366</v>
      </c>
      <c r="K106" s="48"/>
      <c r="L106" s="48"/>
      <c r="M106" s="37" t="s">
        <v>486</v>
      </c>
      <c r="N106" s="110" t="s">
        <v>487</v>
      </c>
      <c r="O106" s="49"/>
      <c r="P106" s="140" t="s">
        <v>488</v>
      </c>
      <c r="Q106" s="2"/>
      <c r="R106" s="2"/>
      <c r="S106" s="2"/>
      <c r="T106" s="2"/>
      <c r="U106" s="2"/>
      <c r="V106" s="2"/>
      <c r="W106" s="2"/>
      <c r="X106" s="2"/>
      <c r="Y106" s="2"/>
      <c r="Z106" s="2"/>
      <c r="AA106" s="2"/>
      <c r="AB106" s="2"/>
    </row>
    <row r="107" spans="1:28" ht="14.25" customHeight="1">
      <c r="A107" s="33">
        <v>96</v>
      </c>
      <c r="B107" s="136" t="s">
        <v>468</v>
      </c>
      <c r="C107" s="116"/>
      <c r="D107" s="117">
        <v>7</v>
      </c>
      <c r="E107" s="118" t="s">
        <v>130</v>
      </c>
      <c r="F107" s="118" t="s">
        <v>469</v>
      </c>
      <c r="G107" s="118" t="s">
        <v>1328</v>
      </c>
      <c r="H107" s="118" t="s">
        <v>471</v>
      </c>
      <c r="I107" s="118" t="s">
        <v>472</v>
      </c>
      <c r="J107" s="118" t="s">
        <v>366</v>
      </c>
      <c r="K107" s="137">
        <f>20000*D107</f>
        <v>140000</v>
      </c>
      <c r="L107" s="138">
        <f t="shared" ref="L107" si="6">K107*0.19</f>
        <v>26600</v>
      </c>
      <c r="M107" s="118" t="s">
        <v>473</v>
      </c>
      <c r="N107" s="110" t="s">
        <v>466</v>
      </c>
      <c r="O107" s="139"/>
      <c r="P107" s="143" t="s">
        <v>1329</v>
      </c>
      <c r="Q107" s="2"/>
      <c r="R107" s="2"/>
      <c r="S107" s="2"/>
      <c r="T107" s="2"/>
      <c r="U107" s="2"/>
      <c r="V107" s="2"/>
      <c r="W107" s="2"/>
      <c r="X107" s="2"/>
      <c r="Y107" s="2"/>
      <c r="Z107" s="2"/>
      <c r="AA107" s="2"/>
      <c r="AB107" s="2"/>
    </row>
    <row r="108" spans="1:28" ht="14.25" customHeight="1">
      <c r="A108" s="30">
        <v>97</v>
      </c>
      <c r="B108" s="136" t="s">
        <v>468</v>
      </c>
      <c r="C108" s="116"/>
      <c r="D108" s="117">
        <v>8</v>
      </c>
      <c r="E108" s="118" t="s">
        <v>130</v>
      </c>
      <c r="F108" s="118" t="s">
        <v>469</v>
      </c>
      <c r="G108" s="118" t="s">
        <v>1330</v>
      </c>
      <c r="H108" s="118" t="s">
        <v>471</v>
      </c>
      <c r="I108" s="118" t="s">
        <v>472</v>
      </c>
      <c r="J108" s="118" t="s">
        <v>366</v>
      </c>
      <c r="K108" s="137">
        <f>20000*D108</f>
        <v>160000</v>
      </c>
      <c r="L108" s="138">
        <f t="shared" ref="L108" si="7">K108*0.19</f>
        <v>30400</v>
      </c>
      <c r="M108" s="118" t="s">
        <v>473</v>
      </c>
      <c r="N108" s="110" t="s">
        <v>466</v>
      </c>
      <c r="O108" s="139"/>
      <c r="P108" s="142" t="s">
        <v>1331</v>
      </c>
      <c r="Q108" s="2"/>
      <c r="R108" s="2"/>
      <c r="S108" s="2"/>
      <c r="T108" s="2"/>
      <c r="U108" s="2"/>
      <c r="V108" s="2"/>
      <c r="W108" s="2"/>
      <c r="X108" s="2"/>
      <c r="Y108" s="2"/>
      <c r="Z108" s="2"/>
      <c r="AA108" s="2"/>
      <c r="AB108" s="2"/>
    </row>
    <row r="109" spans="1:28" ht="14.25" customHeight="1" thickBot="1">
      <c r="A109" s="33">
        <v>98</v>
      </c>
      <c r="B109" s="146" t="s">
        <v>1341</v>
      </c>
      <c r="C109" s="147"/>
      <c r="D109" s="148">
        <v>1</v>
      </c>
      <c r="E109" s="149" t="s">
        <v>231</v>
      </c>
      <c r="F109" s="146" t="s">
        <v>323</v>
      </c>
      <c r="G109" s="146" t="s">
        <v>1342</v>
      </c>
      <c r="H109" s="146" t="s">
        <v>325</v>
      </c>
      <c r="I109" s="146" t="s">
        <v>323</v>
      </c>
      <c r="J109" s="146" t="s">
        <v>326</v>
      </c>
      <c r="K109" s="150">
        <f>1020000*D109</f>
        <v>1020000</v>
      </c>
      <c r="L109" s="151">
        <f t="shared" ref="L109:L112" si="8">K109*0.19</f>
        <v>193800</v>
      </c>
      <c r="M109" s="40" t="s">
        <v>327</v>
      </c>
      <c r="N109" s="154" t="s">
        <v>1371</v>
      </c>
      <c r="O109" s="49"/>
      <c r="P109" s="141" t="s">
        <v>1279</v>
      </c>
      <c r="Q109" s="2"/>
      <c r="R109" s="2"/>
      <c r="S109" s="2"/>
      <c r="T109" s="2"/>
      <c r="U109" s="2"/>
      <c r="V109" s="2"/>
      <c r="W109" s="2"/>
      <c r="X109" s="2"/>
      <c r="Y109" s="2"/>
      <c r="Z109" s="2"/>
      <c r="AA109" s="2"/>
      <c r="AB109" s="2"/>
    </row>
    <row r="110" spans="1:28" ht="14.25" customHeight="1" thickBot="1">
      <c r="A110" s="30">
        <v>99</v>
      </c>
      <c r="B110" s="152" t="s">
        <v>361</v>
      </c>
      <c r="C110" s="152"/>
      <c r="D110" s="152">
        <v>9</v>
      </c>
      <c r="E110" s="152" t="s">
        <v>130</v>
      </c>
      <c r="F110" s="153" t="s">
        <v>1362</v>
      </c>
      <c r="G110" s="153" t="s">
        <v>441</v>
      </c>
      <c r="H110" s="152" t="s">
        <v>1363</v>
      </c>
      <c r="I110" s="153" t="s">
        <v>1364</v>
      </c>
      <c r="J110" s="152" t="s">
        <v>1365</v>
      </c>
      <c r="K110" s="152">
        <v>1650924.3697478992</v>
      </c>
      <c r="L110" s="152">
        <f t="shared" si="8"/>
        <v>313675.63025210088</v>
      </c>
      <c r="M110" s="153" t="s">
        <v>1366</v>
      </c>
      <c r="N110" s="152" t="s">
        <v>1367</v>
      </c>
      <c r="O110" s="152"/>
      <c r="P110" s="152" t="s">
        <v>1368</v>
      </c>
      <c r="Q110" s="2"/>
      <c r="R110" s="2"/>
      <c r="S110" s="2"/>
      <c r="T110" s="2"/>
      <c r="U110" s="2"/>
      <c r="V110" s="2"/>
      <c r="W110" s="2"/>
      <c r="X110" s="2"/>
      <c r="Y110" s="2"/>
      <c r="Z110" s="2"/>
      <c r="AA110" s="2"/>
      <c r="AB110" s="2"/>
    </row>
    <row r="111" spans="1:28" ht="14.25" customHeight="1" thickBot="1">
      <c r="A111" s="33">
        <v>100</v>
      </c>
      <c r="B111" s="152" t="s">
        <v>361</v>
      </c>
      <c r="C111" s="152"/>
      <c r="D111" s="152">
        <v>14</v>
      </c>
      <c r="E111" s="152" t="s">
        <v>130</v>
      </c>
      <c r="F111" s="153" t="s">
        <v>1362</v>
      </c>
      <c r="G111" s="153" t="s">
        <v>433</v>
      </c>
      <c r="H111" s="152" t="s">
        <v>1363</v>
      </c>
      <c r="I111" s="153" t="s">
        <v>1364</v>
      </c>
      <c r="J111" s="152" t="s">
        <v>1365</v>
      </c>
      <c r="K111" s="152">
        <v>1875294.1176470618</v>
      </c>
      <c r="L111" s="152">
        <f t="shared" si="8"/>
        <v>356305.88235294173</v>
      </c>
      <c r="M111" s="153" t="s">
        <v>1366</v>
      </c>
      <c r="N111" s="152" t="s">
        <v>1367</v>
      </c>
      <c r="O111" s="152"/>
      <c r="P111" s="152" t="s">
        <v>1369</v>
      </c>
      <c r="Q111" s="2"/>
      <c r="R111" s="2"/>
      <c r="S111" s="2"/>
      <c r="T111" s="2"/>
      <c r="U111" s="2"/>
      <c r="V111" s="2"/>
      <c r="W111" s="2"/>
      <c r="X111" s="2"/>
      <c r="Y111" s="2"/>
      <c r="Z111" s="2"/>
      <c r="AA111" s="2"/>
      <c r="AB111" s="2"/>
    </row>
    <row r="112" spans="1:28" ht="14.25" customHeight="1" thickBot="1">
      <c r="A112" s="30">
        <v>101</v>
      </c>
      <c r="B112" s="152" t="s">
        <v>361</v>
      </c>
      <c r="C112" s="152"/>
      <c r="D112" s="152">
        <v>17</v>
      </c>
      <c r="E112" s="152" t="s">
        <v>130</v>
      </c>
      <c r="F112" s="153" t="s">
        <v>1362</v>
      </c>
      <c r="G112" s="153" t="s">
        <v>439</v>
      </c>
      <c r="H112" s="152" t="s">
        <v>1363</v>
      </c>
      <c r="I112" s="153" t="s">
        <v>1364</v>
      </c>
      <c r="J112" s="152" t="s">
        <v>1365</v>
      </c>
      <c r="K112" s="152">
        <v>752857.14285714284</v>
      </c>
      <c r="L112" s="152">
        <f t="shared" si="8"/>
        <v>143042.85714285713</v>
      </c>
      <c r="M112" s="153" t="s">
        <v>1366</v>
      </c>
      <c r="N112" s="152" t="s">
        <v>1367</v>
      </c>
      <c r="O112" s="152"/>
      <c r="P112" s="152" t="s">
        <v>1370</v>
      </c>
      <c r="Q112" s="2"/>
      <c r="R112" s="2"/>
      <c r="S112" s="2"/>
      <c r="T112" s="2"/>
      <c r="U112" s="2"/>
      <c r="V112" s="2"/>
      <c r="W112" s="2"/>
      <c r="X112" s="2"/>
      <c r="Y112" s="2"/>
      <c r="Z112" s="2"/>
      <c r="AA112" s="2"/>
      <c r="AB112" s="2"/>
    </row>
    <row r="113" spans="1:28" ht="14.25" customHeight="1">
      <c r="A113" s="33">
        <v>102</v>
      </c>
      <c r="B113" s="40"/>
      <c r="C113" s="37"/>
      <c r="D113" s="41"/>
      <c r="E113" s="41"/>
      <c r="F113" s="37"/>
      <c r="G113" s="37"/>
      <c r="H113" s="40"/>
      <c r="I113" s="37"/>
      <c r="J113" s="37"/>
      <c r="K113" s="55"/>
      <c r="L113" s="56"/>
      <c r="M113" s="40"/>
      <c r="N113" s="54"/>
      <c r="O113" s="2"/>
      <c r="P113" s="2"/>
      <c r="Q113" s="2"/>
      <c r="R113" s="2"/>
      <c r="S113" s="2"/>
      <c r="T113" s="2"/>
      <c r="U113" s="2"/>
      <c r="V113" s="2"/>
      <c r="W113" s="2"/>
      <c r="X113" s="2"/>
      <c r="Y113" s="2"/>
      <c r="Z113" s="2"/>
      <c r="AA113" s="2"/>
      <c r="AB113" s="2"/>
    </row>
    <row r="114" spans="1:28" ht="14.25" customHeight="1">
      <c r="A114" s="47">
        <v>98</v>
      </c>
      <c r="B114" s="40"/>
      <c r="C114" s="37"/>
      <c r="D114" s="41"/>
      <c r="E114" s="41"/>
      <c r="F114" s="37"/>
      <c r="G114" s="37"/>
      <c r="H114" s="40"/>
      <c r="I114" s="37"/>
      <c r="J114" s="37"/>
      <c r="K114" s="55"/>
      <c r="L114" s="56"/>
      <c r="M114" s="40"/>
      <c r="N114" s="54"/>
      <c r="O114" s="2"/>
      <c r="P114" s="2"/>
      <c r="Q114" s="2"/>
      <c r="R114" s="2"/>
      <c r="S114" s="2"/>
      <c r="T114" s="2"/>
      <c r="U114" s="2"/>
      <c r="V114" s="2"/>
      <c r="W114" s="2"/>
      <c r="X114" s="2"/>
      <c r="Y114" s="2"/>
      <c r="Z114" s="2"/>
      <c r="AA114" s="2"/>
      <c r="AB114" s="2"/>
    </row>
    <row r="115" spans="1:28" ht="14.25" customHeight="1">
      <c r="A115" s="47">
        <v>99</v>
      </c>
      <c r="B115" s="40"/>
      <c r="C115" s="37"/>
      <c r="D115" s="41"/>
      <c r="E115" s="41"/>
      <c r="F115" s="37"/>
      <c r="G115" s="37"/>
      <c r="H115" s="40"/>
      <c r="I115" s="37"/>
      <c r="J115" s="37"/>
      <c r="K115" s="55"/>
      <c r="L115" s="56"/>
      <c r="M115" s="40"/>
      <c r="N115" s="54"/>
      <c r="O115" s="2"/>
      <c r="P115" s="2"/>
      <c r="Q115" s="2"/>
      <c r="R115" s="2"/>
      <c r="S115" s="2"/>
      <c r="T115" s="2"/>
      <c r="U115" s="2"/>
      <c r="V115" s="2"/>
      <c r="W115" s="2"/>
      <c r="X115" s="2"/>
      <c r="Y115" s="2"/>
      <c r="Z115" s="2"/>
      <c r="AA115" s="2"/>
      <c r="AB115" s="2"/>
    </row>
    <row r="116" spans="1:28" ht="14.25" customHeight="1">
      <c r="A116" s="47">
        <v>100</v>
      </c>
      <c r="B116" s="40"/>
      <c r="C116" s="37"/>
      <c r="D116" s="41"/>
      <c r="E116" s="41"/>
      <c r="F116" s="37"/>
      <c r="G116" s="37"/>
      <c r="H116" s="40"/>
      <c r="I116" s="37"/>
      <c r="J116" s="37"/>
      <c r="K116" s="55"/>
      <c r="L116" s="56"/>
      <c r="M116" s="40"/>
      <c r="N116" s="54"/>
      <c r="O116" s="2"/>
      <c r="P116" s="2"/>
      <c r="Q116" s="2"/>
      <c r="R116" s="2"/>
      <c r="S116" s="2"/>
      <c r="T116" s="2"/>
      <c r="U116" s="2"/>
      <c r="V116" s="2"/>
      <c r="W116" s="2"/>
      <c r="X116" s="2"/>
      <c r="Y116" s="2"/>
      <c r="Z116" s="2"/>
      <c r="AA116" s="2"/>
      <c r="AB116" s="2"/>
    </row>
    <row r="117" spans="1:28" ht="14.25" customHeight="1">
      <c r="A117" s="47">
        <v>101</v>
      </c>
      <c r="B117" s="40"/>
      <c r="C117" s="37"/>
      <c r="D117" s="41"/>
      <c r="E117" s="41"/>
      <c r="F117" s="37"/>
      <c r="G117" s="37"/>
      <c r="H117" s="40"/>
      <c r="I117" s="37"/>
      <c r="J117" s="37"/>
      <c r="K117" s="55"/>
      <c r="L117" s="56"/>
      <c r="M117" s="40"/>
      <c r="N117" s="54"/>
      <c r="O117" s="2"/>
      <c r="P117" s="2"/>
      <c r="Q117" s="2"/>
      <c r="R117" s="2"/>
      <c r="S117" s="2"/>
      <c r="T117" s="2"/>
      <c r="U117" s="2"/>
      <c r="V117" s="2"/>
      <c r="W117" s="2"/>
      <c r="X117" s="2"/>
      <c r="Y117" s="2"/>
      <c r="Z117" s="2"/>
      <c r="AA117" s="2"/>
      <c r="AB117" s="2"/>
    </row>
    <row r="118" spans="1:28" ht="14.25" customHeight="1">
      <c r="A118" s="47">
        <v>102</v>
      </c>
      <c r="B118" s="40"/>
      <c r="C118" s="37"/>
      <c r="D118" s="41"/>
      <c r="E118" s="41"/>
      <c r="F118" s="37"/>
      <c r="G118" s="37"/>
      <c r="H118" s="40"/>
      <c r="I118" s="37"/>
      <c r="J118" s="37"/>
      <c r="K118" s="55"/>
      <c r="L118" s="56"/>
      <c r="M118" s="40"/>
      <c r="N118" s="54"/>
      <c r="O118" s="2"/>
      <c r="P118" s="2"/>
      <c r="Q118" s="2"/>
      <c r="R118" s="2"/>
      <c r="S118" s="2"/>
      <c r="T118" s="2"/>
      <c r="U118" s="2"/>
      <c r="V118" s="2"/>
      <c r="W118" s="2"/>
      <c r="X118" s="2"/>
      <c r="Y118" s="2"/>
      <c r="Z118" s="2"/>
      <c r="AA118" s="2"/>
      <c r="AB118" s="2"/>
    </row>
    <row r="119" spans="1:28" ht="14.25" customHeight="1">
      <c r="A119" s="47">
        <v>103</v>
      </c>
      <c r="B119" s="40"/>
      <c r="C119" s="37"/>
      <c r="D119" s="41"/>
      <c r="E119" s="41"/>
      <c r="F119" s="37"/>
      <c r="G119" s="37"/>
      <c r="H119" s="40"/>
      <c r="I119" s="37"/>
      <c r="J119" s="37"/>
      <c r="K119" s="55"/>
      <c r="L119" s="56"/>
      <c r="M119" s="40"/>
      <c r="N119" s="54"/>
      <c r="O119" s="2"/>
      <c r="P119" s="2"/>
      <c r="Q119" s="2"/>
      <c r="R119" s="2"/>
      <c r="S119" s="2"/>
      <c r="T119" s="2"/>
      <c r="U119" s="2"/>
      <c r="V119" s="2"/>
      <c r="W119" s="2"/>
      <c r="X119" s="2"/>
      <c r="Y119" s="2"/>
      <c r="Z119" s="2"/>
      <c r="AA119" s="2"/>
      <c r="AB119" s="2"/>
    </row>
    <row r="120" spans="1:28" ht="14.25" customHeight="1">
      <c r="A120" s="47">
        <v>104</v>
      </c>
      <c r="B120" s="40"/>
      <c r="C120" s="37"/>
      <c r="D120" s="41"/>
      <c r="E120" s="41"/>
      <c r="F120" s="37"/>
      <c r="G120" s="37"/>
      <c r="H120" s="40"/>
      <c r="I120" s="37"/>
      <c r="J120" s="37"/>
      <c r="K120" s="55"/>
      <c r="L120" s="56"/>
      <c r="M120" s="40"/>
      <c r="N120" s="54"/>
      <c r="O120" s="2"/>
      <c r="P120" s="2"/>
      <c r="Q120" s="2"/>
      <c r="R120" s="2"/>
      <c r="S120" s="2"/>
      <c r="T120" s="2"/>
      <c r="U120" s="2"/>
      <c r="V120" s="2"/>
      <c r="W120" s="2"/>
      <c r="X120" s="2"/>
      <c r="Y120" s="2"/>
      <c r="Z120" s="2"/>
      <c r="AA120" s="2"/>
      <c r="AB120" s="2"/>
    </row>
    <row r="121" spans="1:28" ht="14.25" customHeight="1">
      <c r="A121" s="47">
        <v>105</v>
      </c>
      <c r="B121" s="40"/>
      <c r="C121" s="37"/>
      <c r="D121" s="41"/>
      <c r="E121" s="41"/>
      <c r="F121" s="37"/>
      <c r="G121" s="37"/>
      <c r="H121" s="40"/>
      <c r="I121" s="37"/>
      <c r="J121" s="37"/>
      <c r="K121" s="55"/>
      <c r="L121" s="56"/>
      <c r="M121" s="40"/>
      <c r="N121" s="54"/>
      <c r="O121" s="2"/>
      <c r="P121" s="2"/>
      <c r="Q121" s="2"/>
      <c r="R121" s="2"/>
      <c r="S121" s="2"/>
      <c r="T121" s="2"/>
      <c r="U121" s="2"/>
      <c r="V121" s="2"/>
      <c r="W121" s="2"/>
      <c r="X121" s="2"/>
      <c r="Y121" s="2"/>
      <c r="Z121" s="2"/>
      <c r="AA121" s="2"/>
      <c r="AB121" s="2"/>
    </row>
    <row r="122" spans="1:28" ht="14.25" customHeight="1">
      <c r="A122" s="47">
        <v>106</v>
      </c>
      <c r="B122" s="40"/>
      <c r="C122" s="37"/>
      <c r="D122" s="41"/>
      <c r="E122" s="41"/>
      <c r="F122" s="37"/>
      <c r="G122" s="37"/>
      <c r="H122" s="40"/>
      <c r="I122" s="37"/>
      <c r="J122" s="37"/>
      <c r="K122" s="55"/>
      <c r="L122" s="56"/>
      <c r="M122" s="40"/>
      <c r="N122" s="54"/>
      <c r="O122" s="2"/>
      <c r="P122" s="2"/>
      <c r="Q122" s="2"/>
      <c r="R122" s="2"/>
      <c r="S122" s="2"/>
      <c r="T122" s="2"/>
      <c r="U122" s="2"/>
      <c r="V122" s="2"/>
      <c r="W122" s="2"/>
      <c r="X122" s="2"/>
      <c r="Y122" s="2"/>
      <c r="Z122" s="2"/>
      <c r="AA122" s="2"/>
      <c r="AB122" s="2"/>
    </row>
    <row r="123" spans="1:28" ht="14.25" customHeight="1">
      <c r="A123" s="47">
        <v>107</v>
      </c>
      <c r="B123" s="40"/>
      <c r="C123" s="37"/>
      <c r="D123" s="41"/>
      <c r="E123" s="41"/>
      <c r="F123" s="37"/>
      <c r="G123" s="37"/>
      <c r="H123" s="40"/>
      <c r="I123" s="37"/>
      <c r="J123" s="37"/>
      <c r="K123" s="55"/>
      <c r="L123" s="56"/>
      <c r="M123" s="40"/>
      <c r="N123" s="54"/>
      <c r="O123" s="2"/>
      <c r="P123" s="2"/>
      <c r="Q123" s="2"/>
      <c r="R123" s="2"/>
      <c r="S123" s="2"/>
      <c r="T123" s="2"/>
      <c r="U123" s="2"/>
      <c r="V123" s="2"/>
      <c r="W123" s="2"/>
      <c r="X123" s="2"/>
      <c r="Y123" s="2"/>
      <c r="Z123" s="2"/>
      <c r="AA123" s="2"/>
      <c r="AB123" s="2"/>
    </row>
    <row r="124" spans="1:28" ht="14.25" customHeight="1">
      <c r="A124" s="47">
        <v>108</v>
      </c>
      <c r="B124" s="40"/>
      <c r="C124" s="37"/>
      <c r="D124" s="41"/>
      <c r="E124" s="41"/>
      <c r="F124" s="37"/>
      <c r="G124" s="37"/>
      <c r="H124" s="40"/>
      <c r="I124" s="37"/>
      <c r="J124" s="37"/>
      <c r="K124" s="55"/>
      <c r="L124" s="56"/>
      <c r="M124" s="40"/>
      <c r="N124" s="54"/>
      <c r="O124" s="2"/>
      <c r="P124" s="2"/>
      <c r="Q124" s="2"/>
      <c r="R124" s="2"/>
      <c r="S124" s="2"/>
      <c r="T124" s="2"/>
      <c r="U124" s="2"/>
      <c r="V124" s="2"/>
      <c r="W124" s="2"/>
      <c r="X124" s="2"/>
      <c r="Y124" s="2"/>
      <c r="Z124" s="2"/>
      <c r="AA124" s="2"/>
      <c r="AB124" s="2"/>
    </row>
    <row r="125" spans="1:28" ht="14.25" customHeight="1">
      <c r="A125" s="47">
        <v>109</v>
      </c>
      <c r="B125" s="40"/>
      <c r="C125" s="37"/>
      <c r="D125" s="41"/>
      <c r="E125" s="41"/>
      <c r="F125" s="37"/>
      <c r="G125" s="37"/>
      <c r="H125" s="40"/>
      <c r="I125" s="37"/>
      <c r="J125" s="37"/>
      <c r="K125" s="55"/>
      <c r="L125" s="56"/>
      <c r="M125" s="40"/>
      <c r="N125" s="54"/>
      <c r="O125" s="2"/>
      <c r="P125" s="2"/>
      <c r="Q125" s="2"/>
      <c r="R125" s="2"/>
      <c r="S125" s="2"/>
      <c r="T125" s="2"/>
      <c r="U125" s="2"/>
      <c r="V125" s="2"/>
      <c r="W125" s="2"/>
      <c r="X125" s="2"/>
      <c r="Y125" s="2"/>
      <c r="Z125" s="2"/>
      <c r="AA125" s="2"/>
      <c r="AB125" s="2"/>
    </row>
    <row r="126" spans="1:28" ht="14.25" customHeight="1">
      <c r="A126" s="47">
        <v>110</v>
      </c>
      <c r="B126" s="40"/>
      <c r="C126" s="37"/>
      <c r="D126" s="41"/>
      <c r="E126" s="41"/>
      <c r="F126" s="37"/>
      <c r="G126" s="37"/>
      <c r="H126" s="40"/>
      <c r="I126" s="37"/>
      <c r="J126" s="37"/>
      <c r="K126" s="55"/>
      <c r="L126" s="56"/>
      <c r="M126" s="40"/>
      <c r="N126" s="54"/>
      <c r="O126" s="2"/>
      <c r="P126" s="2"/>
      <c r="Q126" s="2"/>
      <c r="R126" s="2"/>
      <c r="S126" s="2"/>
      <c r="T126" s="2"/>
      <c r="U126" s="2"/>
      <c r="V126" s="2"/>
      <c r="W126" s="2"/>
      <c r="X126" s="2"/>
      <c r="Y126" s="2"/>
      <c r="Z126" s="2"/>
      <c r="AA126" s="2"/>
      <c r="AB126" s="2"/>
    </row>
    <row r="127" spans="1:28" ht="14.25" customHeight="1">
      <c r="A127" s="47">
        <v>111</v>
      </c>
      <c r="B127" s="40"/>
      <c r="C127" s="37"/>
      <c r="D127" s="41"/>
      <c r="E127" s="41"/>
      <c r="F127" s="37"/>
      <c r="G127" s="37"/>
      <c r="H127" s="40"/>
      <c r="I127" s="37"/>
      <c r="J127" s="37"/>
      <c r="K127" s="55"/>
      <c r="L127" s="56"/>
      <c r="M127" s="40"/>
      <c r="N127" s="54"/>
      <c r="O127" s="2"/>
      <c r="P127" s="2"/>
      <c r="Q127" s="2"/>
      <c r="R127" s="2"/>
      <c r="S127" s="2"/>
      <c r="T127" s="2"/>
      <c r="U127" s="2"/>
      <c r="V127" s="2"/>
      <c r="W127" s="2"/>
      <c r="X127" s="2"/>
      <c r="Y127" s="2"/>
      <c r="Z127" s="2"/>
      <c r="AA127" s="2"/>
      <c r="AB127" s="2"/>
    </row>
    <row r="128" spans="1:28" ht="14.25" customHeight="1">
      <c r="A128" s="47">
        <v>112</v>
      </c>
      <c r="B128" s="40"/>
      <c r="C128" s="37"/>
      <c r="D128" s="41"/>
      <c r="E128" s="41"/>
      <c r="F128" s="37"/>
      <c r="G128" s="37"/>
      <c r="H128" s="40"/>
      <c r="I128" s="37"/>
      <c r="J128" s="37"/>
      <c r="K128" s="55"/>
      <c r="L128" s="56"/>
      <c r="M128" s="40"/>
      <c r="N128" s="54"/>
      <c r="O128" s="2"/>
      <c r="P128" s="2"/>
      <c r="Q128" s="2"/>
      <c r="R128" s="2"/>
      <c r="S128" s="2"/>
      <c r="T128" s="2"/>
      <c r="U128" s="2"/>
      <c r="V128" s="2"/>
      <c r="W128" s="2"/>
      <c r="X128" s="2"/>
      <c r="Y128" s="2"/>
      <c r="Z128" s="2"/>
      <c r="AA128" s="2"/>
      <c r="AB128" s="2"/>
    </row>
    <row r="129" spans="1:28" ht="14.25" customHeight="1">
      <c r="A129" s="47">
        <v>113</v>
      </c>
      <c r="B129" s="40"/>
      <c r="C129" s="37"/>
      <c r="D129" s="41"/>
      <c r="E129" s="41"/>
      <c r="F129" s="37"/>
      <c r="G129" s="37"/>
      <c r="H129" s="40"/>
      <c r="I129" s="37"/>
      <c r="J129" s="37"/>
      <c r="K129" s="55"/>
      <c r="L129" s="56"/>
      <c r="M129" s="40"/>
      <c r="N129" s="54"/>
      <c r="O129" s="2"/>
      <c r="P129" s="2"/>
      <c r="Q129" s="2"/>
      <c r="R129" s="2"/>
      <c r="S129" s="2"/>
      <c r="T129" s="2"/>
      <c r="U129" s="2"/>
      <c r="V129" s="2"/>
      <c r="W129" s="2"/>
      <c r="X129" s="2"/>
      <c r="Y129" s="2"/>
      <c r="Z129" s="2"/>
      <c r="AA129" s="2"/>
      <c r="AB129" s="2"/>
    </row>
    <row r="130" spans="1:28" ht="14.25" customHeight="1">
      <c r="A130" s="47">
        <v>114</v>
      </c>
      <c r="B130" s="40"/>
      <c r="C130" s="37"/>
      <c r="D130" s="41"/>
      <c r="E130" s="41"/>
      <c r="F130" s="37"/>
      <c r="G130" s="37"/>
      <c r="H130" s="40"/>
      <c r="I130" s="37"/>
      <c r="J130" s="37"/>
      <c r="K130" s="55"/>
      <c r="L130" s="56"/>
      <c r="M130" s="40"/>
      <c r="N130" s="54"/>
      <c r="O130" s="2"/>
      <c r="P130" s="2"/>
      <c r="Q130" s="2"/>
      <c r="R130" s="2"/>
      <c r="S130" s="2"/>
      <c r="T130" s="2"/>
      <c r="U130" s="2"/>
      <c r="V130" s="2"/>
      <c r="W130" s="2"/>
      <c r="X130" s="2"/>
      <c r="Y130" s="2"/>
      <c r="Z130" s="2"/>
      <c r="AA130" s="2"/>
      <c r="AB130" s="2"/>
    </row>
    <row r="131" spans="1:28" ht="14.25" customHeight="1">
      <c r="A131" s="47">
        <v>115</v>
      </c>
      <c r="B131" s="40"/>
      <c r="C131" s="37"/>
      <c r="D131" s="41"/>
      <c r="E131" s="41"/>
      <c r="F131" s="37"/>
      <c r="G131" s="37"/>
      <c r="H131" s="40"/>
      <c r="I131" s="37"/>
      <c r="J131" s="37"/>
      <c r="K131" s="55"/>
      <c r="L131" s="56"/>
      <c r="M131" s="40"/>
      <c r="N131" s="40"/>
      <c r="O131" s="2"/>
      <c r="P131" s="2"/>
      <c r="Q131" s="2"/>
      <c r="R131" s="2"/>
      <c r="S131" s="2"/>
      <c r="T131" s="2"/>
      <c r="U131" s="2"/>
      <c r="V131" s="2"/>
      <c r="W131" s="2"/>
      <c r="X131" s="2"/>
      <c r="Y131" s="2"/>
      <c r="Z131" s="2"/>
      <c r="AA131" s="2"/>
      <c r="AB131" s="2"/>
    </row>
    <row r="132" spans="1:28" ht="14.25" customHeight="1">
      <c r="A132" s="47">
        <v>116</v>
      </c>
      <c r="B132" s="40"/>
      <c r="C132" s="37"/>
      <c r="D132" s="41"/>
      <c r="E132" s="41"/>
      <c r="F132" s="37"/>
      <c r="G132" s="37"/>
      <c r="H132" s="40"/>
      <c r="I132" s="37"/>
      <c r="J132" s="37"/>
      <c r="K132" s="55"/>
      <c r="L132" s="56"/>
      <c r="M132" s="40"/>
      <c r="N132" s="40"/>
      <c r="O132" s="2"/>
      <c r="P132" s="2"/>
      <c r="Q132" s="2"/>
      <c r="R132" s="2"/>
      <c r="S132" s="2"/>
      <c r="T132" s="2"/>
      <c r="U132" s="2"/>
      <c r="V132" s="2"/>
      <c r="W132" s="2"/>
      <c r="X132" s="2"/>
      <c r="Y132" s="2"/>
      <c r="Z132" s="2"/>
      <c r="AA132" s="2"/>
      <c r="AB132" s="2"/>
    </row>
    <row r="133" spans="1:28" ht="14.25" customHeight="1">
      <c r="A133" s="47">
        <v>117</v>
      </c>
      <c r="B133" s="40"/>
      <c r="C133" s="37"/>
      <c r="D133" s="41"/>
      <c r="E133" s="41"/>
      <c r="F133" s="37"/>
      <c r="G133" s="37"/>
      <c r="H133" s="40"/>
      <c r="I133" s="37"/>
      <c r="J133" s="37"/>
      <c r="K133" s="55"/>
      <c r="L133" s="56"/>
      <c r="M133" s="40"/>
      <c r="N133" s="40"/>
      <c r="O133" s="2"/>
      <c r="P133" s="2"/>
      <c r="Q133" s="2"/>
      <c r="R133" s="2"/>
      <c r="S133" s="2"/>
      <c r="T133" s="2"/>
      <c r="U133" s="2"/>
      <c r="V133" s="2"/>
      <c r="W133" s="2"/>
      <c r="X133" s="2"/>
      <c r="Y133" s="2"/>
      <c r="Z133" s="2"/>
      <c r="AA133" s="2"/>
      <c r="AB133" s="2"/>
    </row>
    <row r="134" spans="1:28" ht="14.25" customHeight="1">
      <c r="A134" s="47">
        <v>118</v>
      </c>
      <c r="B134" s="40"/>
      <c r="C134" s="37"/>
      <c r="D134" s="41"/>
      <c r="E134" s="41"/>
      <c r="F134" s="37"/>
      <c r="G134" s="37"/>
      <c r="H134" s="40"/>
      <c r="I134" s="37"/>
      <c r="J134" s="37"/>
      <c r="K134" s="55"/>
      <c r="L134" s="56"/>
      <c r="M134" s="40"/>
      <c r="N134" s="40"/>
      <c r="O134" s="2"/>
      <c r="P134" s="2"/>
      <c r="Q134" s="2"/>
      <c r="R134" s="2"/>
      <c r="S134" s="2"/>
      <c r="T134" s="2"/>
      <c r="U134" s="2"/>
      <c r="V134" s="2"/>
      <c r="W134" s="2"/>
      <c r="X134" s="2"/>
      <c r="Y134" s="2"/>
      <c r="Z134" s="2"/>
      <c r="AA134" s="2"/>
      <c r="AB134" s="2"/>
    </row>
    <row r="135" spans="1:28" ht="14.25" customHeight="1">
      <c r="A135" s="47">
        <v>119</v>
      </c>
      <c r="B135" s="40"/>
      <c r="C135" s="37"/>
      <c r="D135" s="41"/>
      <c r="E135" s="41"/>
      <c r="F135" s="37"/>
      <c r="G135" s="37"/>
      <c r="H135" s="40"/>
      <c r="I135" s="37"/>
      <c r="J135" s="37"/>
      <c r="K135" s="55"/>
      <c r="L135" s="56"/>
      <c r="M135" s="40"/>
      <c r="N135" s="40"/>
      <c r="O135" s="2"/>
      <c r="P135" s="2"/>
      <c r="Q135" s="2"/>
      <c r="R135" s="2"/>
      <c r="S135" s="2"/>
      <c r="T135" s="2"/>
      <c r="U135" s="2"/>
      <c r="V135" s="2"/>
      <c r="W135" s="2"/>
      <c r="X135" s="2"/>
      <c r="Y135" s="2"/>
      <c r="Z135" s="2"/>
      <c r="AA135" s="2"/>
      <c r="AB135" s="2"/>
    </row>
    <row r="136" spans="1:28" ht="14.25" customHeight="1">
      <c r="A136" s="47">
        <v>120</v>
      </c>
      <c r="B136" s="40"/>
      <c r="C136" s="37"/>
      <c r="D136" s="41"/>
      <c r="E136" s="41"/>
      <c r="F136" s="37"/>
      <c r="G136" s="37"/>
      <c r="H136" s="40"/>
      <c r="I136" s="37"/>
      <c r="J136" s="37"/>
      <c r="K136" s="55"/>
      <c r="L136" s="56"/>
      <c r="M136" s="40"/>
      <c r="N136" s="40"/>
      <c r="O136" s="2"/>
      <c r="P136" s="2"/>
      <c r="Q136" s="2"/>
      <c r="R136" s="2"/>
      <c r="S136" s="2"/>
      <c r="T136" s="2"/>
      <c r="U136" s="2"/>
      <c r="V136" s="2"/>
      <c r="W136" s="2"/>
      <c r="X136" s="2"/>
      <c r="Y136" s="2"/>
      <c r="Z136" s="2"/>
      <c r="AA136" s="2"/>
      <c r="AB136" s="2"/>
    </row>
    <row r="137" spans="1:28" ht="14.25" customHeight="1">
      <c r="A137" s="47">
        <v>121</v>
      </c>
      <c r="B137" s="40"/>
      <c r="C137" s="37"/>
      <c r="D137" s="41"/>
      <c r="E137" s="41"/>
      <c r="F137" s="37"/>
      <c r="G137" s="37"/>
      <c r="H137" s="40"/>
      <c r="I137" s="37"/>
      <c r="J137" s="37"/>
      <c r="K137" s="55"/>
      <c r="L137" s="56"/>
      <c r="M137" s="40"/>
      <c r="N137" s="40"/>
      <c r="O137" s="2"/>
      <c r="P137" s="2"/>
      <c r="Q137" s="2"/>
      <c r="R137" s="2"/>
      <c r="S137" s="2"/>
      <c r="T137" s="2"/>
      <c r="U137" s="2"/>
      <c r="V137" s="2"/>
      <c r="W137" s="2"/>
      <c r="X137" s="2"/>
      <c r="Y137" s="2"/>
      <c r="Z137" s="2"/>
      <c r="AA137" s="2"/>
      <c r="AB137" s="2"/>
    </row>
    <row r="138" spans="1:28" ht="14.25" customHeight="1">
      <c r="A138" s="47">
        <v>122</v>
      </c>
      <c r="B138" s="40"/>
      <c r="C138" s="37"/>
      <c r="D138" s="41"/>
      <c r="E138" s="41"/>
      <c r="F138" s="37"/>
      <c r="G138" s="37"/>
      <c r="H138" s="40"/>
      <c r="I138" s="37"/>
      <c r="J138" s="37"/>
      <c r="K138" s="55"/>
      <c r="L138" s="56"/>
      <c r="M138" s="40"/>
      <c r="N138" s="40"/>
      <c r="O138" s="2"/>
      <c r="P138" s="2"/>
      <c r="Q138" s="2"/>
      <c r="R138" s="2"/>
      <c r="S138" s="2"/>
      <c r="T138" s="2"/>
      <c r="U138" s="2"/>
      <c r="V138" s="2"/>
      <c r="W138" s="2"/>
      <c r="X138" s="2"/>
      <c r="Y138" s="2"/>
      <c r="Z138" s="2"/>
      <c r="AA138" s="2"/>
      <c r="AB138" s="2"/>
    </row>
    <row r="139" spans="1:28" ht="14.25" customHeight="1">
      <c r="A139" s="47">
        <v>123</v>
      </c>
      <c r="B139" s="40"/>
      <c r="C139" s="37"/>
      <c r="D139" s="41"/>
      <c r="E139" s="41"/>
      <c r="F139" s="37"/>
      <c r="G139" s="37"/>
      <c r="H139" s="40"/>
      <c r="I139" s="37"/>
      <c r="J139" s="37"/>
      <c r="K139" s="55"/>
      <c r="L139" s="56"/>
      <c r="M139" s="40"/>
      <c r="N139" s="40"/>
      <c r="O139" s="2"/>
      <c r="P139" s="2"/>
      <c r="Q139" s="2"/>
      <c r="R139" s="2"/>
      <c r="S139" s="2"/>
      <c r="T139" s="2"/>
      <c r="U139" s="2"/>
      <c r="V139" s="2"/>
      <c r="W139" s="2"/>
      <c r="X139" s="2"/>
      <c r="Y139" s="2"/>
      <c r="Z139" s="2"/>
      <c r="AA139" s="2"/>
      <c r="AB139" s="2"/>
    </row>
    <row r="140" spans="1:28" ht="14.25" customHeight="1">
      <c r="A140" s="47">
        <v>124</v>
      </c>
      <c r="B140" s="40"/>
      <c r="C140" s="37"/>
      <c r="D140" s="41"/>
      <c r="E140" s="41"/>
      <c r="F140" s="37"/>
      <c r="G140" s="37"/>
      <c r="H140" s="40"/>
      <c r="I140" s="37"/>
      <c r="J140" s="37"/>
      <c r="K140" s="55"/>
      <c r="L140" s="56"/>
      <c r="M140" s="40"/>
      <c r="N140" s="40"/>
      <c r="O140" s="2"/>
      <c r="P140" s="2"/>
      <c r="Q140" s="2"/>
      <c r="R140" s="2"/>
      <c r="S140" s="2"/>
      <c r="T140" s="2"/>
      <c r="U140" s="2"/>
      <c r="V140" s="2"/>
      <c r="W140" s="2"/>
      <c r="X140" s="2"/>
      <c r="Y140" s="2"/>
      <c r="Z140" s="2"/>
      <c r="AA140" s="2"/>
      <c r="AB140" s="2"/>
    </row>
    <row r="141" spans="1:28" ht="14.25" customHeight="1">
      <c r="A141" s="47">
        <v>125</v>
      </c>
      <c r="B141" s="40"/>
      <c r="C141" s="37"/>
      <c r="D141" s="41"/>
      <c r="E141" s="41"/>
      <c r="F141" s="37"/>
      <c r="G141" s="37"/>
      <c r="H141" s="40"/>
      <c r="I141" s="37"/>
      <c r="J141" s="37"/>
      <c r="K141" s="55"/>
      <c r="L141" s="56"/>
      <c r="M141" s="40"/>
      <c r="N141" s="40"/>
      <c r="O141" s="2"/>
      <c r="P141" s="2"/>
      <c r="Q141" s="2"/>
      <c r="R141" s="2"/>
      <c r="S141" s="2"/>
      <c r="T141" s="2"/>
      <c r="U141" s="2"/>
      <c r="V141" s="2"/>
      <c r="W141" s="2"/>
      <c r="X141" s="2"/>
      <c r="Y141" s="2"/>
      <c r="Z141" s="2"/>
      <c r="AA141" s="2"/>
      <c r="AB141" s="2"/>
    </row>
    <row r="142" spans="1:28" ht="14.25" customHeight="1">
      <c r="A142" s="47">
        <v>126</v>
      </c>
      <c r="B142" s="40"/>
      <c r="C142" s="37"/>
      <c r="D142" s="41"/>
      <c r="E142" s="41"/>
      <c r="F142" s="37"/>
      <c r="G142" s="37"/>
      <c r="H142" s="40"/>
      <c r="I142" s="37"/>
      <c r="J142" s="37"/>
      <c r="K142" s="55"/>
      <c r="L142" s="56"/>
      <c r="M142" s="40"/>
      <c r="N142" s="40"/>
      <c r="O142" s="2"/>
      <c r="P142" s="2"/>
      <c r="Q142" s="2"/>
      <c r="R142" s="2"/>
      <c r="S142" s="2"/>
      <c r="T142" s="2"/>
      <c r="U142" s="2"/>
      <c r="V142" s="2"/>
      <c r="W142" s="2"/>
      <c r="X142" s="2"/>
      <c r="Y142" s="2"/>
      <c r="Z142" s="2"/>
      <c r="AA142" s="2"/>
      <c r="AB142" s="2"/>
    </row>
    <row r="143" spans="1:28" ht="14.25" customHeight="1">
      <c r="A143" s="47">
        <v>127</v>
      </c>
      <c r="B143" s="40"/>
      <c r="C143" s="37"/>
      <c r="D143" s="41"/>
      <c r="E143" s="41"/>
      <c r="F143" s="37"/>
      <c r="G143" s="37"/>
      <c r="H143" s="40"/>
      <c r="I143" s="37"/>
      <c r="J143" s="37"/>
      <c r="K143" s="55"/>
      <c r="L143" s="56"/>
      <c r="M143" s="40"/>
      <c r="N143" s="40"/>
      <c r="O143" s="2"/>
      <c r="P143" s="2"/>
      <c r="Q143" s="2"/>
      <c r="R143" s="2"/>
      <c r="S143" s="2"/>
      <c r="T143" s="2"/>
      <c r="U143" s="2"/>
      <c r="V143" s="2"/>
      <c r="W143" s="2"/>
      <c r="X143" s="2"/>
      <c r="Y143" s="2"/>
      <c r="Z143" s="2"/>
      <c r="AA143" s="2"/>
      <c r="AB143" s="2"/>
    </row>
    <row r="144" spans="1:28" ht="14.25" customHeight="1">
      <c r="A144" s="47">
        <v>128</v>
      </c>
      <c r="B144" s="40"/>
      <c r="C144" s="37"/>
      <c r="D144" s="41"/>
      <c r="E144" s="41"/>
      <c r="F144" s="37"/>
      <c r="G144" s="37"/>
      <c r="H144" s="40"/>
      <c r="I144" s="37"/>
      <c r="J144" s="37"/>
      <c r="K144" s="55"/>
      <c r="L144" s="56"/>
      <c r="M144" s="40"/>
      <c r="N144" s="40"/>
      <c r="O144" s="2"/>
      <c r="P144" s="2"/>
      <c r="Q144" s="2"/>
      <c r="R144" s="2"/>
      <c r="S144" s="2"/>
      <c r="T144" s="2"/>
      <c r="U144" s="2"/>
      <c r="V144" s="2"/>
      <c r="W144" s="2"/>
      <c r="X144" s="2"/>
      <c r="Y144" s="2"/>
      <c r="Z144" s="2"/>
      <c r="AA144" s="2"/>
      <c r="AB144" s="2"/>
    </row>
    <row r="145" spans="1:28" ht="14.25" customHeight="1">
      <c r="A145" s="47">
        <v>129</v>
      </c>
      <c r="B145" s="40"/>
      <c r="C145" s="37"/>
      <c r="D145" s="41"/>
      <c r="E145" s="41"/>
      <c r="F145" s="37"/>
      <c r="G145" s="37"/>
      <c r="H145" s="40"/>
      <c r="I145" s="37"/>
      <c r="J145" s="37"/>
      <c r="K145" s="55"/>
      <c r="L145" s="56"/>
      <c r="M145" s="40"/>
      <c r="N145" s="40"/>
      <c r="O145" s="2"/>
      <c r="P145" s="2"/>
      <c r="Q145" s="2"/>
      <c r="R145" s="2"/>
      <c r="S145" s="2"/>
      <c r="T145" s="2"/>
      <c r="U145" s="2"/>
      <c r="V145" s="2"/>
      <c r="W145" s="2"/>
      <c r="X145" s="2"/>
      <c r="Y145" s="2"/>
      <c r="Z145" s="2"/>
      <c r="AA145" s="2"/>
      <c r="AB145" s="2"/>
    </row>
    <row r="146" spans="1:28" ht="14.25" customHeight="1">
      <c r="A146" s="47">
        <v>130</v>
      </c>
      <c r="B146" s="40"/>
      <c r="C146" s="37"/>
      <c r="D146" s="41"/>
      <c r="E146" s="41"/>
      <c r="F146" s="37"/>
      <c r="G146" s="37"/>
      <c r="H146" s="40"/>
      <c r="I146" s="37"/>
      <c r="J146" s="37"/>
      <c r="K146" s="55"/>
      <c r="L146" s="56"/>
      <c r="M146" s="40"/>
      <c r="N146" s="40"/>
      <c r="O146" s="2"/>
      <c r="P146" s="2"/>
      <c r="Q146" s="2"/>
      <c r="R146" s="2"/>
      <c r="S146" s="2"/>
      <c r="T146" s="2"/>
      <c r="U146" s="2"/>
      <c r="V146" s="2"/>
      <c r="W146" s="2"/>
      <c r="X146" s="2"/>
      <c r="Y146" s="2"/>
      <c r="Z146" s="2"/>
      <c r="AA146" s="2"/>
      <c r="AB146" s="2"/>
    </row>
    <row r="147" spans="1:28" ht="14.25" customHeight="1">
      <c r="A147" s="47">
        <v>131</v>
      </c>
      <c r="B147" s="40"/>
      <c r="C147" s="37"/>
      <c r="D147" s="41"/>
      <c r="E147" s="41"/>
      <c r="F147" s="37"/>
      <c r="G147" s="37"/>
      <c r="H147" s="40"/>
      <c r="I147" s="37"/>
      <c r="J147" s="37"/>
      <c r="K147" s="55"/>
      <c r="L147" s="56"/>
      <c r="M147" s="40"/>
      <c r="N147" s="40"/>
      <c r="O147" s="2"/>
      <c r="P147" s="2"/>
      <c r="Q147" s="2"/>
      <c r="R147" s="2"/>
      <c r="S147" s="2"/>
      <c r="T147" s="2"/>
      <c r="U147" s="2"/>
      <c r="V147" s="2"/>
      <c r="W147" s="2"/>
      <c r="X147" s="2"/>
      <c r="Y147" s="2"/>
      <c r="Z147" s="2"/>
      <c r="AA147" s="2"/>
      <c r="AB147" s="2"/>
    </row>
    <row r="148" spans="1:28" ht="14.25" customHeight="1">
      <c r="A148" s="47">
        <v>132</v>
      </c>
      <c r="B148" s="40"/>
      <c r="C148" s="37"/>
      <c r="D148" s="41"/>
      <c r="E148" s="41"/>
      <c r="F148" s="37"/>
      <c r="G148" s="37"/>
      <c r="H148" s="40"/>
      <c r="I148" s="37"/>
      <c r="J148" s="37"/>
      <c r="K148" s="55"/>
      <c r="L148" s="56"/>
      <c r="M148" s="40"/>
      <c r="N148" s="40"/>
      <c r="O148" s="2"/>
      <c r="P148" s="2"/>
      <c r="Q148" s="2"/>
      <c r="R148" s="2"/>
      <c r="S148" s="2"/>
      <c r="T148" s="2"/>
      <c r="U148" s="2"/>
      <c r="V148" s="2"/>
      <c r="W148" s="2"/>
      <c r="X148" s="2"/>
      <c r="Y148" s="2"/>
      <c r="Z148" s="2"/>
      <c r="AA148" s="2"/>
      <c r="AB148" s="2"/>
    </row>
    <row r="149" spans="1:28" ht="14.25" customHeight="1">
      <c r="A149" s="47">
        <v>133</v>
      </c>
      <c r="B149" s="40"/>
      <c r="C149" s="37"/>
      <c r="D149" s="41"/>
      <c r="E149" s="41"/>
      <c r="F149" s="37"/>
      <c r="G149" s="37"/>
      <c r="H149" s="40"/>
      <c r="I149" s="37"/>
      <c r="J149" s="37"/>
      <c r="K149" s="55"/>
      <c r="L149" s="56"/>
      <c r="M149" s="40"/>
      <c r="N149" s="40"/>
      <c r="O149" s="2"/>
      <c r="P149" s="2"/>
      <c r="Q149" s="2"/>
      <c r="R149" s="2"/>
      <c r="S149" s="2"/>
      <c r="T149" s="2"/>
      <c r="U149" s="2"/>
      <c r="V149" s="2"/>
      <c r="W149" s="2"/>
      <c r="X149" s="2"/>
      <c r="Y149" s="2"/>
      <c r="Z149" s="2"/>
      <c r="AA149" s="2"/>
      <c r="AB149" s="2"/>
    </row>
    <row r="150" spans="1:28" ht="14.25" customHeight="1">
      <c r="A150" s="47">
        <v>134</v>
      </c>
      <c r="B150" s="40"/>
      <c r="C150" s="37"/>
      <c r="D150" s="41"/>
      <c r="E150" s="41"/>
      <c r="F150" s="37"/>
      <c r="G150" s="37"/>
      <c r="H150" s="40"/>
      <c r="I150" s="37"/>
      <c r="J150" s="37"/>
      <c r="K150" s="55"/>
      <c r="L150" s="56"/>
      <c r="M150" s="40"/>
      <c r="N150" s="40"/>
      <c r="O150" s="2"/>
      <c r="P150" s="2"/>
      <c r="Q150" s="2"/>
      <c r="R150" s="2"/>
      <c r="S150" s="2"/>
      <c r="T150" s="2"/>
      <c r="U150" s="2"/>
      <c r="V150" s="2"/>
      <c r="W150" s="2"/>
      <c r="X150" s="2"/>
      <c r="Y150" s="2"/>
      <c r="Z150" s="2"/>
      <c r="AA150" s="2"/>
      <c r="AB150" s="2"/>
    </row>
    <row r="151" spans="1:28" ht="14.25" customHeight="1">
      <c r="A151" s="47">
        <v>135</v>
      </c>
      <c r="B151" s="40"/>
      <c r="C151" s="37"/>
      <c r="D151" s="41"/>
      <c r="E151" s="41"/>
      <c r="F151" s="37"/>
      <c r="G151" s="37"/>
      <c r="H151" s="40"/>
      <c r="I151" s="37"/>
      <c r="J151" s="37"/>
      <c r="K151" s="55"/>
      <c r="L151" s="56"/>
      <c r="M151" s="40"/>
      <c r="N151" s="40"/>
      <c r="O151" s="2"/>
      <c r="P151" s="2"/>
      <c r="Q151" s="2"/>
      <c r="R151" s="2"/>
      <c r="S151" s="2"/>
      <c r="T151" s="2"/>
      <c r="U151" s="2"/>
      <c r="V151" s="2"/>
      <c r="W151" s="2"/>
      <c r="X151" s="2"/>
      <c r="Y151" s="2"/>
      <c r="Z151" s="2"/>
      <c r="AA151" s="2"/>
      <c r="AB151" s="2"/>
    </row>
    <row r="152" spans="1:28" ht="14.25" customHeight="1">
      <c r="A152" s="47">
        <v>136</v>
      </c>
      <c r="B152" s="40"/>
      <c r="C152" s="37"/>
      <c r="D152" s="41"/>
      <c r="E152" s="41"/>
      <c r="F152" s="37"/>
      <c r="G152" s="37"/>
      <c r="H152" s="40"/>
      <c r="I152" s="37"/>
      <c r="J152" s="37"/>
      <c r="K152" s="55"/>
      <c r="L152" s="56"/>
      <c r="M152" s="40"/>
      <c r="N152" s="40"/>
      <c r="O152" s="2"/>
      <c r="P152" s="2"/>
      <c r="Q152" s="2"/>
      <c r="R152" s="2"/>
      <c r="S152" s="2"/>
      <c r="T152" s="2"/>
      <c r="U152" s="2"/>
      <c r="V152" s="2"/>
      <c r="W152" s="2"/>
      <c r="X152" s="2"/>
      <c r="Y152" s="2"/>
      <c r="Z152" s="2"/>
      <c r="AA152" s="2"/>
      <c r="AB152" s="2"/>
    </row>
    <row r="153" spans="1:28" ht="14.25" customHeight="1">
      <c r="A153" s="47">
        <v>137</v>
      </c>
      <c r="B153" s="40"/>
      <c r="C153" s="37"/>
      <c r="D153" s="41"/>
      <c r="E153" s="41"/>
      <c r="F153" s="37"/>
      <c r="G153" s="37"/>
      <c r="H153" s="40"/>
      <c r="I153" s="37"/>
      <c r="J153" s="37"/>
      <c r="K153" s="55"/>
      <c r="L153" s="56"/>
      <c r="M153" s="40"/>
      <c r="N153" s="40"/>
      <c r="O153" s="2"/>
      <c r="P153" s="2"/>
      <c r="Q153" s="2"/>
      <c r="R153" s="2"/>
      <c r="S153" s="2"/>
      <c r="T153" s="2"/>
      <c r="U153" s="2"/>
      <c r="V153" s="2"/>
      <c r="W153" s="2"/>
      <c r="X153" s="2"/>
      <c r="Y153" s="2"/>
      <c r="Z153" s="2"/>
      <c r="AA153" s="2"/>
      <c r="AB153" s="2"/>
    </row>
    <row r="154" spans="1:28" ht="14.25" customHeight="1">
      <c r="A154" s="47">
        <v>138</v>
      </c>
      <c r="B154" s="40"/>
      <c r="C154" s="37"/>
      <c r="D154" s="41"/>
      <c r="E154" s="41"/>
      <c r="F154" s="37"/>
      <c r="G154" s="37"/>
      <c r="H154" s="40"/>
      <c r="I154" s="37"/>
      <c r="J154" s="37"/>
      <c r="K154" s="55"/>
      <c r="L154" s="56"/>
      <c r="M154" s="40"/>
      <c r="N154" s="40"/>
      <c r="O154" s="2"/>
      <c r="P154" s="2"/>
      <c r="Q154" s="2"/>
      <c r="R154" s="2"/>
      <c r="S154" s="2"/>
      <c r="T154" s="2"/>
      <c r="U154" s="2"/>
      <c r="V154" s="2"/>
      <c r="W154" s="2"/>
      <c r="X154" s="2"/>
      <c r="Y154" s="2"/>
      <c r="Z154" s="2"/>
      <c r="AA154" s="2"/>
      <c r="AB154" s="2"/>
    </row>
    <row r="155" spans="1:28" ht="14.25" customHeight="1">
      <c r="A155" s="47">
        <v>139</v>
      </c>
      <c r="B155" s="40"/>
      <c r="C155" s="37"/>
      <c r="D155" s="41"/>
      <c r="E155" s="41"/>
      <c r="F155" s="37"/>
      <c r="G155" s="37"/>
      <c r="H155" s="40"/>
      <c r="I155" s="37"/>
      <c r="J155" s="37"/>
      <c r="K155" s="55"/>
      <c r="L155" s="56"/>
      <c r="M155" s="40"/>
      <c r="N155" s="40"/>
      <c r="O155" s="2"/>
      <c r="P155" s="2"/>
      <c r="Q155" s="2"/>
      <c r="R155" s="2"/>
      <c r="S155" s="2"/>
      <c r="T155" s="2"/>
      <c r="U155" s="2"/>
      <c r="V155" s="2"/>
      <c r="W155" s="2"/>
      <c r="X155" s="2"/>
      <c r="Y155" s="2"/>
      <c r="Z155" s="2"/>
      <c r="AA155" s="2"/>
      <c r="AB155" s="2"/>
    </row>
    <row r="156" spans="1:28" ht="14.25" customHeight="1">
      <c r="A156" s="47">
        <v>140</v>
      </c>
      <c r="B156" s="40"/>
      <c r="C156" s="37"/>
      <c r="D156" s="41"/>
      <c r="E156" s="41"/>
      <c r="F156" s="37"/>
      <c r="G156" s="37"/>
      <c r="H156" s="40"/>
      <c r="I156" s="37"/>
      <c r="J156" s="37"/>
      <c r="K156" s="55"/>
      <c r="L156" s="56"/>
      <c r="M156" s="40"/>
      <c r="N156" s="40"/>
      <c r="O156" s="2"/>
      <c r="P156" s="2"/>
      <c r="Q156" s="2"/>
      <c r="R156" s="2"/>
      <c r="S156" s="2"/>
      <c r="T156" s="2"/>
      <c r="U156" s="2"/>
      <c r="V156" s="2"/>
      <c r="W156" s="2"/>
      <c r="X156" s="2"/>
      <c r="Y156" s="2"/>
      <c r="Z156" s="2"/>
      <c r="AA156" s="2"/>
      <c r="AB156" s="2"/>
    </row>
    <row r="157" spans="1:28" ht="14.25" customHeight="1">
      <c r="A157" s="47">
        <v>141</v>
      </c>
      <c r="B157" s="40"/>
      <c r="C157" s="37"/>
      <c r="D157" s="41"/>
      <c r="E157" s="41"/>
      <c r="F157" s="37"/>
      <c r="G157" s="37"/>
      <c r="H157" s="40"/>
      <c r="I157" s="37"/>
      <c r="J157" s="37"/>
      <c r="K157" s="55"/>
      <c r="L157" s="56"/>
      <c r="M157" s="40"/>
      <c r="N157" s="40"/>
      <c r="O157" s="2"/>
      <c r="P157" s="2"/>
      <c r="Q157" s="2"/>
      <c r="R157" s="2"/>
      <c r="S157" s="2"/>
      <c r="T157" s="2"/>
      <c r="U157" s="2"/>
      <c r="V157" s="2"/>
      <c r="W157" s="2"/>
      <c r="X157" s="2"/>
      <c r="Y157" s="2"/>
      <c r="Z157" s="2"/>
      <c r="AA157" s="2"/>
      <c r="AB157" s="2"/>
    </row>
    <row r="158" spans="1:28" ht="14.25" customHeight="1">
      <c r="A158" s="47">
        <v>142</v>
      </c>
      <c r="B158" s="40"/>
      <c r="C158" s="37"/>
      <c r="D158" s="41"/>
      <c r="E158" s="41"/>
      <c r="F158" s="37"/>
      <c r="G158" s="37"/>
      <c r="H158" s="40"/>
      <c r="I158" s="37"/>
      <c r="J158" s="37"/>
      <c r="K158" s="55"/>
      <c r="L158" s="56"/>
      <c r="M158" s="40"/>
      <c r="N158" s="40"/>
      <c r="O158" s="2"/>
      <c r="P158" s="2"/>
      <c r="Q158" s="2"/>
      <c r="R158" s="2"/>
      <c r="S158" s="2"/>
      <c r="T158" s="2"/>
      <c r="U158" s="2"/>
      <c r="V158" s="2"/>
      <c r="W158" s="2"/>
      <c r="X158" s="2"/>
      <c r="Y158" s="2"/>
      <c r="Z158" s="2"/>
      <c r="AA158" s="2"/>
      <c r="AB158" s="2"/>
    </row>
    <row r="159" spans="1:28" ht="14.25" customHeight="1">
      <c r="A159" s="47">
        <v>143</v>
      </c>
      <c r="B159" s="40"/>
      <c r="C159" s="37"/>
      <c r="D159" s="41"/>
      <c r="E159" s="41"/>
      <c r="F159" s="37"/>
      <c r="G159" s="37"/>
      <c r="H159" s="40"/>
      <c r="I159" s="37"/>
      <c r="J159" s="37"/>
      <c r="K159" s="55"/>
      <c r="L159" s="56"/>
      <c r="M159" s="40"/>
      <c r="N159" s="40"/>
      <c r="O159" s="2"/>
      <c r="P159" s="2"/>
      <c r="Q159" s="2"/>
      <c r="R159" s="2"/>
      <c r="S159" s="2"/>
      <c r="T159" s="2"/>
      <c r="U159" s="2"/>
      <c r="V159" s="2"/>
      <c r="W159" s="2"/>
      <c r="X159" s="2"/>
      <c r="Y159" s="2"/>
      <c r="Z159" s="2"/>
      <c r="AA159" s="2"/>
      <c r="AB159" s="2"/>
    </row>
    <row r="160" spans="1:28" ht="14.25" customHeight="1">
      <c r="A160" s="47">
        <v>144</v>
      </c>
      <c r="B160" s="40"/>
      <c r="C160" s="37"/>
      <c r="D160" s="41"/>
      <c r="E160" s="41"/>
      <c r="F160" s="37"/>
      <c r="G160" s="37"/>
      <c r="H160" s="40"/>
      <c r="I160" s="37"/>
      <c r="J160" s="37"/>
      <c r="K160" s="55"/>
      <c r="L160" s="56"/>
      <c r="M160" s="40"/>
      <c r="N160" s="40"/>
      <c r="O160" s="2"/>
      <c r="P160" s="2"/>
      <c r="Q160" s="2"/>
      <c r="R160" s="2"/>
      <c r="S160" s="2"/>
      <c r="T160" s="2"/>
      <c r="U160" s="2"/>
      <c r="V160" s="2"/>
      <c r="W160" s="2"/>
      <c r="X160" s="2"/>
      <c r="Y160" s="2"/>
      <c r="Z160" s="2"/>
      <c r="AA160" s="2"/>
      <c r="AB160" s="2"/>
    </row>
    <row r="161" spans="1:28" ht="14.25" customHeight="1">
      <c r="A161" s="47">
        <v>145</v>
      </c>
      <c r="B161" s="40"/>
      <c r="C161" s="37"/>
      <c r="D161" s="41"/>
      <c r="E161" s="41"/>
      <c r="F161" s="37"/>
      <c r="G161" s="37"/>
      <c r="H161" s="40"/>
      <c r="I161" s="37"/>
      <c r="J161" s="37"/>
      <c r="K161" s="55"/>
      <c r="L161" s="56"/>
      <c r="M161" s="40"/>
      <c r="N161" s="40"/>
      <c r="O161" s="2"/>
      <c r="P161" s="2"/>
      <c r="Q161" s="2"/>
      <c r="R161" s="2"/>
      <c r="S161" s="2"/>
      <c r="T161" s="2"/>
      <c r="U161" s="2"/>
      <c r="V161" s="2"/>
      <c r="W161" s="2"/>
      <c r="X161" s="2"/>
      <c r="Y161" s="2"/>
      <c r="Z161" s="2"/>
      <c r="AA161" s="2"/>
      <c r="AB161" s="2"/>
    </row>
    <row r="162" spans="1:28" ht="14.25" customHeight="1">
      <c r="A162" s="47">
        <v>146</v>
      </c>
      <c r="B162" s="40"/>
      <c r="C162" s="37"/>
      <c r="D162" s="41"/>
      <c r="E162" s="41"/>
      <c r="F162" s="37"/>
      <c r="G162" s="37"/>
      <c r="H162" s="40"/>
      <c r="I162" s="37"/>
      <c r="J162" s="37"/>
      <c r="K162" s="55"/>
      <c r="L162" s="56"/>
      <c r="M162" s="40"/>
      <c r="N162" s="40"/>
      <c r="O162" s="2"/>
      <c r="P162" s="2"/>
      <c r="Q162" s="2"/>
      <c r="R162" s="2"/>
      <c r="S162" s="2"/>
      <c r="T162" s="2"/>
      <c r="U162" s="2"/>
      <c r="V162" s="2"/>
      <c r="W162" s="2"/>
      <c r="X162" s="2"/>
      <c r="Y162" s="2"/>
      <c r="Z162" s="2"/>
      <c r="AA162" s="2"/>
      <c r="AB162" s="2"/>
    </row>
    <row r="163" spans="1:28" ht="14.25" customHeight="1">
      <c r="A163" s="47">
        <v>147</v>
      </c>
      <c r="B163" s="40"/>
      <c r="C163" s="37"/>
      <c r="D163" s="41"/>
      <c r="E163" s="41"/>
      <c r="F163" s="37"/>
      <c r="G163" s="37"/>
      <c r="H163" s="40"/>
      <c r="I163" s="37"/>
      <c r="J163" s="37"/>
      <c r="K163" s="55"/>
      <c r="L163" s="56"/>
      <c r="M163" s="40"/>
      <c r="N163" s="40"/>
      <c r="O163" s="2"/>
      <c r="P163" s="2"/>
      <c r="Q163" s="2"/>
      <c r="R163" s="2"/>
      <c r="S163" s="2"/>
      <c r="T163" s="2"/>
      <c r="U163" s="2"/>
      <c r="V163" s="2"/>
      <c r="W163" s="2"/>
      <c r="X163" s="2"/>
      <c r="Y163" s="2"/>
      <c r="Z163" s="2"/>
      <c r="AA163" s="2"/>
      <c r="AB163" s="2"/>
    </row>
    <row r="164" spans="1:28" ht="14.25" customHeight="1">
      <c r="A164" s="47">
        <v>148</v>
      </c>
      <c r="B164" s="40"/>
      <c r="C164" s="37"/>
      <c r="D164" s="41"/>
      <c r="E164" s="41"/>
      <c r="F164" s="37"/>
      <c r="G164" s="37"/>
      <c r="H164" s="40"/>
      <c r="I164" s="37"/>
      <c r="J164" s="37"/>
      <c r="K164" s="55"/>
      <c r="L164" s="56"/>
      <c r="M164" s="40"/>
      <c r="N164" s="40"/>
      <c r="O164" s="2"/>
      <c r="P164" s="2"/>
      <c r="Q164" s="2"/>
      <c r="R164" s="2"/>
      <c r="S164" s="2"/>
      <c r="T164" s="2"/>
      <c r="U164" s="2"/>
      <c r="V164" s="2"/>
      <c r="W164" s="2"/>
      <c r="X164" s="2"/>
      <c r="Y164" s="2"/>
      <c r="Z164" s="2"/>
      <c r="AA164" s="2"/>
      <c r="AB164" s="2"/>
    </row>
    <row r="165" spans="1:28" ht="14.25" customHeight="1">
      <c r="A165" s="47">
        <v>149</v>
      </c>
      <c r="B165" s="40"/>
      <c r="C165" s="37"/>
      <c r="D165" s="41"/>
      <c r="E165" s="41"/>
      <c r="F165" s="37"/>
      <c r="G165" s="37"/>
      <c r="H165" s="40"/>
      <c r="I165" s="37"/>
      <c r="J165" s="37"/>
      <c r="K165" s="55"/>
      <c r="L165" s="56"/>
      <c r="M165" s="40"/>
      <c r="N165" s="40"/>
      <c r="O165" s="2"/>
      <c r="P165" s="2"/>
      <c r="Q165" s="2"/>
      <c r="R165" s="2"/>
      <c r="S165" s="2"/>
      <c r="T165" s="2"/>
      <c r="U165" s="2"/>
      <c r="V165" s="2"/>
      <c r="W165" s="2"/>
      <c r="X165" s="2"/>
      <c r="Y165" s="2"/>
      <c r="Z165" s="2"/>
      <c r="AA165" s="2"/>
      <c r="AB165" s="2"/>
    </row>
    <row r="166" spans="1:28" ht="14.25" customHeight="1">
      <c r="A166" s="47">
        <v>150</v>
      </c>
      <c r="B166" s="40"/>
      <c r="C166" s="37"/>
      <c r="D166" s="41"/>
      <c r="E166" s="41"/>
      <c r="F166" s="37"/>
      <c r="G166" s="37"/>
      <c r="H166" s="40"/>
      <c r="I166" s="37"/>
      <c r="J166" s="37"/>
      <c r="K166" s="55"/>
      <c r="L166" s="56"/>
      <c r="M166" s="40"/>
      <c r="N166" s="40"/>
      <c r="O166" s="2"/>
      <c r="P166" s="2"/>
      <c r="Q166" s="2"/>
      <c r="R166" s="2"/>
      <c r="S166" s="2"/>
      <c r="T166" s="2"/>
      <c r="U166" s="2"/>
      <c r="V166" s="2"/>
      <c r="W166" s="2"/>
      <c r="X166" s="2"/>
      <c r="Y166" s="2"/>
      <c r="Z166" s="2"/>
      <c r="AA166" s="2"/>
      <c r="AB166" s="2"/>
    </row>
    <row r="167" spans="1:28" ht="14.25" customHeight="1">
      <c r="A167" s="47">
        <v>151</v>
      </c>
      <c r="B167" s="40"/>
      <c r="C167" s="37"/>
      <c r="D167" s="41"/>
      <c r="E167" s="41"/>
      <c r="F167" s="37"/>
      <c r="G167" s="37"/>
      <c r="H167" s="40"/>
      <c r="I167" s="37"/>
      <c r="J167" s="37"/>
      <c r="K167" s="55"/>
      <c r="L167" s="56"/>
      <c r="M167" s="40"/>
      <c r="N167" s="40"/>
      <c r="O167" s="2"/>
      <c r="P167" s="2"/>
      <c r="Q167" s="2"/>
      <c r="R167" s="2"/>
      <c r="S167" s="2"/>
      <c r="T167" s="2"/>
      <c r="U167" s="2"/>
      <c r="V167" s="2"/>
      <c r="W167" s="2"/>
      <c r="X167" s="2"/>
      <c r="Y167" s="2"/>
      <c r="Z167" s="2"/>
      <c r="AA167" s="2"/>
      <c r="AB167" s="2"/>
    </row>
    <row r="168" spans="1:28" ht="14.25" customHeight="1">
      <c r="A168" s="47">
        <v>152</v>
      </c>
      <c r="B168" s="40"/>
      <c r="C168" s="37"/>
      <c r="D168" s="41"/>
      <c r="E168" s="41"/>
      <c r="F168" s="37"/>
      <c r="G168" s="37"/>
      <c r="H168" s="40"/>
      <c r="I168" s="37"/>
      <c r="J168" s="37"/>
      <c r="K168" s="55"/>
      <c r="L168" s="56"/>
      <c r="M168" s="40"/>
      <c r="N168" s="40"/>
      <c r="O168" s="2"/>
      <c r="P168" s="2"/>
      <c r="Q168" s="2"/>
      <c r="R168" s="2"/>
      <c r="S168" s="2"/>
      <c r="T168" s="2"/>
      <c r="U168" s="2"/>
      <c r="V168" s="2"/>
      <c r="W168" s="2"/>
      <c r="X168" s="2"/>
      <c r="Y168" s="2"/>
      <c r="Z168" s="2"/>
      <c r="AA168" s="2"/>
      <c r="AB168" s="2"/>
    </row>
    <row r="169" spans="1:28" ht="14.25" customHeight="1">
      <c r="A169" s="47">
        <v>153</v>
      </c>
      <c r="B169" s="40"/>
      <c r="C169" s="37"/>
      <c r="D169" s="41"/>
      <c r="E169" s="41"/>
      <c r="F169" s="37"/>
      <c r="G169" s="37"/>
      <c r="H169" s="40"/>
      <c r="I169" s="37"/>
      <c r="J169" s="37"/>
      <c r="K169" s="55"/>
      <c r="L169" s="56"/>
      <c r="M169" s="40"/>
      <c r="N169" s="40"/>
      <c r="O169" s="2"/>
      <c r="P169" s="2"/>
      <c r="Q169" s="2"/>
      <c r="R169" s="2"/>
      <c r="S169" s="2"/>
      <c r="T169" s="2"/>
      <c r="U169" s="2"/>
      <c r="V169" s="2"/>
      <c r="W169" s="2"/>
      <c r="X169" s="2"/>
      <c r="Y169" s="2"/>
      <c r="Z169" s="2"/>
      <c r="AA169" s="2"/>
      <c r="AB169" s="2"/>
    </row>
    <row r="170" spans="1:28" ht="14.25" customHeight="1">
      <c r="A170" s="47">
        <v>154</v>
      </c>
      <c r="B170" s="40"/>
      <c r="C170" s="37"/>
      <c r="D170" s="41"/>
      <c r="E170" s="41"/>
      <c r="F170" s="37"/>
      <c r="G170" s="37"/>
      <c r="H170" s="40"/>
      <c r="I170" s="37"/>
      <c r="J170" s="37"/>
      <c r="K170" s="55"/>
      <c r="L170" s="56"/>
      <c r="M170" s="40"/>
      <c r="N170" s="40"/>
      <c r="O170" s="2"/>
      <c r="P170" s="2"/>
      <c r="Q170" s="2"/>
      <c r="R170" s="2"/>
      <c r="S170" s="2"/>
      <c r="T170" s="2"/>
      <c r="U170" s="2"/>
      <c r="V170" s="2"/>
      <c r="W170" s="2"/>
      <c r="X170" s="2"/>
      <c r="Y170" s="2"/>
      <c r="Z170" s="2"/>
      <c r="AA170" s="2"/>
      <c r="AB170" s="2"/>
    </row>
    <row r="171" spans="1:28" ht="14.25" customHeight="1">
      <c r="A171" s="47">
        <v>155</v>
      </c>
      <c r="B171" s="40"/>
      <c r="C171" s="37"/>
      <c r="D171" s="41"/>
      <c r="E171" s="41"/>
      <c r="F171" s="37"/>
      <c r="G171" s="37"/>
      <c r="H171" s="40"/>
      <c r="I171" s="37"/>
      <c r="J171" s="37"/>
      <c r="K171" s="55"/>
      <c r="L171" s="56"/>
      <c r="M171" s="40"/>
      <c r="N171" s="40"/>
      <c r="O171" s="2"/>
      <c r="P171" s="2"/>
      <c r="Q171" s="2"/>
      <c r="R171" s="2"/>
      <c r="S171" s="2"/>
      <c r="T171" s="2"/>
      <c r="U171" s="2"/>
      <c r="V171" s="2"/>
      <c r="W171" s="2"/>
      <c r="X171" s="2"/>
      <c r="Y171" s="2"/>
      <c r="Z171" s="2"/>
      <c r="AA171" s="2"/>
      <c r="AB171" s="2"/>
    </row>
    <row r="172" spans="1:28" ht="14.25" customHeight="1">
      <c r="A172" s="47">
        <v>156</v>
      </c>
      <c r="B172" s="40"/>
      <c r="C172" s="37"/>
      <c r="D172" s="41"/>
      <c r="E172" s="41"/>
      <c r="F172" s="37"/>
      <c r="G172" s="37"/>
      <c r="H172" s="40"/>
      <c r="I172" s="37"/>
      <c r="J172" s="37"/>
      <c r="K172" s="55"/>
      <c r="L172" s="56"/>
      <c r="M172" s="40"/>
      <c r="N172" s="40"/>
      <c r="O172" s="2"/>
      <c r="P172" s="2"/>
      <c r="Q172" s="2"/>
      <c r="R172" s="2"/>
      <c r="S172" s="2"/>
      <c r="T172" s="2"/>
      <c r="U172" s="2"/>
      <c r="V172" s="2"/>
      <c r="W172" s="2"/>
      <c r="X172" s="2"/>
      <c r="Y172" s="2"/>
      <c r="Z172" s="2"/>
      <c r="AA172" s="2"/>
      <c r="AB172" s="2"/>
    </row>
    <row r="173" spans="1:28" ht="14.25" customHeight="1">
      <c r="A173" s="47">
        <v>157</v>
      </c>
      <c r="B173" s="40"/>
      <c r="C173" s="37"/>
      <c r="D173" s="41"/>
      <c r="E173" s="41"/>
      <c r="F173" s="37"/>
      <c r="G173" s="37"/>
      <c r="H173" s="40"/>
      <c r="I173" s="37"/>
      <c r="J173" s="37"/>
      <c r="K173" s="55"/>
      <c r="L173" s="56"/>
      <c r="M173" s="40"/>
      <c r="N173" s="40"/>
      <c r="O173" s="2"/>
      <c r="P173" s="2"/>
      <c r="Q173" s="2"/>
      <c r="R173" s="2"/>
      <c r="S173" s="2"/>
      <c r="T173" s="2"/>
      <c r="U173" s="2"/>
      <c r="V173" s="2"/>
      <c r="W173" s="2"/>
      <c r="X173" s="2"/>
      <c r="Y173" s="2"/>
      <c r="Z173" s="2"/>
      <c r="AA173" s="2"/>
      <c r="AB173" s="2"/>
    </row>
    <row r="174" spans="1:28" ht="14.25" customHeight="1">
      <c r="A174" s="47">
        <v>158</v>
      </c>
      <c r="B174" s="40"/>
      <c r="C174" s="37"/>
      <c r="D174" s="41"/>
      <c r="E174" s="41"/>
      <c r="F174" s="37"/>
      <c r="G174" s="37"/>
      <c r="H174" s="40"/>
      <c r="I174" s="37"/>
      <c r="J174" s="37"/>
      <c r="K174" s="55"/>
      <c r="L174" s="56"/>
      <c r="M174" s="40"/>
      <c r="N174" s="40"/>
      <c r="O174" s="2"/>
      <c r="P174" s="2"/>
      <c r="Q174" s="2"/>
      <c r="R174" s="2"/>
      <c r="S174" s="2"/>
      <c r="T174" s="2"/>
      <c r="U174" s="2"/>
      <c r="V174" s="2"/>
      <c r="W174" s="2"/>
      <c r="X174" s="2"/>
      <c r="Y174" s="2"/>
      <c r="Z174" s="2"/>
      <c r="AA174" s="2"/>
      <c r="AB174" s="2"/>
    </row>
    <row r="175" spans="1:28" ht="14.25" customHeight="1">
      <c r="A175" s="47">
        <v>159</v>
      </c>
      <c r="B175" s="40"/>
      <c r="C175" s="37"/>
      <c r="D175" s="41"/>
      <c r="E175" s="41"/>
      <c r="F175" s="37"/>
      <c r="G175" s="37"/>
      <c r="H175" s="40"/>
      <c r="I175" s="37"/>
      <c r="J175" s="37"/>
      <c r="K175" s="55"/>
      <c r="L175" s="56"/>
      <c r="M175" s="40"/>
      <c r="N175" s="40"/>
      <c r="O175" s="2"/>
      <c r="P175" s="2"/>
      <c r="Q175" s="2"/>
      <c r="R175" s="2"/>
      <c r="S175" s="2"/>
      <c r="T175" s="2"/>
      <c r="U175" s="2"/>
      <c r="V175" s="2"/>
      <c r="W175" s="2"/>
      <c r="X175" s="2"/>
      <c r="Y175" s="2"/>
      <c r="Z175" s="2"/>
      <c r="AA175" s="2"/>
      <c r="AB175" s="2"/>
    </row>
    <row r="176" spans="1:28" ht="14.25" customHeight="1">
      <c r="A176" s="47">
        <v>160</v>
      </c>
      <c r="B176" s="40"/>
      <c r="C176" s="37"/>
      <c r="D176" s="41"/>
      <c r="E176" s="41"/>
      <c r="F176" s="37"/>
      <c r="G176" s="37"/>
      <c r="H176" s="40"/>
      <c r="I176" s="37"/>
      <c r="J176" s="37"/>
      <c r="K176" s="55"/>
      <c r="L176" s="56"/>
      <c r="M176" s="40"/>
      <c r="N176" s="40"/>
      <c r="O176" s="2"/>
      <c r="P176" s="2"/>
      <c r="Q176" s="2"/>
      <c r="R176" s="2"/>
      <c r="S176" s="2"/>
      <c r="T176" s="2"/>
      <c r="U176" s="2"/>
      <c r="V176" s="2"/>
      <c r="W176" s="2"/>
      <c r="X176" s="2"/>
      <c r="Y176" s="2"/>
      <c r="Z176" s="2"/>
      <c r="AA176" s="2"/>
      <c r="AB176" s="2"/>
    </row>
    <row r="177" spans="1:28" ht="14.25" customHeight="1">
      <c r="A177" s="47">
        <v>161</v>
      </c>
      <c r="B177" s="40"/>
      <c r="C177" s="37"/>
      <c r="D177" s="41"/>
      <c r="E177" s="41"/>
      <c r="F177" s="37"/>
      <c r="G177" s="37"/>
      <c r="H177" s="40"/>
      <c r="I177" s="37"/>
      <c r="J177" s="37"/>
      <c r="K177" s="55"/>
      <c r="L177" s="56"/>
      <c r="M177" s="40"/>
      <c r="N177" s="40"/>
      <c r="O177" s="2"/>
      <c r="P177" s="2"/>
      <c r="Q177" s="2"/>
      <c r="R177" s="2"/>
      <c r="S177" s="2"/>
      <c r="T177" s="2"/>
      <c r="U177" s="2"/>
      <c r="V177" s="2"/>
      <c r="W177" s="2"/>
      <c r="X177" s="2"/>
      <c r="Y177" s="2"/>
      <c r="Z177" s="2"/>
      <c r="AA177" s="2"/>
      <c r="AB177" s="2"/>
    </row>
    <row r="178" spans="1:28" ht="14.25" customHeight="1">
      <c r="A178" s="47">
        <v>162</v>
      </c>
      <c r="B178" s="40"/>
      <c r="C178" s="37"/>
      <c r="D178" s="41"/>
      <c r="E178" s="41"/>
      <c r="F178" s="37"/>
      <c r="G178" s="37"/>
      <c r="H178" s="40"/>
      <c r="I178" s="37"/>
      <c r="J178" s="37"/>
      <c r="K178" s="55"/>
      <c r="L178" s="56"/>
      <c r="M178" s="40"/>
      <c r="N178" s="40"/>
      <c r="O178" s="2"/>
      <c r="P178" s="2"/>
      <c r="Q178" s="2"/>
      <c r="R178" s="2"/>
      <c r="S178" s="2"/>
      <c r="T178" s="2"/>
      <c r="U178" s="2"/>
      <c r="V178" s="2"/>
      <c r="W178" s="2"/>
      <c r="X178" s="2"/>
      <c r="Y178" s="2"/>
      <c r="Z178" s="2"/>
      <c r="AA178" s="2"/>
      <c r="AB178" s="2"/>
    </row>
    <row r="179" spans="1:28" ht="14.25" customHeight="1">
      <c r="A179" s="47">
        <v>163</v>
      </c>
      <c r="B179" s="40"/>
      <c r="C179" s="37"/>
      <c r="D179" s="41"/>
      <c r="E179" s="41"/>
      <c r="F179" s="37"/>
      <c r="G179" s="37"/>
      <c r="H179" s="40"/>
      <c r="I179" s="37"/>
      <c r="J179" s="37"/>
      <c r="K179" s="55"/>
      <c r="L179" s="56"/>
      <c r="M179" s="40"/>
      <c r="N179" s="40"/>
      <c r="O179" s="2"/>
      <c r="P179" s="2"/>
      <c r="Q179" s="2"/>
      <c r="R179" s="2"/>
      <c r="S179" s="2"/>
      <c r="T179" s="2"/>
      <c r="U179" s="2"/>
      <c r="V179" s="2"/>
      <c r="W179" s="2"/>
      <c r="X179" s="2"/>
      <c r="Y179" s="2"/>
      <c r="Z179" s="2"/>
      <c r="AA179" s="2"/>
      <c r="AB179" s="2"/>
    </row>
    <row r="180" spans="1:28" ht="14.25" customHeight="1">
      <c r="A180" s="47">
        <v>164</v>
      </c>
      <c r="B180" s="40"/>
      <c r="C180" s="37"/>
      <c r="D180" s="41"/>
      <c r="E180" s="41"/>
      <c r="F180" s="37"/>
      <c r="G180" s="37"/>
      <c r="H180" s="40"/>
      <c r="I180" s="37"/>
      <c r="J180" s="37"/>
      <c r="K180" s="55"/>
      <c r="L180" s="56"/>
      <c r="M180" s="40"/>
      <c r="N180" s="40"/>
      <c r="O180" s="2"/>
      <c r="P180" s="2"/>
      <c r="Q180" s="2"/>
      <c r="R180" s="2"/>
      <c r="S180" s="2"/>
      <c r="T180" s="2"/>
      <c r="U180" s="2"/>
      <c r="V180" s="2"/>
      <c r="W180" s="2"/>
      <c r="X180" s="2"/>
      <c r="Y180" s="2"/>
      <c r="Z180" s="2"/>
      <c r="AA180" s="2"/>
      <c r="AB180" s="2"/>
    </row>
    <row r="181" spans="1:28" ht="14.25" customHeight="1">
      <c r="A181" s="47">
        <v>165</v>
      </c>
      <c r="B181" s="40"/>
      <c r="C181" s="37"/>
      <c r="D181" s="41"/>
      <c r="E181" s="41"/>
      <c r="F181" s="37"/>
      <c r="G181" s="37"/>
      <c r="H181" s="40"/>
      <c r="I181" s="37"/>
      <c r="J181" s="37"/>
      <c r="K181" s="55"/>
      <c r="L181" s="56"/>
      <c r="M181" s="40"/>
      <c r="N181" s="40"/>
      <c r="O181" s="2"/>
      <c r="P181" s="2"/>
      <c r="Q181" s="2"/>
      <c r="R181" s="2"/>
      <c r="S181" s="2"/>
      <c r="T181" s="2"/>
      <c r="U181" s="2"/>
      <c r="V181" s="2"/>
      <c r="W181" s="2"/>
      <c r="X181" s="2"/>
      <c r="Y181" s="2"/>
      <c r="Z181" s="2"/>
      <c r="AA181" s="2"/>
      <c r="AB181" s="2"/>
    </row>
    <row r="182" spans="1:28" ht="14.25" customHeight="1">
      <c r="A182" s="47">
        <v>166</v>
      </c>
      <c r="B182" s="40"/>
      <c r="C182" s="37"/>
      <c r="D182" s="41"/>
      <c r="E182" s="41"/>
      <c r="F182" s="37"/>
      <c r="G182" s="37"/>
      <c r="H182" s="40"/>
      <c r="I182" s="37"/>
      <c r="J182" s="37"/>
      <c r="K182" s="55"/>
      <c r="L182" s="56"/>
      <c r="M182" s="40"/>
      <c r="N182" s="40"/>
      <c r="O182" s="2"/>
      <c r="P182" s="2"/>
      <c r="Q182" s="2"/>
      <c r="R182" s="2"/>
      <c r="S182" s="2"/>
      <c r="T182" s="2"/>
      <c r="U182" s="2"/>
      <c r="V182" s="2"/>
      <c r="W182" s="2"/>
      <c r="X182" s="2"/>
      <c r="Y182" s="2"/>
      <c r="Z182" s="2"/>
      <c r="AA182" s="2"/>
      <c r="AB182" s="2"/>
    </row>
    <row r="183" spans="1:28" ht="14.25" customHeight="1">
      <c r="A183" s="47">
        <v>167</v>
      </c>
      <c r="B183" s="40"/>
      <c r="C183" s="37"/>
      <c r="D183" s="41"/>
      <c r="E183" s="41"/>
      <c r="F183" s="37"/>
      <c r="G183" s="37"/>
      <c r="H183" s="40"/>
      <c r="I183" s="37"/>
      <c r="J183" s="37"/>
      <c r="K183" s="55"/>
      <c r="L183" s="56"/>
      <c r="M183" s="40"/>
      <c r="N183" s="40"/>
      <c r="O183" s="2"/>
      <c r="P183" s="2"/>
      <c r="Q183" s="2"/>
      <c r="R183" s="2"/>
      <c r="S183" s="2"/>
      <c r="T183" s="2"/>
      <c r="U183" s="2"/>
      <c r="V183" s="2"/>
      <c r="W183" s="2"/>
      <c r="X183" s="2"/>
      <c r="Y183" s="2"/>
      <c r="Z183" s="2"/>
      <c r="AA183" s="2"/>
      <c r="AB183" s="2"/>
    </row>
    <row r="184" spans="1:28" ht="14.25" customHeight="1">
      <c r="A184" s="47">
        <v>168</v>
      </c>
      <c r="B184" s="40"/>
      <c r="C184" s="37"/>
      <c r="D184" s="41"/>
      <c r="E184" s="41"/>
      <c r="F184" s="37"/>
      <c r="G184" s="37"/>
      <c r="H184" s="40"/>
      <c r="I184" s="37"/>
      <c r="J184" s="37"/>
      <c r="K184" s="55"/>
      <c r="L184" s="56"/>
      <c r="M184" s="40"/>
      <c r="N184" s="40"/>
      <c r="O184" s="2"/>
      <c r="P184" s="2"/>
      <c r="Q184" s="2"/>
      <c r="R184" s="2"/>
      <c r="S184" s="2"/>
      <c r="T184" s="2"/>
      <c r="U184" s="2"/>
      <c r="V184" s="2"/>
      <c r="W184" s="2"/>
      <c r="X184" s="2"/>
      <c r="Y184" s="2"/>
      <c r="Z184" s="2"/>
      <c r="AA184" s="2"/>
      <c r="AB184" s="2"/>
    </row>
    <row r="185" spans="1:28" ht="14.25" customHeight="1">
      <c r="A185" s="47">
        <v>169</v>
      </c>
      <c r="B185" s="40"/>
      <c r="C185" s="37"/>
      <c r="D185" s="41"/>
      <c r="E185" s="41"/>
      <c r="F185" s="37"/>
      <c r="G185" s="37"/>
      <c r="H185" s="40"/>
      <c r="I185" s="37"/>
      <c r="J185" s="37"/>
      <c r="K185" s="55"/>
      <c r="L185" s="56"/>
      <c r="M185" s="40"/>
      <c r="N185" s="40"/>
      <c r="O185" s="2"/>
      <c r="P185" s="2"/>
      <c r="Q185" s="2"/>
      <c r="R185" s="2"/>
      <c r="S185" s="2"/>
      <c r="T185" s="2"/>
      <c r="U185" s="2"/>
      <c r="V185" s="2"/>
      <c r="W185" s="2"/>
      <c r="X185" s="2"/>
      <c r="Y185" s="2"/>
      <c r="Z185" s="2"/>
      <c r="AA185" s="2"/>
      <c r="AB185" s="2"/>
    </row>
    <row r="186" spans="1:28" ht="14.25" customHeight="1">
      <c r="A186" s="47">
        <v>170</v>
      </c>
      <c r="B186" s="40"/>
      <c r="C186" s="37"/>
      <c r="D186" s="41"/>
      <c r="E186" s="41"/>
      <c r="F186" s="37"/>
      <c r="G186" s="37"/>
      <c r="H186" s="40"/>
      <c r="I186" s="37"/>
      <c r="J186" s="37"/>
      <c r="K186" s="55"/>
      <c r="L186" s="56"/>
      <c r="M186" s="40"/>
      <c r="N186" s="40"/>
      <c r="O186" s="2"/>
      <c r="P186" s="2"/>
      <c r="Q186" s="2"/>
      <c r="R186" s="2"/>
      <c r="S186" s="2"/>
      <c r="T186" s="2"/>
      <c r="U186" s="2"/>
      <c r="V186" s="2"/>
      <c r="W186" s="2"/>
      <c r="X186" s="2"/>
      <c r="Y186" s="2"/>
      <c r="Z186" s="2"/>
      <c r="AA186" s="2"/>
      <c r="AB186" s="2"/>
    </row>
    <row r="187" spans="1:28" ht="14.25" customHeight="1">
      <c r="A187" s="47">
        <v>171</v>
      </c>
      <c r="B187" s="40"/>
      <c r="C187" s="37"/>
      <c r="D187" s="41"/>
      <c r="E187" s="41"/>
      <c r="F187" s="37"/>
      <c r="G187" s="37"/>
      <c r="H187" s="40"/>
      <c r="I187" s="37"/>
      <c r="J187" s="37"/>
      <c r="K187" s="55"/>
      <c r="L187" s="56"/>
      <c r="M187" s="40"/>
      <c r="N187" s="40"/>
      <c r="O187" s="2"/>
      <c r="P187" s="2"/>
      <c r="Q187" s="2"/>
      <c r="R187" s="2"/>
      <c r="S187" s="2"/>
      <c r="T187" s="2"/>
      <c r="U187" s="2"/>
      <c r="V187" s="2"/>
      <c r="W187" s="2"/>
      <c r="X187" s="2"/>
      <c r="Y187" s="2"/>
      <c r="Z187" s="2"/>
      <c r="AA187" s="2"/>
      <c r="AB187" s="2"/>
    </row>
    <row r="188" spans="1:28" ht="14.25" customHeight="1">
      <c r="A188" s="47">
        <v>172</v>
      </c>
      <c r="B188" s="40"/>
      <c r="C188" s="37"/>
      <c r="D188" s="41"/>
      <c r="E188" s="41"/>
      <c r="F188" s="37"/>
      <c r="G188" s="37"/>
      <c r="H188" s="40"/>
      <c r="I188" s="37"/>
      <c r="J188" s="37"/>
      <c r="K188" s="55"/>
      <c r="L188" s="56"/>
      <c r="M188" s="40"/>
      <c r="N188" s="40"/>
      <c r="O188" s="2"/>
      <c r="P188" s="2"/>
      <c r="Q188" s="2"/>
      <c r="R188" s="2"/>
      <c r="S188" s="2"/>
      <c r="T188" s="2"/>
      <c r="U188" s="2"/>
      <c r="V188" s="2"/>
      <c r="W188" s="2"/>
      <c r="X188" s="2"/>
      <c r="Y188" s="2"/>
      <c r="Z188" s="2"/>
      <c r="AA188" s="2"/>
      <c r="AB188" s="2"/>
    </row>
    <row r="189" spans="1:28" ht="14.25" customHeight="1">
      <c r="A189" s="47">
        <v>173</v>
      </c>
      <c r="B189" s="40"/>
      <c r="C189" s="37"/>
      <c r="D189" s="41"/>
      <c r="E189" s="41"/>
      <c r="F189" s="37"/>
      <c r="G189" s="37"/>
      <c r="H189" s="40"/>
      <c r="I189" s="37"/>
      <c r="J189" s="37"/>
      <c r="K189" s="55"/>
      <c r="L189" s="56"/>
      <c r="M189" s="40"/>
      <c r="N189" s="40"/>
      <c r="O189" s="2"/>
      <c r="P189" s="2"/>
      <c r="Q189" s="2"/>
      <c r="R189" s="2"/>
      <c r="S189" s="2"/>
      <c r="T189" s="2"/>
      <c r="U189" s="2"/>
      <c r="V189" s="2"/>
      <c r="W189" s="2"/>
      <c r="X189" s="2"/>
      <c r="Y189" s="2"/>
      <c r="Z189" s="2"/>
      <c r="AA189" s="2"/>
      <c r="AB189" s="2"/>
    </row>
    <row r="190" spans="1:28" ht="14.25" customHeight="1">
      <c r="A190" s="47">
        <v>174</v>
      </c>
      <c r="B190" s="40"/>
      <c r="C190" s="37"/>
      <c r="D190" s="41"/>
      <c r="E190" s="41"/>
      <c r="F190" s="37"/>
      <c r="G190" s="37"/>
      <c r="H190" s="40"/>
      <c r="I190" s="37"/>
      <c r="J190" s="37"/>
      <c r="K190" s="55"/>
      <c r="L190" s="56"/>
      <c r="M190" s="40"/>
      <c r="N190" s="40"/>
      <c r="O190" s="2"/>
      <c r="P190" s="2"/>
      <c r="Q190" s="2"/>
      <c r="R190" s="2"/>
      <c r="S190" s="2"/>
      <c r="T190" s="2"/>
      <c r="U190" s="2"/>
      <c r="V190" s="2"/>
      <c r="W190" s="2"/>
      <c r="X190" s="2"/>
      <c r="Y190" s="2"/>
      <c r="Z190" s="2"/>
      <c r="AA190" s="2"/>
      <c r="AB190" s="2"/>
    </row>
    <row r="191" spans="1:28" ht="14.25" customHeight="1">
      <c r="A191" s="47">
        <v>175</v>
      </c>
      <c r="B191" s="40"/>
      <c r="C191" s="37"/>
      <c r="D191" s="41"/>
      <c r="E191" s="41"/>
      <c r="F191" s="37"/>
      <c r="G191" s="37"/>
      <c r="H191" s="40"/>
      <c r="I191" s="37"/>
      <c r="J191" s="37"/>
      <c r="K191" s="55"/>
      <c r="L191" s="56"/>
      <c r="M191" s="40"/>
      <c r="N191" s="40"/>
      <c r="O191" s="2"/>
      <c r="P191" s="2"/>
      <c r="Q191" s="2"/>
      <c r="R191" s="2"/>
      <c r="S191" s="2"/>
      <c r="T191" s="2"/>
      <c r="U191" s="2"/>
      <c r="V191" s="2"/>
      <c r="W191" s="2"/>
      <c r="X191" s="2"/>
      <c r="Y191" s="2"/>
      <c r="Z191" s="2"/>
      <c r="AA191" s="2"/>
      <c r="AB191" s="2"/>
    </row>
    <row r="192" spans="1:28" ht="14.25" customHeight="1">
      <c r="A192" s="47">
        <v>176</v>
      </c>
      <c r="B192" s="40"/>
      <c r="C192" s="37"/>
      <c r="D192" s="41"/>
      <c r="E192" s="41"/>
      <c r="F192" s="37"/>
      <c r="G192" s="37"/>
      <c r="H192" s="40"/>
      <c r="I192" s="37"/>
      <c r="J192" s="37"/>
      <c r="K192" s="55"/>
      <c r="L192" s="56"/>
      <c r="M192" s="40"/>
      <c r="N192" s="40"/>
      <c r="O192" s="2"/>
      <c r="P192" s="2"/>
      <c r="Q192" s="2"/>
      <c r="R192" s="2"/>
      <c r="S192" s="2"/>
      <c r="T192" s="2"/>
      <c r="U192" s="2"/>
      <c r="V192" s="2"/>
      <c r="W192" s="2"/>
      <c r="X192" s="2"/>
      <c r="Y192" s="2"/>
      <c r="Z192" s="2"/>
      <c r="AA192" s="2"/>
      <c r="AB192" s="2"/>
    </row>
    <row r="193" spans="1:28" ht="14.25" customHeight="1">
      <c r="A193" s="47">
        <v>177</v>
      </c>
      <c r="B193" s="40"/>
      <c r="C193" s="37"/>
      <c r="D193" s="41"/>
      <c r="E193" s="41"/>
      <c r="F193" s="37"/>
      <c r="G193" s="37"/>
      <c r="H193" s="40"/>
      <c r="I193" s="37"/>
      <c r="J193" s="37"/>
      <c r="K193" s="55"/>
      <c r="L193" s="56"/>
      <c r="M193" s="40"/>
      <c r="N193" s="40"/>
      <c r="O193" s="2"/>
      <c r="P193" s="2"/>
      <c r="Q193" s="2"/>
      <c r="R193" s="2"/>
      <c r="S193" s="2"/>
      <c r="T193" s="2"/>
      <c r="U193" s="2"/>
      <c r="V193" s="2"/>
      <c r="W193" s="2"/>
      <c r="X193" s="2"/>
      <c r="Y193" s="2"/>
      <c r="Z193" s="2"/>
      <c r="AA193" s="2"/>
      <c r="AB193" s="2"/>
    </row>
    <row r="194" spans="1:28" ht="14.25" customHeight="1">
      <c r="A194" s="47">
        <v>178</v>
      </c>
      <c r="B194" s="40"/>
      <c r="C194" s="37"/>
      <c r="D194" s="41"/>
      <c r="E194" s="41"/>
      <c r="F194" s="37"/>
      <c r="G194" s="37"/>
      <c r="H194" s="40"/>
      <c r="I194" s="37"/>
      <c r="J194" s="37"/>
      <c r="K194" s="55"/>
      <c r="L194" s="56"/>
      <c r="M194" s="40"/>
      <c r="N194" s="40"/>
      <c r="O194" s="2"/>
      <c r="P194" s="2"/>
      <c r="Q194" s="2"/>
      <c r="R194" s="2"/>
      <c r="S194" s="2"/>
      <c r="T194" s="2"/>
      <c r="U194" s="2"/>
      <c r="V194" s="2"/>
      <c r="W194" s="2"/>
      <c r="X194" s="2"/>
      <c r="Y194" s="2"/>
      <c r="Z194" s="2"/>
      <c r="AA194" s="2"/>
      <c r="AB194" s="2"/>
    </row>
    <row r="195" spans="1:28" ht="14.25" customHeight="1">
      <c r="A195" s="47">
        <v>179</v>
      </c>
      <c r="B195" s="40"/>
      <c r="C195" s="37"/>
      <c r="D195" s="41"/>
      <c r="E195" s="41"/>
      <c r="F195" s="37"/>
      <c r="G195" s="37"/>
      <c r="H195" s="40"/>
      <c r="I195" s="37"/>
      <c r="J195" s="37"/>
      <c r="K195" s="55"/>
      <c r="L195" s="56"/>
      <c r="M195" s="40"/>
      <c r="N195" s="40"/>
      <c r="O195" s="2"/>
      <c r="P195" s="2"/>
      <c r="Q195" s="2"/>
      <c r="R195" s="2"/>
      <c r="S195" s="2"/>
      <c r="T195" s="2"/>
      <c r="U195" s="2"/>
      <c r="V195" s="2"/>
      <c r="W195" s="2"/>
      <c r="X195" s="2"/>
      <c r="Y195" s="2"/>
      <c r="Z195" s="2"/>
      <c r="AA195" s="2"/>
      <c r="AB195" s="2"/>
    </row>
    <row r="196" spans="1:28" ht="14.25" customHeight="1">
      <c r="A196" s="53">
        <v>153</v>
      </c>
      <c r="B196" s="40"/>
      <c r="C196" s="37"/>
      <c r="D196" s="41"/>
      <c r="E196" s="41"/>
      <c r="F196" s="37"/>
      <c r="G196" s="37"/>
      <c r="H196" s="40"/>
      <c r="I196" s="37"/>
      <c r="J196" s="37"/>
      <c r="K196" s="55"/>
      <c r="L196" s="56"/>
      <c r="M196" s="40"/>
      <c r="N196" s="40"/>
      <c r="O196" s="2"/>
      <c r="P196" s="2"/>
      <c r="Q196" s="2"/>
      <c r="R196" s="2"/>
      <c r="S196" s="2"/>
      <c r="T196" s="2"/>
      <c r="U196" s="2"/>
      <c r="V196" s="2"/>
      <c r="W196" s="2"/>
      <c r="X196" s="2"/>
      <c r="Y196" s="2"/>
      <c r="Z196" s="2"/>
      <c r="AA196" s="2"/>
      <c r="AB196" s="2"/>
    </row>
    <row r="197" spans="1:28" ht="14.25" customHeight="1">
      <c r="A197" s="53">
        <v>154</v>
      </c>
      <c r="B197" s="40"/>
      <c r="C197" s="37"/>
      <c r="D197" s="41"/>
      <c r="E197" s="41"/>
      <c r="F197" s="37"/>
      <c r="G197" s="37"/>
      <c r="H197" s="40"/>
      <c r="I197" s="37"/>
      <c r="J197" s="37"/>
      <c r="K197" s="55"/>
      <c r="L197" s="56"/>
      <c r="M197" s="40"/>
      <c r="N197" s="40"/>
      <c r="O197" s="2"/>
      <c r="P197" s="2"/>
      <c r="Q197" s="2"/>
      <c r="R197" s="2"/>
      <c r="S197" s="2"/>
      <c r="T197" s="2"/>
      <c r="U197" s="2"/>
      <c r="V197" s="2"/>
      <c r="W197" s="2"/>
      <c r="X197" s="2"/>
      <c r="Y197" s="2"/>
      <c r="Z197" s="2"/>
      <c r="AA197" s="2"/>
      <c r="AB197" s="2"/>
    </row>
    <row r="198" spans="1:28" ht="14.25" customHeight="1">
      <c r="A198" s="53">
        <v>155</v>
      </c>
      <c r="B198" s="40"/>
      <c r="C198" s="37"/>
      <c r="D198" s="41"/>
      <c r="E198" s="41"/>
      <c r="F198" s="37"/>
      <c r="G198" s="37"/>
      <c r="H198" s="40"/>
      <c r="I198" s="37"/>
      <c r="J198" s="37"/>
      <c r="K198" s="55"/>
      <c r="L198" s="56"/>
      <c r="M198" s="40"/>
      <c r="N198" s="40"/>
      <c r="O198" s="2"/>
      <c r="P198" s="2"/>
      <c r="Q198" s="2"/>
      <c r="R198" s="2"/>
      <c r="S198" s="2"/>
      <c r="T198" s="2"/>
      <c r="U198" s="2"/>
      <c r="V198" s="2"/>
      <c r="W198" s="2"/>
      <c r="X198" s="2"/>
      <c r="Y198" s="2"/>
      <c r="Z198" s="2"/>
      <c r="AA198" s="2"/>
      <c r="AB198" s="2"/>
    </row>
    <row r="199" spans="1:28" ht="14.25" customHeight="1">
      <c r="A199" s="53">
        <v>156</v>
      </c>
      <c r="B199" s="40"/>
      <c r="C199" s="37"/>
      <c r="D199" s="41"/>
      <c r="E199" s="41"/>
      <c r="F199" s="37"/>
      <c r="G199" s="37"/>
      <c r="H199" s="40"/>
      <c r="I199" s="37"/>
      <c r="J199" s="37"/>
      <c r="K199" s="55"/>
      <c r="L199" s="56"/>
      <c r="M199" s="40"/>
      <c r="N199" s="40"/>
      <c r="O199" s="2"/>
      <c r="P199" s="2"/>
      <c r="Q199" s="2"/>
      <c r="R199" s="2"/>
      <c r="S199" s="2"/>
      <c r="T199" s="2"/>
      <c r="U199" s="2"/>
      <c r="V199" s="2"/>
      <c r="W199" s="2"/>
      <c r="X199" s="2"/>
      <c r="Y199" s="2"/>
      <c r="Z199" s="2"/>
      <c r="AA199" s="2"/>
      <c r="AB199" s="2"/>
    </row>
    <row r="200" spans="1:28" ht="14.25" customHeight="1">
      <c r="A200" s="53">
        <v>157</v>
      </c>
      <c r="B200" s="40"/>
      <c r="C200" s="37"/>
      <c r="D200" s="41"/>
      <c r="E200" s="41"/>
      <c r="F200" s="37"/>
      <c r="G200" s="37"/>
      <c r="H200" s="40"/>
      <c r="I200" s="37"/>
      <c r="J200" s="37"/>
      <c r="K200" s="55"/>
      <c r="L200" s="56"/>
      <c r="M200" s="40"/>
      <c r="N200" s="40"/>
      <c r="O200" s="2"/>
      <c r="P200" s="2"/>
      <c r="Q200" s="2"/>
      <c r="R200" s="2"/>
      <c r="S200" s="2"/>
      <c r="T200" s="2"/>
      <c r="U200" s="2"/>
      <c r="V200" s="2"/>
      <c r="W200" s="2"/>
      <c r="X200" s="2"/>
      <c r="Y200" s="2"/>
      <c r="Z200" s="2"/>
      <c r="AA200" s="2"/>
      <c r="AB200" s="2"/>
    </row>
    <row r="201" spans="1:28" ht="14.25" customHeight="1">
      <c r="A201" s="53">
        <v>158</v>
      </c>
      <c r="B201" s="40"/>
      <c r="C201" s="37"/>
      <c r="D201" s="41"/>
      <c r="E201" s="41"/>
      <c r="F201" s="37"/>
      <c r="G201" s="37"/>
      <c r="H201" s="40"/>
      <c r="I201" s="37"/>
      <c r="J201" s="37"/>
      <c r="K201" s="55"/>
      <c r="L201" s="56"/>
      <c r="M201" s="40"/>
      <c r="N201" s="40"/>
      <c r="O201" s="2"/>
      <c r="P201" s="2"/>
      <c r="Q201" s="2"/>
      <c r="R201" s="2"/>
      <c r="S201" s="2"/>
      <c r="T201" s="2"/>
      <c r="U201" s="2"/>
      <c r="V201" s="2"/>
      <c r="W201" s="2"/>
      <c r="X201" s="2"/>
      <c r="Y201" s="2"/>
      <c r="Z201" s="2"/>
      <c r="AA201" s="2"/>
      <c r="AB201" s="2"/>
    </row>
    <row r="202" spans="1:28" ht="14.25" customHeight="1">
      <c r="A202" s="53">
        <v>159</v>
      </c>
      <c r="B202" s="40"/>
      <c r="C202" s="37"/>
      <c r="D202" s="41"/>
      <c r="E202" s="41"/>
      <c r="F202" s="37"/>
      <c r="G202" s="37"/>
      <c r="H202" s="40"/>
      <c r="I202" s="37"/>
      <c r="J202" s="37"/>
      <c r="K202" s="55"/>
      <c r="L202" s="56"/>
      <c r="M202" s="40"/>
      <c r="N202" s="40"/>
      <c r="O202" s="2"/>
      <c r="P202" s="2"/>
      <c r="Q202" s="2"/>
      <c r="R202" s="2"/>
      <c r="S202" s="2"/>
      <c r="T202" s="2"/>
      <c r="U202" s="2"/>
      <c r="V202" s="2"/>
      <c r="W202" s="2"/>
      <c r="X202" s="2"/>
      <c r="Y202" s="2"/>
      <c r="Z202" s="2"/>
      <c r="AA202" s="2"/>
      <c r="AB202" s="2"/>
    </row>
    <row r="203" spans="1:28" ht="14.25" customHeight="1">
      <c r="A203" s="53">
        <v>160</v>
      </c>
      <c r="B203" s="40"/>
      <c r="C203" s="37"/>
      <c r="D203" s="41"/>
      <c r="E203" s="41"/>
      <c r="F203" s="37"/>
      <c r="G203" s="37"/>
      <c r="H203" s="40"/>
      <c r="I203" s="37"/>
      <c r="J203" s="37"/>
      <c r="K203" s="55"/>
      <c r="L203" s="56"/>
      <c r="M203" s="40"/>
      <c r="N203" s="40"/>
      <c r="O203" s="2"/>
      <c r="P203" s="2"/>
      <c r="Q203" s="2"/>
      <c r="R203" s="2"/>
      <c r="S203" s="2"/>
      <c r="T203" s="2"/>
      <c r="U203" s="2"/>
      <c r="V203" s="2"/>
      <c r="W203" s="2"/>
      <c r="X203" s="2"/>
      <c r="Y203" s="2"/>
      <c r="Z203" s="2"/>
      <c r="AA203" s="2"/>
      <c r="AB203" s="2"/>
    </row>
    <row r="204" spans="1:28" ht="14.25" customHeight="1">
      <c r="A204" s="53">
        <v>161</v>
      </c>
      <c r="B204" s="40"/>
      <c r="C204" s="37"/>
      <c r="D204" s="41"/>
      <c r="E204" s="41"/>
      <c r="F204" s="37"/>
      <c r="G204" s="37"/>
      <c r="H204" s="40"/>
      <c r="I204" s="37"/>
      <c r="J204" s="37"/>
      <c r="K204" s="55"/>
      <c r="L204" s="56"/>
      <c r="M204" s="40"/>
      <c r="N204" s="40"/>
      <c r="O204" s="2"/>
      <c r="P204" s="2"/>
      <c r="Q204" s="2"/>
      <c r="R204" s="2"/>
      <c r="S204" s="2"/>
      <c r="T204" s="2"/>
      <c r="U204" s="2"/>
      <c r="V204" s="2"/>
      <c r="W204" s="2"/>
      <c r="X204" s="2"/>
      <c r="Y204" s="2"/>
      <c r="Z204" s="2"/>
      <c r="AA204" s="2"/>
      <c r="AB204" s="2"/>
    </row>
    <row r="205" spans="1:28" ht="14.25" customHeight="1">
      <c r="A205" s="53">
        <v>162</v>
      </c>
      <c r="B205" s="40"/>
      <c r="C205" s="37"/>
      <c r="D205" s="41"/>
      <c r="E205" s="41"/>
      <c r="F205" s="37"/>
      <c r="G205" s="37"/>
      <c r="H205" s="40"/>
      <c r="I205" s="37"/>
      <c r="J205" s="37"/>
      <c r="K205" s="55"/>
      <c r="L205" s="56"/>
      <c r="M205" s="40"/>
      <c r="N205" s="40"/>
      <c r="O205" s="2"/>
      <c r="P205" s="2"/>
      <c r="Q205" s="2"/>
      <c r="R205" s="2"/>
      <c r="S205" s="2"/>
      <c r="T205" s="2"/>
      <c r="U205" s="2"/>
      <c r="V205" s="2"/>
      <c r="W205" s="2"/>
      <c r="X205" s="2"/>
      <c r="Y205" s="2"/>
      <c r="Z205" s="2"/>
      <c r="AA205" s="2"/>
      <c r="AB205" s="2"/>
    </row>
    <row r="206" spans="1:28" ht="14.25" customHeight="1">
      <c r="A206" s="53">
        <v>163</v>
      </c>
      <c r="B206" s="40"/>
      <c r="C206" s="37"/>
      <c r="D206" s="41"/>
      <c r="E206" s="41"/>
      <c r="F206" s="37"/>
      <c r="G206" s="37"/>
      <c r="H206" s="40"/>
      <c r="I206" s="37"/>
      <c r="J206" s="37"/>
      <c r="K206" s="55"/>
      <c r="L206" s="56"/>
      <c r="M206" s="40"/>
      <c r="N206" s="40"/>
      <c r="O206" s="2"/>
      <c r="P206" s="2"/>
      <c r="Q206" s="2"/>
      <c r="R206" s="2"/>
      <c r="S206" s="2"/>
      <c r="T206" s="2"/>
      <c r="U206" s="2"/>
      <c r="V206" s="2"/>
      <c r="W206" s="2"/>
      <c r="X206" s="2"/>
      <c r="Y206" s="2"/>
      <c r="Z206" s="2"/>
      <c r="AA206" s="2"/>
      <c r="AB206" s="2"/>
    </row>
    <row r="207" spans="1:28" ht="14.25" customHeight="1">
      <c r="A207" s="53">
        <v>164</v>
      </c>
      <c r="B207" s="40"/>
      <c r="C207" s="37"/>
      <c r="D207" s="41"/>
      <c r="E207" s="41"/>
      <c r="F207" s="37"/>
      <c r="G207" s="37"/>
      <c r="H207" s="40"/>
      <c r="I207" s="37"/>
      <c r="J207" s="37"/>
      <c r="K207" s="55"/>
      <c r="L207" s="56"/>
      <c r="M207" s="40"/>
      <c r="N207" s="40"/>
      <c r="O207" s="2"/>
      <c r="P207" s="2"/>
      <c r="Q207" s="2"/>
      <c r="R207" s="2"/>
      <c r="S207" s="2"/>
      <c r="T207" s="2"/>
      <c r="U207" s="2"/>
      <c r="V207" s="2"/>
      <c r="W207" s="2"/>
      <c r="X207" s="2"/>
      <c r="Y207" s="2"/>
      <c r="Z207" s="2"/>
      <c r="AA207" s="2"/>
      <c r="AB207" s="2"/>
    </row>
    <row r="208" spans="1:28" ht="14.25" customHeight="1">
      <c r="A208" s="53">
        <v>165</v>
      </c>
      <c r="B208" s="40"/>
      <c r="C208" s="37"/>
      <c r="D208" s="41"/>
      <c r="E208" s="41"/>
      <c r="F208" s="37"/>
      <c r="G208" s="37"/>
      <c r="H208" s="40"/>
      <c r="I208" s="37"/>
      <c r="J208" s="37"/>
      <c r="K208" s="55"/>
      <c r="L208" s="56"/>
      <c r="M208" s="40"/>
      <c r="N208" s="40"/>
      <c r="O208" s="2"/>
      <c r="P208" s="2"/>
      <c r="Q208" s="2"/>
      <c r="R208" s="2"/>
      <c r="S208" s="2"/>
      <c r="T208" s="2"/>
      <c r="U208" s="2"/>
      <c r="V208" s="2"/>
      <c r="W208" s="2"/>
      <c r="X208" s="2"/>
      <c r="Y208" s="2"/>
      <c r="Z208" s="2"/>
      <c r="AA208" s="2"/>
      <c r="AB208" s="2"/>
    </row>
    <row r="209" spans="1:28" ht="14.25" customHeight="1">
      <c r="A209" s="53">
        <v>166</v>
      </c>
      <c r="B209" s="40"/>
      <c r="C209" s="37"/>
      <c r="D209" s="41"/>
      <c r="E209" s="41"/>
      <c r="F209" s="37"/>
      <c r="G209" s="37"/>
      <c r="H209" s="40"/>
      <c r="I209" s="37"/>
      <c r="J209" s="37"/>
      <c r="K209" s="55"/>
      <c r="L209" s="56"/>
      <c r="M209" s="40"/>
      <c r="N209" s="40"/>
      <c r="O209" s="2"/>
      <c r="P209" s="2"/>
      <c r="Q209" s="2"/>
      <c r="R209" s="2"/>
      <c r="S209" s="2"/>
      <c r="T209" s="2"/>
      <c r="U209" s="2"/>
      <c r="V209" s="2"/>
      <c r="W209" s="2"/>
      <c r="X209" s="2"/>
      <c r="Y209" s="2"/>
      <c r="Z209" s="2"/>
      <c r="AA209" s="2"/>
      <c r="AB209" s="2"/>
    </row>
    <row r="210" spans="1:28" ht="14.25" customHeight="1">
      <c r="A210" s="53">
        <v>167</v>
      </c>
      <c r="B210" s="40"/>
      <c r="C210" s="37"/>
      <c r="D210" s="41"/>
      <c r="E210" s="41"/>
      <c r="F210" s="37"/>
      <c r="G210" s="37"/>
      <c r="H210" s="40"/>
      <c r="I210" s="37"/>
      <c r="J210" s="37"/>
      <c r="K210" s="55"/>
      <c r="L210" s="56"/>
      <c r="M210" s="40"/>
      <c r="N210" s="40"/>
      <c r="O210" s="2"/>
      <c r="P210" s="2"/>
      <c r="Q210" s="2"/>
      <c r="R210" s="2"/>
      <c r="S210" s="2"/>
      <c r="T210" s="2"/>
      <c r="U210" s="2"/>
      <c r="V210" s="2"/>
      <c r="W210" s="2"/>
      <c r="X210" s="2"/>
      <c r="Y210" s="2"/>
      <c r="Z210" s="2"/>
      <c r="AA210" s="2"/>
      <c r="AB210" s="2"/>
    </row>
    <row r="211" spans="1:28" ht="14.25" customHeight="1">
      <c r="A211" s="53">
        <v>168</v>
      </c>
      <c r="B211" s="40"/>
      <c r="C211" s="37"/>
      <c r="D211" s="41"/>
      <c r="E211" s="41"/>
      <c r="F211" s="37"/>
      <c r="G211" s="37"/>
      <c r="H211" s="40"/>
      <c r="I211" s="37"/>
      <c r="J211" s="37"/>
      <c r="K211" s="55"/>
      <c r="L211" s="56"/>
      <c r="M211" s="40"/>
      <c r="N211" s="40"/>
      <c r="O211" s="2"/>
      <c r="P211" s="2"/>
      <c r="Q211" s="2"/>
      <c r="R211" s="2"/>
      <c r="S211" s="2"/>
      <c r="T211" s="2"/>
      <c r="U211" s="2"/>
      <c r="V211" s="2"/>
      <c r="W211" s="2"/>
      <c r="X211" s="2"/>
      <c r="Y211" s="2"/>
      <c r="Z211" s="2"/>
      <c r="AA211" s="2"/>
      <c r="AB211" s="2"/>
    </row>
    <row r="212" spans="1:28" ht="13.5" customHeight="1">
      <c r="A212" s="53">
        <v>169</v>
      </c>
      <c r="B212" s="40"/>
      <c r="C212" s="37"/>
      <c r="D212" s="41"/>
      <c r="E212" s="41"/>
      <c r="F212" s="37"/>
      <c r="G212" s="37"/>
      <c r="H212" s="40"/>
      <c r="I212" s="37"/>
      <c r="J212" s="37"/>
      <c r="K212" s="55"/>
      <c r="L212" s="56"/>
      <c r="M212" s="40"/>
      <c r="N212" s="40"/>
      <c r="O212" s="2"/>
      <c r="P212" s="2"/>
      <c r="Q212" s="2"/>
      <c r="R212" s="2"/>
      <c r="S212" s="2"/>
      <c r="T212" s="2"/>
      <c r="U212" s="2"/>
      <c r="V212" s="2"/>
      <c r="W212" s="2"/>
      <c r="X212" s="2"/>
      <c r="Y212" s="2"/>
      <c r="Z212" s="2"/>
      <c r="AA212" s="2"/>
      <c r="AB212" s="2"/>
    </row>
    <row r="213" spans="1:28" ht="14.25" customHeight="1">
      <c r="A213" s="53">
        <v>170</v>
      </c>
      <c r="B213" s="40"/>
      <c r="C213" s="37"/>
      <c r="D213" s="41"/>
      <c r="E213" s="41"/>
      <c r="F213" s="37"/>
      <c r="G213" s="37"/>
      <c r="H213" s="40"/>
      <c r="I213" s="37"/>
      <c r="J213" s="37"/>
      <c r="K213" s="55"/>
      <c r="L213" s="56"/>
      <c r="M213" s="40"/>
      <c r="N213" s="40"/>
      <c r="O213" s="2"/>
      <c r="P213" s="2"/>
      <c r="Q213" s="2"/>
      <c r="R213" s="2"/>
      <c r="S213" s="2"/>
      <c r="T213" s="2"/>
      <c r="U213" s="2"/>
      <c r="V213" s="2"/>
      <c r="W213" s="2"/>
      <c r="X213" s="2"/>
      <c r="Y213" s="2"/>
      <c r="Z213" s="2"/>
      <c r="AA213" s="2"/>
      <c r="AB213" s="2"/>
    </row>
    <row r="214" spans="1:28" ht="14.25" customHeight="1">
      <c r="A214" s="53">
        <v>171</v>
      </c>
      <c r="B214" s="40"/>
      <c r="C214" s="37"/>
      <c r="D214" s="41"/>
      <c r="E214" s="41"/>
      <c r="F214" s="37"/>
      <c r="G214" s="37"/>
      <c r="H214" s="40"/>
      <c r="I214" s="37"/>
      <c r="J214" s="37"/>
      <c r="K214" s="55"/>
      <c r="L214" s="56"/>
      <c r="M214" s="40"/>
      <c r="N214" s="40"/>
      <c r="O214" s="2"/>
      <c r="P214" s="2"/>
      <c r="Q214" s="2"/>
      <c r="R214" s="2"/>
      <c r="S214" s="2"/>
      <c r="T214" s="2"/>
      <c r="U214" s="2"/>
      <c r="V214" s="2"/>
      <c r="W214" s="2"/>
      <c r="X214" s="2"/>
      <c r="Y214" s="2"/>
      <c r="Z214" s="2"/>
      <c r="AA214" s="2"/>
      <c r="AB214" s="2"/>
    </row>
    <row r="215" spans="1:28" ht="14.25" customHeight="1">
      <c r="A215" s="53">
        <v>172</v>
      </c>
      <c r="B215" s="40"/>
      <c r="C215" s="37"/>
      <c r="D215" s="41"/>
      <c r="E215" s="41"/>
      <c r="F215" s="37"/>
      <c r="G215" s="37"/>
      <c r="H215" s="40"/>
      <c r="I215" s="37"/>
      <c r="J215" s="37"/>
      <c r="K215" s="55"/>
      <c r="L215" s="56"/>
      <c r="M215" s="40"/>
      <c r="N215" s="40"/>
      <c r="O215" s="2"/>
      <c r="P215" s="2"/>
      <c r="Q215" s="2"/>
      <c r="R215" s="2"/>
      <c r="S215" s="2"/>
      <c r="T215" s="2"/>
      <c r="U215" s="2"/>
      <c r="V215" s="2"/>
      <c r="W215" s="2"/>
      <c r="X215" s="2"/>
      <c r="Y215" s="2"/>
      <c r="Z215" s="2"/>
      <c r="AA215" s="2"/>
      <c r="AB215" s="2"/>
    </row>
    <row r="216" spans="1:28" ht="14.25" customHeight="1">
      <c r="A216" s="53">
        <v>173</v>
      </c>
      <c r="B216" s="40"/>
      <c r="C216" s="37"/>
      <c r="D216" s="41"/>
      <c r="E216" s="41"/>
      <c r="F216" s="37"/>
      <c r="G216" s="37"/>
      <c r="H216" s="40"/>
      <c r="I216" s="37"/>
      <c r="J216" s="37"/>
      <c r="K216" s="55"/>
      <c r="L216" s="56"/>
      <c r="M216" s="40"/>
      <c r="N216" s="40"/>
      <c r="O216" s="2"/>
      <c r="P216" s="2"/>
      <c r="Q216" s="2"/>
      <c r="R216" s="2"/>
      <c r="S216" s="2"/>
      <c r="T216" s="2"/>
      <c r="U216" s="2"/>
      <c r="V216" s="2"/>
      <c r="W216" s="2"/>
      <c r="X216" s="2"/>
      <c r="Y216" s="2"/>
      <c r="Z216" s="2"/>
      <c r="AA216" s="2"/>
      <c r="AB216" s="2"/>
    </row>
    <row r="217" spans="1:28" ht="14.25" customHeight="1">
      <c r="A217" s="53">
        <v>174</v>
      </c>
      <c r="B217" s="40"/>
      <c r="C217" s="37"/>
      <c r="D217" s="41"/>
      <c r="E217" s="41"/>
      <c r="F217" s="37"/>
      <c r="G217" s="37"/>
      <c r="H217" s="40"/>
      <c r="I217" s="37"/>
      <c r="J217" s="37"/>
      <c r="K217" s="55"/>
      <c r="L217" s="56"/>
      <c r="M217" s="40"/>
      <c r="N217" s="40"/>
      <c r="O217" s="2"/>
      <c r="P217" s="2"/>
      <c r="Q217" s="2"/>
      <c r="R217" s="2"/>
      <c r="S217" s="2"/>
      <c r="T217" s="2"/>
      <c r="U217" s="2"/>
      <c r="V217" s="2"/>
      <c r="W217" s="2"/>
      <c r="X217" s="2"/>
      <c r="Y217" s="2"/>
      <c r="Z217" s="2"/>
      <c r="AA217" s="2"/>
      <c r="AB217" s="2"/>
    </row>
    <row r="218" spans="1:28" ht="14.25" customHeight="1">
      <c r="A218" s="53">
        <v>175</v>
      </c>
      <c r="B218" s="40"/>
      <c r="C218" s="37"/>
      <c r="D218" s="41"/>
      <c r="E218" s="41"/>
      <c r="F218" s="37"/>
      <c r="G218" s="37"/>
      <c r="H218" s="40"/>
      <c r="I218" s="37"/>
      <c r="J218" s="37"/>
      <c r="K218" s="55"/>
      <c r="L218" s="56"/>
      <c r="M218" s="40"/>
      <c r="N218" s="40"/>
      <c r="O218" s="2"/>
      <c r="P218" s="2"/>
      <c r="Q218" s="2"/>
      <c r="R218" s="2"/>
      <c r="S218" s="2"/>
      <c r="T218" s="2"/>
      <c r="U218" s="2"/>
      <c r="V218" s="2"/>
      <c r="W218" s="2"/>
      <c r="X218" s="2"/>
      <c r="Y218" s="2"/>
      <c r="Z218" s="2"/>
      <c r="AA218" s="2"/>
      <c r="AB218" s="2"/>
    </row>
    <row r="219" spans="1:28" ht="14.25" customHeight="1">
      <c r="A219" s="53">
        <v>176</v>
      </c>
      <c r="B219" s="40"/>
      <c r="C219" s="37"/>
      <c r="D219" s="41"/>
      <c r="E219" s="41"/>
      <c r="F219" s="37"/>
      <c r="G219" s="37"/>
      <c r="H219" s="40"/>
      <c r="I219" s="37"/>
      <c r="J219" s="37"/>
      <c r="K219" s="55"/>
      <c r="L219" s="56"/>
      <c r="M219" s="40"/>
      <c r="N219" s="40"/>
      <c r="O219" s="2"/>
      <c r="P219" s="2"/>
      <c r="Q219" s="2"/>
      <c r="R219" s="2"/>
      <c r="S219" s="2"/>
      <c r="T219" s="2"/>
      <c r="U219" s="2"/>
      <c r="V219" s="2"/>
      <c r="W219" s="2"/>
      <c r="X219" s="2"/>
      <c r="Y219" s="2"/>
      <c r="Z219" s="2"/>
      <c r="AA219" s="2"/>
      <c r="AB219" s="2"/>
    </row>
    <row r="220" spans="1:28" ht="14.25" customHeight="1">
      <c r="A220" s="53">
        <v>177</v>
      </c>
      <c r="B220" s="40"/>
      <c r="C220" s="37"/>
      <c r="D220" s="41"/>
      <c r="E220" s="41"/>
      <c r="F220" s="37"/>
      <c r="G220" s="37"/>
      <c r="H220" s="40"/>
      <c r="I220" s="37"/>
      <c r="J220" s="37"/>
      <c r="K220" s="55"/>
      <c r="L220" s="56"/>
      <c r="M220" s="40"/>
      <c r="N220" s="40"/>
      <c r="O220" s="2"/>
      <c r="P220" s="2"/>
      <c r="Q220" s="2"/>
      <c r="R220" s="2"/>
      <c r="S220" s="2"/>
      <c r="T220" s="2"/>
      <c r="U220" s="2"/>
      <c r="V220" s="2"/>
      <c r="W220" s="2"/>
      <c r="X220" s="2"/>
      <c r="Y220" s="2"/>
      <c r="Z220" s="2"/>
      <c r="AA220" s="2"/>
      <c r="AB220" s="2"/>
    </row>
    <row r="221" spans="1:28" ht="14.25" customHeight="1">
      <c r="A221" s="53">
        <v>178</v>
      </c>
      <c r="B221" s="40"/>
      <c r="C221" s="37"/>
      <c r="D221" s="41"/>
      <c r="E221" s="41"/>
      <c r="F221" s="37"/>
      <c r="G221" s="37"/>
      <c r="H221" s="40"/>
      <c r="I221" s="37"/>
      <c r="J221" s="37"/>
      <c r="K221" s="55"/>
      <c r="L221" s="56"/>
      <c r="M221" s="40"/>
      <c r="N221" s="40"/>
      <c r="O221" s="2"/>
      <c r="P221" s="2"/>
      <c r="Q221" s="2"/>
      <c r="R221" s="2"/>
      <c r="S221" s="2"/>
      <c r="T221" s="2"/>
      <c r="U221" s="2"/>
      <c r="V221" s="2"/>
      <c r="W221" s="2"/>
      <c r="X221" s="2"/>
      <c r="Y221" s="2"/>
      <c r="Z221" s="2"/>
      <c r="AA221" s="2"/>
      <c r="AB221" s="2"/>
    </row>
    <row r="222" spans="1:28" ht="14.25" customHeight="1">
      <c r="A222" s="53">
        <v>179</v>
      </c>
      <c r="B222" s="40"/>
      <c r="C222" s="37"/>
      <c r="D222" s="41"/>
      <c r="E222" s="41"/>
      <c r="F222" s="37"/>
      <c r="G222" s="37"/>
      <c r="H222" s="40"/>
      <c r="I222" s="37"/>
      <c r="J222" s="37"/>
      <c r="K222" s="55"/>
      <c r="L222" s="56"/>
      <c r="M222" s="40"/>
      <c r="N222" s="40"/>
      <c r="O222" s="2"/>
      <c r="P222" s="2"/>
      <c r="Q222" s="2"/>
      <c r="R222" s="2"/>
      <c r="S222" s="2"/>
      <c r="T222" s="2"/>
      <c r="U222" s="2"/>
      <c r="V222" s="2"/>
      <c r="W222" s="2"/>
      <c r="X222" s="2"/>
      <c r="Y222" s="2"/>
      <c r="Z222" s="2"/>
      <c r="AA222" s="2"/>
      <c r="AB222" s="2"/>
    </row>
    <row r="223" spans="1:28" ht="14.25" customHeight="1">
      <c r="A223" s="53">
        <v>180</v>
      </c>
      <c r="B223" s="40"/>
      <c r="C223" s="37"/>
      <c r="D223" s="41"/>
      <c r="E223" s="41"/>
      <c r="F223" s="37"/>
      <c r="G223" s="37"/>
      <c r="H223" s="40"/>
      <c r="I223" s="37"/>
      <c r="J223" s="37"/>
      <c r="K223" s="55"/>
      <c r="L223" s="56"/>
      <c r="M223" s="40"/>
      <c r="N223" s="40"/>
      <c r="O223" s="2"/>
      <c r="P223" s="2"/>
      <c r="Q223" s="2"/>
      <c r="R223" s="2"/>
      <c r="S223" s="2"/>
      <c r="T223" s="2"/>
      <c r="U223" s="2"/>
      <c r="V223" s="2"/>
      <c r="W223" s="2"/>
      <c r="X223" s="2"/>
      <c r="Y223" s="2"/>
      <c r="Z223" s="2"/>
      <c r="AA223" s="2"/>
      <c r="AB223" s="2"/>
    </row>
    <row r="224" spans="1:28" ht="14.25" customHeight="1">
      <c r="A224" s="53">
        <v>181</v>
      </c>
      <c r="B224" s="40"/>
      <c r="C224" s="37"/>
      <c r="D224" s="41"/>
      <c r="E224" s="41"/>
      <c r="F224" s="37"/>
      <c r="G224" s="37"/>
      <c r="H224" s="40"/>
      <c r="I224" s="37"/>
      <c r="J224" s="37"/>
      <c r="K224" s="55"/>
      <c r="L224" s="56"/>
      <c r="M224" s="40"/>
      <c r="N224" s="40"/>
      <c r="O224" s="2"/>
      <c r="P224" s="2"/>
      <c r="Q224" s="2"/>
      <c r="R224" s="2"/>
      <c r="S224" s="2"/>
      <c r="T224" s="2"/>
      <c r="U224" s="2"/>
      <c r="V224" s="2"/>
      <c r="W224" s="2"/>
      <c r="X224" s="2"/>
      <c r="Y224" s="2"/>
      <c r="Z224" s="2"/>
      <c r="AA224" s="2"/>
      <c r="AB224" s="2"/>
    </row>
    <row r="225" spans="1:28" ht="14.25" customHeight="1">
      <c r="A225" s="53">
        <v>182</v>
      </c>
      <c r="B225" s="40"/>
      <c r="C225" s="37"/>
      <c r="D225" s="41"/>
      <c r="E225" s="41"/>
      <c r="F225" s="37"/>
      <c r="G225" s="37"/>
      <c r="H225" s="40"/>
      <c r="I225" s="37"/>
      <c r="J225" s="37"/>
      <c r="K225" s="55"/>
      <c r="L225" s="56"/>
      <c r="M225" s="40"/>
      <c r="N225" s="40"/>
      <c r="O225" s="2"/>
      <c r="P225" s="2"/>
      <c r="Q225" s="2"/>
      <c r="R225" s="2"/>
      <c r="S225" s="2"/>
      <c r="T225" s="2"/>
      <c r="U225" s="2"/>
      <c r="V225" s="2"/>
      <c r="W225" s="2"/>
      <c r="X225" s="2"/>
      <c r="Y225" s="2"/>
      <c r="Z225" s="2"/>
      <c r="AA225" s="2"/>
      <c r="AB225" s="2"/>
    </row>
    <row r="226" spans="1:28" ht="14.25" customHeight="1">
      <c r="A226" s="53">
        <v>183</v>
      </c>
      <c r="B226" s="40"/>
      <c r="C226" s="37"/>
      <c r="D226" s="41"/>
      <c r="E226" s="41"/>
      <c r="F226" s="37"/>
      <c r="G226" s="37"/>
      <c r="H226" s="40"/>
      <c r="I226" s="37"/>
      <c r="J226" s="37"/>
      <c r="K226" s="55"/>
      <c r="L226" s="56"/>
      <c r="M226" s="40"/>
      <c r="N226" s="40"/>
      <c r="O226" s="2"/>
      <c r="P226" s="2"/>
      <c r="Q226" s="2"/>
      <c r="R226" s="2"/>
      <c r="S226" s="2"/>
      <c r="T226" s="2"/>
      <c r="U226" s="2"/>
      <c r="V226" s="2"/>
      <c r="W226" s="2"/>
      <c r="X226" s="2"/>
      <c r="Y226" s="2"/>
      <c r="Z226" s="2"/>
      <c r="AA226" s="2"/>
      <c r="AB226" s="2"/>
    </row>
    <row r="227" spans="1:28" ht="14.25" customHeight="1">
      <c r="A227" s="53">
        <v>184</v>
      </c>
      <c r="B227" s="40"/>
      <c r="C227" s="37"/>
      <c r="D227" s="41"/>
      <c r="E227" s="41"/>
      <c r="F227" s="37"/>
      <c r="G227" s="37"/>
      <c r="H227" s="40"/>
      <c r="I227" s="37"/>
      <c r="J227" s="37"/>
      <c r="K227" s="55"/>
      <c r="L227" s="56"/>
      <c r="M227" s="40"/>
      <c r="N227" s="40"/>
      <c r="O227" s="2"/>
      <c r="P227" s="2"/>
      <c r="Q227" s="2"/>
      <c r="R227" s="2"/>
      <c r="S227" s="2"/>
      <c r="T227" s="2"/>
      <c r="U227" s="2"/>
      <c r="V227" s="2"/>
      <c r="W227" s="2"/>
      <c r="X227" s="2"/>
      <c r="Y227" s="2"/>
      <c r="Z227" s="2"/>
      <c r="AA227" s="2"/>
      <c r="AB227" s="2"/>
    </row>
    <row r="228" spans="1:28" ht="14.25" customHeight="1">
      <c r="A228" s="53">
        <v>185</v>
      </c>
      <c r="B228" s="40"/>
      <c r="C228" s="37"/>
      <c r="D228" s="41"/>
      <c r="E228" s="41"/>
      <c r="F228" s="37"/>
      <c r="G228" s="37"/>
      <c r="H228" s="40"/>
      <c r="I228" s="37"/>
      <c r="J228" s="37"/>
      <c r="K228" s="55"/>
      <c r="L228" s="56"/>
      <c r="M228" s="40"/>
      <c r="N228" s="40"/>
      <c r="O228" s="2"/>
      <c r="P228" s="2"/>
      <c r="Q228" s="2"/>
      <c r="R228" s="2"/>
      <c r="S228" s="2"/>
      <c r="T228" s="2"/>
      <c r="U228" s="2"/>
      <c r="V228" s="2"/>
      <c r="W228" s="2"/>
      <c r="X228" s="2"/>
      <c r="Y228" s="2"/>
      <c r="Z228" s="2"/>
      <c r="AA228" s="2"/>
      <c r="AB228" s="2"/>
    </row>
    <row r="229" spans="1:28" ht="14.25" customHeight="1">
      <c r="A229" s="53">
        <v>186</v>
      </c>
      <c r="B229" s="40"/>
      <c r="C229" s="37"/>
      <c r="D229" s="41"/>
      <c r="E229" s="41"/>
      <c r="F229" s="37"/>
      <c r="G229" s="37"/>
      <c r="H229" s="40"/>
      <c r="I229" s="37"/>
      <c r="J229" s="37"/>
      <c r="K229" s="55"/>
      <c r="L229" s="56"/>
      <c r="M229" s="40"/>
      <c r="N229" s="40"/>
      <c r="O229" s="2"/>
      <c r="P229" s="2"/>
      <c r="Q229" s="2"/>
      <c r="R229" s="2"/>
      <c r="S229" s="2"/>
      <c r="T229" s="2"/>
      <c r="U229" s="2"/>
      <c r="V229" s="2"/>
      <c r="W229" s="2"/>
      <c r="X229" s="2"/>
      <c r="Y229" s="2"/>
      <c r="Z229" s="2"/>
      <c r="AA229" s="2"/>
      <c r="AB229" s="2"/>
    </row>
    <row r="230" spans="1:28" ht="14.25" customHeight="1">
      <c r="A230" s="53">
        <v>187</v>
      </c>
      <c r="B230" s="40"/>
      <c r="C230" s="37"/>
      <c r="D230" s="41"/>
      <c r="E230" s="41"/>
      <c r="F230" s="37"/>
      <c r="G230" s="37"/>
      <c r="H230" s="40"/>
      <c r="I230" s="37"/>
      <c r="J230" s="37"/>
      <c r="K230" s="55"/>
      <c r="L230" s="56"/>
      <c r="M230" s="40"/>
      <c r="N230" s="40"/>
      <c r="O230" s="2"/>
      <c r="P230" s="2"/>
      <c r="Q230" s="2"/>
      <c r="R230" s="2"/>
      <c r="S230" s="2"/>
      <c r="T230" s="2"/>
      <c r="U230" s="2"/>
      <c r="V230" s="2"/>
      <c r="W230" s="2"/>
      <c r="X230" s="2"/>
      <c r="Y230" s="2"/>
      <c r="Z230" s="2"/>
      <c r="AA230" s="2"/>
      <c r="AB230" s="2"/>
    </row>
    <row r="231" spans="1:28" ht="14.25" customHeight="1">
      <c r="A231" s="53">
        <v>188</v>
      </c>
      <c r="B231" s="40"/>
      <c r="C231" s="37"/>
      <c r="D231" s="41"/>
      <c r="E231" s="41"/>
      <c r="F231" s="37"/>
      <c r="G231" s="37"/>
      <c r="H231" s="40"/>
      <c r="I231" s="37"/>
      <c r="J231" s="37"/>
      <c r="K231" s="55"/>
      <c r="L231" s="56"/>
      <c r="M231" s="40"/>
      <c r="N231" s="40"/>
      <c r="O231" s="2"/>
      <c r="P231" s="2"/>
      <c r="Q231" s="2"/>
      <c r="R231" s="2"/>
      <c r="S231" s="2"/>
      <c r="T231" s="2"/>
      <c r="U231" s="2"/>
      <c r="V231" s="2"/>
      <c r="W231" s="2"/>
      <c r="X231" s="2"/>
      <c r="Y231" s="2"/>
      <c r="Z231" s="2"/>
      <c r="AA231" s="2"/>
      <c r="AB231" s="2"/>
    </row>
    <row r="232" spans="1:28" ht="14.25" customHeight="1">
      <c r="A232" s="53">
        <v>189</v>
      </c>
      <c r="B232" s="40"/>
      <c r="C232" s="37"/>
      <c r="D232" s="41"/>
      <c r="E232" s="41"/>
      <c r="F232" s="37"/>
      <c r="G232" s="37"/>
      <c r="H232" s="40"/>
      <c r="I232" s="37"/>
      <c r="J232" s="37"/>
      <c r="K232" s="55"/>
      <c r="L232" s="56"/>
      <c r="M232" s="40"/>
      <c r="N232" s="40"/>
      <c r="O232" s="2"/>
      <c r="P232" s="2"/>
      <c r="Q232" s="2"/>
      <c r="R232" s="2"/>
      <c r="S232" s="2"/>
      <c r="T232" s="2"/>
      <c r="U232" s="2"/>
      <c r="V232" s="2"/>
      <c r="W232" s="2"/>
      <c r="X232" s="2"/>
      <c r="Y232" s="2"/>
      <c r="Z232" s="2"/>
      <c r="AA232" s="2"/>
      <c r="AB232" s="2"/>
    </row>
    <row r="233" spans="1:28" ht="14.25" customHeight="1">
      <c r="A233" s="53">
        <v>190</v>
      </c>
      <c r="B233" s="40"/>
      <c r="C233" s="37"/>
      <c r="D233" s="41"/>
      <c r="E233" s="41"/>
      <c r="F233" s="37"/>
      <c r="G233" s="37"/>
      <c r="H233" s="40"/>
      <c r="I233" s="37"/>
      <c r="J233" s="37"/>
      <c r="K233" s="55"/>
      <c r="L233" s="56"/>
      <c r="M233" s="40"/>
      <c r="N233" s="40"/>
      <c r="O233" s="2"/>
      <c r="P233" s="2"/>
      <c r="Q233" s="2"/>
      <c r="R233" s="2"/>
      <c r="S233" s="2"/>
      <c r="T233" s="2"/>
      <c r="U233" s="2"/>
      <c r="V233" s="2"/>
      <c r="W233" s="2"/>
      <c r="X233" s="2"/>
      <c r="Y233" s="2"/>
      <c r="Z233" s="2"/>
      <c r="AA233" s="2"/>
      <c r="AB233" s="2"/>
    </row>
    <row r="234" spans="1:28" ht="14.25" customHeight="1">
      <c r="A234" s="53">
        <v>191</v>
      </c>
      <c r="B234" s="40"/>
      <c r="C234" s="37"/>
      <c r="D234" s="41"/>
      <c r="E234" s="41"/>
      <c r="F234" s="37"/>
      <c r="G234" s="37"/>
      <c r="H234" s="40"/>
      <c r="I234" s="37"/>
      <c r="J234" s="37"/>
      <c r="K234" s="55"/>
      <c r="L234" s="56"/>
      <c r="M234" s="40"/>
      <c r="N234" s="40"/>
      <c r="O234" s="2"/>
      <c r="P234" s="2"/>
      <c r="Q234" s="2"/>
      <c r="R234" s="2"/>
      <c r="S234" s="2"/>
      <c r="T234" s="2"/>
      <c r="U234" s="2"/>
      <c r="V234" s="2"/>
      <c r="W234" s="2"/>
      <c r="X234" s="2"/>
      <c r="Y234" s="2"/>
      <c r="Z234" s="2"/>
      <c r="AA234" s="2"/>
      <c r="AB234" s="2"/>
    </row>
    <row r="235" spans="1:28" ht="14.25" customHeight="1">
      <c r="A235" s="53">
        <v>192</v>
      </c>
      <c r="B235" s="40"/>
      <c r="C235" s="37"/>
      <c r="D235" s="41"/>
      <c r="E235" s="41"/>
      <c r="F235" s="37"/>
      <c r="G235" s="37"/>
      <c r="H235" s="40"/>
      <c r="I235" s="37"/>
      <c r="J235" s="37"/>
      <c r="K235" s="55"/>
      <c r="L235" s="56"/>
      <c r="M235" s="40"/>
      <c r="N235" s="40"/>
      <c r="O235" s="2"/>
      <c r="P235" s="2"/>
      <c r="Q235" s="2"/>
      <c r="R235" s="2"/>
      <c r="S235" s="2"/>
      <c r="T235" s="2"/>
      <c r="U235" s="2"/>
      <c r="V235" s="2"/>
      <c r="W235" s="2"/>
      <c r="X235" s="2"/>
      <c r="Y235" s="2"/>
      <c r="Z235" s="2"/>
      <c r="AA235" s="2"/>
      <c r="AB235" s="2"/>
    </row>
    <row r="236" spans="1:28" ht="14.25" customHeight="1">
      <c r="A236" s="53">
        <v>193</v>
      </c>
      <c r="B236" s="40"/>
      <c r="C236" s="37"/>
      <c r="D236" s="41"/>
      <c r="E236" s="41"/>
      <c r="F236" s="37"/>
      <c r="G236" s="37"/>
      <c r="H236" s="40"/>
      <c r="I236" s="37"/>
      <c r="J236" s="37"/>
      <c r="K236" s="55"/>
      <c r="L236" s="56"/>
      <c r="M236" s="40"/>
      <c r="N236" s="40"/>
      <c r="O236" s="2"/>
      <c r="P236" s="2"/>
      <c r="Q236" s="2"/>
      <c r="R236" s="2"/>
      <c r="S236" s="2"/>
      <c r="T236" s="2"/>
      <c r="U236" s="2"/>
      <c r="V236" s="2"/>
      <c r="W236" s="2"/>
      <c r="X236" s="2"/>
      <c r="Y236" s="2"/>
      <c r="Z236" s="2"/>
      <c r="AA236" s="2"/>
      <c r="AB236" s="2"/>
    </row>
    <row r="237" spans="1:28" ht="14.25" customHeight="1">
      <c r="A237" s="53">
        <v>194</v>
      </c>
      <c r="B237" s="40"/>
      <c r="C237" s="37"/>
      <c r="D237" s="41"/>
      <c r="E237" s="41"/>
      <c r="F237" s="37"/>
      <c r="G237" s="37"/>
      <c r="H237" s="40"/>
      <c r="I237" s="37"/>
      <c r="J237" s="37"/>
      <c r="K237" s="55"/>
      <c r="L237" s="56"/>
      <c r="M237" s="40"/>
      <c r="N237" s="40"/>
      <c r="O237" s="2"/>
      <c r="P237" s="2"/>
      <c r="Q237" s="2"/>
      <c r="R237" s="2"/>
      <c r="S237" s="2"/>
      <c r="T237" s="2"/>
      <c r="U237" s="2"/>
      <c r="V237" s="2"/>
      <c r="W237" s="2"/>
      <c r="X237" s="2"/>
      <c r="Y237" s="2"/>
      <c r="Z237" s="2"/>
      <c r="AA237" s="2"/>
      <c r="AB237" s="2"/>
    </row>
    <row r="238" spans="1:28" ht="14.25" customHeight="1">
      <c r="A238" s="53">
        <v>195</v>
      </c>
      <c r="B238" s="40"/>
      <c r="C238" s="37"/>
      <c r="D238" s="41"/>
      <c r="E238" s="41"/>
      <c r="F238" s="37"/>
      <c r="G238" s="37"/>
      <c r="H238" s="40"/>
      <c r="I238" s="37"/>
      <c r="J238" s="37"/>
      <c r="K238" s="55"/>
      <c r="L238" s="56"/>
      <c r="M238" s="40"/>
      <c r="N238" s="40"/>
      <c r="O238" s="2"/>
      <c r="P238" s="2"/>
      <c r="Q238" s="2"/>
      <c r="R238" s="2"/>
      <c r="S238" s="2"/>
      <c r="T238" s="2"/>
      <c r="U238" s="2"/>
      <c r="V238" s="2"/>
      <c r="W238" s="2"/>
      <c r="X238" s="2"/>
      <c r="Y238" s="2"/>
      <c r="Z238" s="2"/>
      <c r="AA238" s="2"/>
      <c r="AB238" s="2"/>
    </row>
    <row r="239" spans="1:28" ht="14.25" customHeight="1">
      <c r="A239" s="53">
        <v>196</v>
      </c>
      <c r="B239" s="40"/>
      <c r="C239" s="37"/>
      <c r="D239" s="41"/>
      <c r="E239" s="41"/>
      <c r="F239" s="37"/>
      <c r="G239" s="37"/>
      <c r="H239" s="40"/>
      <c r="I239" s="37"/>
      <c r="J239" s="37"/>
      <c r="K239" s="55"/>
      <c r="L239" s="56"/>
      <c r="M239" s="40"/>
      <c r="N239" s="40"/>
      <c r="O239" s="2"/>
      <c r="P239" s="2"/>
      <c r="Q239" s="2"/>
      <c r="R239" s="2"/>
      <c r="S239" s="2"/>
      <c r="T239" s="2"/>
      <c r="U239" s="2"/>
      <c r="V239" s="2"/>
      <c r="W239" s="2"/>
      <c r="X239" s="2"/>
      <c r="Y239" s="2"/>
      <c r="Z239" s="2"/>
      <c r="AA239" s="2"/>
      <c r="AB239" s="2"/>
    </row>
    <row r="240" spans="1:28" ht="14.25" customHeight="1">
      <c r="A240" s="53">
        <v>197</v>
      </c>
      <c r="B240" s="40"/>
      <c r="C240" s="37"/>
      <c r="D240" s="41"/>
      <c r="E240" s="41"/>
      <c r="F240" s="37"/>
      <c r="G240" s="37"/>
      <c r="H240" s="40"/>
      <c r="I240" s="37"/>
      <c r="J240" s="37"/>
      <c r="K240" s="55"/>
      <c r="L240" s="56"/>
      <c r="M240" s="40"/>
      <c r="N240" s="40"/>
      <c r="O240" s="2"/>
      <c r="P240" s="2"/>
      <c r="Q240" s="2"/>
      <c r="R240" s="2"/>
      <c r="S240" s="2"/>
      <c r="T240" s="2"/>
      <c r="U240" s="2"/>
      <c r="V240" s="2"/>
      <c r="W240" s="2"/>
      <c r="X240" s="2"/>
      <c r="Y240" s="2"/>
      <c r="Z240" s="2"/>
      <c r="AA240" s="2"/>
      <c r="AB240" s="2"/>
    </row>
    <row r="241" spans="1:28" ht="14.25" customHeight="1">
      <c r="A241" s="53">
        <v>198</v>
      </c>
      <c r="B241" s="40"/>
      <c r="C241" s="37"/>
      <c r="D241" s="41"/>
      <c r="E241" s="41"/>
      <c r="F241" s="37"/>
      <c r="G241" s="37"/>
      <c r="H241" s="40"/>
      <c r="I241" s="37"/>
      <c r="J241" s="37"/>
      <c r="K241" s="55"/>
      <c r="L241" s="56"/>
      <c r="M241" s="40"/>
      <c r="N241" s="40"/>
      <c r="O241" s="2"/>
      <c r="P241" s="2"/>
      <c r="Q241" s="2"/>
      <c r="R241" s="2"/>
      <c r="S241" s="2"/>
      <c r="T241" s="2"/>
      <c r="U241" s="2"/>
      <c r="V241" s="2"/>
      <c r="W241" s="2"/>
      <c r="X241" s="2"/>
      <c r="Y241" s="2"/>
      <c r="Z241" s="2"/>
      <c r="AA241" s="2"/>
      <c r="AB241" s="2"/>
    </row>
    <row r="242" spans="1:28" ht="14.25" customHeight="1">
      <c r="A242" s="53">
        <v>199</v>
      </c>
      <c r="B242" s="40"/>
      <c r="C242" s="37"/>
      <c r="D242" s="41"/>
      <c r="E242" s="41"/>
      <c r="F242" s="37"/>
      <c r="G242" s="37"/>
      <c r="H242" s="40"/>
      <c r="I242" s="37"/>
      <c r="J242" s="37"/>
      <c r="K242" s="55"/>
      <c r="L242" s="56"/>
      <c r="M242" s="40"/>
      <c r="N242" s="40"/>
      <c r="O242" s="2"/>
      <c r="P242" s="2"/>
      <c r="Q242" s="2"/>
      <c r="R242" s="2"/>
      <c r="S242" s="2"/>
      <c r="T242" s="2"/>
      <c r="U242" s="2"/>
      <c r="V242" s="2"/>
      <c r="W242" s="2"/>
      <c r="X242" s="2"/>
      <c r="Y242" s="2"/>
      <c r="Z242" s="2"/>
      <c r="AA242" s="2"/>
      <c r="AB242" s="2"/>
    </row>
    <row r="243" spans="1:28" ht="14.25" customHeight="1">
      <c r="A243" s="53">
        <v>200</v>
      </c>
      <c r="B243" s="40"/>
      <c r="C243" s="37"/>
      <c r="D243" s="41"/>
      <c r="E243" s="41"/>
      <c r="F243" s="37"/>
      <c r="G243" s="37"/>
      <c r="H243" s="40"/>
      <c r="I243" s="37"/>
      <c r="J243" s="37"/>
      <c r="K243" s="55"/>
      <c r="L243" s="56"/>
      <c r="M243" s="40"/>
      <c r="N243" s="40"/>
      <c r="O243" s="2"/>
      <c r="P243" s="2"/>
      <c r="Q243" s="2"/>
      <c r="R243" s="2"/>
      <c r="S243" s="2"/>
      <c r="T243" s="2"/>
      <c r="U243" s="2"/>
      <c r="V243" s="2"/>
      <c r="W243" s="2"/>
      <c r="X243" s="2"/>
      <c r="Y243" s="2"/>
      <c r="Z243" s="2"/>
      <c r="AA243" s="2"/>
      <c r="AB243" s="2"/>
    </row>
    <row r="244" spans="1:28" ht="14.25" customHeight="1">
      <c r="A244" s="53">
        <v>201</v>
      </c>
      <c r="B244" s="40"/>
      <c r="C244" s="37"/>
      <c r="D244" s="41"/>
      <c r="E244" s="41"/>
      <c r="F244" s="37"/>
      <c r="G244" s="37"/>
      <c r="H244" s="40"/>
      <c r="I244" s="37"/>
      <c r="J244" s="37"/>
      <c r="K244" s="55"/>
      <c r="L244" s="56"/>
      <c r="M244" s="40"/>
      <c r="N244" s="40"/>
      <c r="O244" s="2"/>
      <c r="P244" s="2"/>
      <c r="Q244" s="2"/>
      <c r="R244" s="2"/>
      <c r="S244" s="2"/>
      <c r="T244" s="2"/>
      <c r="U244" s="2"/>
      <c r="V244" s="2"/>
      <c r="W244" s="2"/>
      <c r="X244" s="2"/>
      <c r="Y244" s="2"/>
      <c r="Z244" s="2"/>
      <c r="AA244" s="2"/>
      <c r="AB244" s="2"/>
    </row>
    <row r="245" spans="1:28" ht="14.25" customHeight="1">
      <c r="A245" s="53">
        <v>202</v>
      </c>
      <c r="B245" s="40"/>
      <c r="C245" s="37"/>
      <c r="D245" s="41"/>
      <c r="E245" s="41"/>
      <c r="F245" s="37"/>
      <c r="G245" s="37"/>
      <c r="H245" s="40"/>
      <c r="I245" s="37"/>
      <c r="J245" s="37"/>
      <c r="K245" s="55"/>
      <c r="L245" s="56"/>
      <c r="M245" s="40"/>
      <c r="N245" s="40"/>
      <c r="O245" s="2"/>
      <c r="P245" s="2"/>
      <c r="Q245" s="2"/>
      <c r="R245" s="2"/>
      <c r="S245" s="2"/>
      <c r="T245" s="2"/>
      <c r="U245" s="2"/>
      <c r="V245" s="2"/>
      <c r="W245" s="2"/>
      <c r="X245" s="2"/>
      <c r="Y245" s="2"/>
      <c r="Z245" s="2"/>
      <c r="AA245" s="2"/>
      <c r="AB245" s="2"/>
    </row>
    <row r="246" spans="1:28" ht="14.25" customHeight="1">
      <c r="A246" s="53">
        <v>203</v>
      </c>
      <c r="B246" s="40"/>
      <c r="C246" s="37"/>
      <c r="D246" s="41"/>
      <c r="E246" s="41"/>
      <c r="F246" s="37"/>
      <c r="G246" s="37"/>
      <c r="H246" s="40"/>
      <c r="I246" s="37"/>
      <c r="J246" s="37"/>
      <c r="K246" s="55"/>
      <c r="L246" s="56"/>
      <c r="M246" s="40"/>
      <c r="N246" s="40"/>
      <c r="O246" s="2"/>
      <c r="P246" s="2"/>
      <c r="Q246" s="2"/>
      <c r="R246" s="2"/>
      <c r="S246" s="2"/>
      <c r="T246" s="2"/>
      <c r="U246" s="2"/>
      <c r="V246" s="2"/>
      <c r="W246" s="2"/>
      <c r="X246" s="2"/>
      <c r="Y246" s="2"/>
      <c r="Z246" s="2"/>
      <c r="AA246" s="2"/>
      <c r="AB246" s="2"/>
    </row>
    <row r="247" spans="1:28" ht="14.25" customHeight="1">
      <c r="A247" s="53">
        <v>204</v>
      </c>
      <c r="B247" s="40"/>
      <c r="C247" s="37"/>
      <c r="D247" s="41"/>
      <c r="E247" s="41"/>
      <c r="F247" s="37"/>
      <c r="G247" s="37"/>
      <c r="H247" s="40"/>
      <c r="I247" s="37"/>
      <c r="J247" s="37"/>
      <c r="K247" s="55"/>
      <c r="L247" s="56"/>
      <c r="M247" s="40"/>
      <c r="N247" s="40"/>
      <c r="O247" s="2"/>
      <c r="P247" s="2"/>
      <c r="Q247" s="2"/>
      <c r="R247" s="2"/>
      <c r="S247" s="2"/>
      <c r="T247" s="2"/>
      <c r="U247" s="2"/>
      <c r="V247" s="2"/>
      <c r="W247" s="2"/>
      <c r="X247" s="2"/>
      <c r="Y247" s="2"/>
      <c r="Z247" s="2"/>
      <c r="AA247" s="2"/>
      <c r="AB247" s="2"/>
    </row>
    <row r="248" spans="1:28" ht="14.25" customHeight="1">
      <c r="A248" s="53">
        <v>205</v>
      </c>
      <c r="B248" s="40"/>
      <c r="C248" s="37"/>
      <c r="D248" s="41"/>
      <c r="E248" s="41"/>
      <c r="F248" s="37"/>
      <c r="G248" s="37"/>
      <c r="H248" s="40"/>
      <c r="I248" s="37"/>
      <c r="J248" s="37"/>
      <c r="K248" s="55"/>
      <c r="L248" s="56"/>
      <c r="M248" s="40"/>
      <c r="N248" s="40"/>
      <c r="O248" s="2"/>
      <c r="P248" s="2"/>
      <c r="Q248" s="2"/>
      <c r="R248" s="2"/>
      <c r="S248" s="2"/>
      <c r="T248" s="2"/>
      <c r="U248" s="2"/>
      <c r="V248" s="2"/>
      <c r="W248" s="2"/>
      <c r="X248" s="2"/>
      <c r="Y248" s="2"/>
      <c r="Z248" s="2"/>
      <c r="AA248" s="2"/>
      <c r="AB248" s="2"/>
    </row>
    <row r="249" spans="1:28" ht="14.25" customHeight="1">
      <c r="A249" s="53">
        <v>206</v>
      </c>
      <c r="B249" s="40"/>
      <c r="C249" s="37"/>
      <c r="D249" s="41"/>
      <c r="E249" s="41"/>
      <c r="F249" s="37"/>
      <c r="G249" s="37"/>
      <c r="H249" s="40"/>
      <c r="I249" s="37"/>
      <c r="J249" s="37"/>
      <c r="K249" s="55"/>
      <c r="L249" s="56"/>
      <c r="M249" s="40"/>
      <c r="N249" s="40"/>
      <c r="O249" s="2"/>
      <c r="P249" s="2"/>
      <c r="Q249" s="2"/>
      <c r="R249" s="2"/>
      <c r="S249" s="2"/>
      <c r="T249" s="2"/>
      <c r="U249" s="2"/>
      <c r="V249" s="2"/>
      <c r="W249" s="2"/>
      <c r="X249" s="2"/>
      <c r="Y249" s="2"/>
      <c r="Z249" s="2"/>
      <c r="AA249" s="2"/>
      <c r="AB249" s="2"/>
    </row>
    <row r="250" spans="1:28" ht="14.25" customHeight="1">
      <c r="A250" s="53">
        <v>207</v>
      </c>
      <c r="B250" s="40"/>
      <c r="C250" s="37"/>
      <c r="D250" s="41"/>
      <c r="E250" s="41"/>
      <c r="F250" s="37"/>
      <c r="G250" s="37"/>
      <c r="H250" s="40"/>
      <c r="I250" s="37"/>
      <c r="J250" s="37"/>
      <c r="K250" s="55"/>
      <c r="L250" s="56"/>
      <c r="M250" s="40"/>
      <c r="N250" s="40"/>
      <c r="O250" s="2"/>
      <c r="P250" s="2"/>
      <c r="Q250" s="2"/>
      <c r="R250" s="2"/>
      <c r="S250" s="2"/>
      <c r="T250" s="2"/>
      <c r="U250" s="2"/>
      <c r="V250" s="2"/>
      <c r="W250" s="2"/>
      <c r="X250" s="2"/>
      <c r="Y250" s="2"/>
      <c r="Z250" s="2"/>
      <c r="AA250" s="2"/>
      <c r="AB250" s="2"/>
    </row>
    <row r="251" spans="1:28" ht="14.25" customHeight="1">
      <c r="A251" s="53">
        <v>208</v>
      </c>
      <c r="B251" s="40"/>
      <c r="C251" s="37"/>
      <c r="D251" s="41"/>
      <c r="E251" s="41"/>
      <c r="F251" s="37"/>
      <c r="G251" s="37"/>
      <c r="H251" s="40"/>
      <c r="I251" s="37"/>
      <c r="J251" s="37"/>
      <c r="K251" s="55"/>
      <c r="L251" s="56"/>
      <c r="M251" s="40"/>
      <c r="N251" s="40"/>
      <c r="O251" s="2"/>
      <c r="P251" s="2"/>
      <c r="Q251" s="2"/>
      <c r="R251" s="2"/>
      <c r="S251" s="2"/>
      <c r="T251" s="2"/>
      <c r="U251" s="2"/>
      <c r="V251" s="2"/>
      <c r="W251" s="2"/>
      <c r="X251" s="2"/>
      <c r="Y251" s="2"/>
      <c r="Z251" s="2"/>
      <c r="AA251" s="2"/>
      <c r="AB251" s="2"/>
    </row>
    <row r="252" spans="1:28" ht="14.25" customHeight="1">
      <c r="A252" s="53">
        <v>209</v>
      </c>
      <c r="B252" s="40"/>
      <c r="C252" s="37"/>
      <c r="D252" s="41"/>
      <c r="E252" s="41"/>
      <c r="F252" s="37"/>
      <c r="G252" s="37"/>
      <c r="H252" s="40"/>
      <c r="I252" s="37"/>
      <c r="J252" s="37"/>
      <c r="K252" s="55"/>
      <c r="L252" s="56"/>
      <c r="M252" s="40"/>
      <c r="N252" s="40"/>
      <c r="O252" s="2"/>
      <c r="P252" s="2"/>
      <c r="Q252" s="2"/>
      <c r="R252" s="2"/>
      <c r="S252" s="2"/>
      <c r="T252" s="2"/>
      <c r="U252" s="2"/>
      <c r="V252" s="2"/>
      <c r="W252" s="2"/>
      <c r="X252" s="2"/>
      <c r="Y252" s="2"/>
      <c r="Z252" s="2"/>
      <c r="AA252" s="2"/>
      <c r="AB252" s="2"/>
    </row>
    <row r="253" spans="1:28" ht="14.25" customHeight="1">
      <c r="A253" s="53">
        <v>210</v>
      </c>
      <c r="B253" s="40"/>
      <c r="C253" s="37"/>
      <c r="D253" s="41"/>
      <c r="E253" s="41"/>
      <c r="F253" s="37"/>
      <c r="G253" s="37"/>
      <c r="H253" s="40"/>
      <c r="I253" s="37"/>
      <c r="J253" s="37"/>
      <c r="K253" s="55"/>
      <c r="L253" s="56"/>
      <c r="M253" s="40"/>
      <c r="N253" s="40"/>
      <c r="O253" s="2"/>
      <c r="P253" s="2"/>
      <c r="Q253" s="2"/>
      <c r="R253" s="2"/>
      <c r="S253" s="2"/>
      <c r="T253" s="2"/>
      <c r="U253" s="2"/>
      <c r="V253" s="2"/>
      <c r="W253" s="2"/>
      <c r="X253" s="2"/>
      <c r="Y253" s="2"/>
      <c r="Z253" s="2"/>
      <c r="AA253" s="2"/>
      <c r="AB253" s="2"/>
    </row>
    <row r="254" spans="1:28" ht="14.25" customHeight="1">
      <c r="A254" s="53">
        <v>211</v>
      </c>
      <c r="B254" s="40"/>
      <c r="C254" s="37"/>
      <c r="D254" s="41"/>
      <c r="E254" s="41"/>
      <c r="F254" s="37"/>
      <c r="G254" s="37"/>
      <c r="H254" s="40"/>
      <c r="I254" s="37"/>
      <c r="J254" s="37"/>
      <c r="K254" s="55"/>
      <c r="L254" s="56"/>
      <c r="M254" s="40"/>
      <c r="N254" s="40"/>
      <c r="O254" s="2"/>
      <c r="P254" s="2"/>
      <c r="Q254" s="2"/>
      <c r="R254" s="2"/>
      <c r="S254" s="2"/>
      <c r="T254" s="2"/>
      <c r="U254" s="2"/>
      <c r="V254" s="2"/>
      <c r="W254" s="2"/>
      <c r="X254" s="2"/>
      <c r="Y254" s="2"/>
      <c r="Z254" s="2"/>
      <c r="AA254" s="2"/>
      <c r="AB254" s="2"/>
    </row>
    <row r="255" spans="1:28" ht="14.25" customHeight="1">
      <c r="A255" s="53">
        <v>212</v>
      </c>
      <c r="B255" s="40"/>
      <c r="C255" s="37"/>
      <c r="D255" s="41"/>
      <c r="E255" s="41"/>
      <c r="F255" s="37"/>
      <c r="G255" s="37"/>
      <c r="H255" s="40"/>
      <c r="I255" s="37"/>
      <c r="J255" s="37"/>
      <c r="K255" s="55"/>
      <c r="L255" s="56"/>
      <c r="M255" s="40"/>
      <c r="N255" s="40"/>
      <c r="O255" s="2"/>
      <c r="P255" s="2"/>
      <c r="Q255" s="2"/>
      <c r="R255" s="2"/>
      <c r="S255" s="2"/>
      <c r="T255" s="2"/>
      <c r="U255" s="2"/>
      <c r="V255" s="2"/>
      <c r="W255" s="2"/>
      <c r="X255" s="2"/>
      <c r="Y255" s="2"/>
      <c r="Z255" s="2"/>
      <c r="AA255" s="2"/>
      <c r="AB255" s="2"/>
    </row>
    <row r="256" spans="1:28" ht="14.25" customHeight="1">
      <c r="A256" s="53">
        <v>213</v>
      </c>
      <c r="B256" s="40"/>
      <c r="C256" s="37"/>
      <c r="D256" s="41"/>
      <c r="E256" s="41"/>
      <c r="F256" s="37"/>
      <c r="G256" s="37"/>
      <c r="H256" s="40"/>
      <c r="I256" s="37"/>
      <c r="J256" s="37"/>
      <c r="K256" s="55"/>
      <c r="L256" s="56"/>
      <c r="M256" s="40"/>
      <c r="N256" s="40"/>
      <c r="O256" s="2"/>
      <c r="P256" s="2"/>
      <c r="Q256" s="2"/>
      <c r="R256" s="2"/>
      <c r="S256" s="2"/>
      <c r="T256" s="2"/>
      <c r="U256" s="2"/>
      <c r="V256" s="2"/>
      <c r="W256" s="2"/>
      <c r="X256" s="2"/>
      <c r="Y256" s="2"/>
      <c r="Z256" s="2"/>
      <c r="AA256" s="2"/>
      <c r="AB256" s="2"/>
    </row>
    <row r="257" spans="1:28" ht="14.25" customHeight="1">
      <c r="A257" s="53">
        <v>214</v>
      </c>
      <c r="B257" s="40"/>
      <c r="C257" s="37"/>
      <c r="D257" s="41"/>
      <c r="E257" s="41"/>
      <c r="F257" s="37"/>
      <c r="G257" s="37"/>
      <c r="H257" s="40"/>
      <c r="I257" s="37"/>
      <c r="J257" s="37"/>
      <c r="K257" s="55"/>
      <c r="L257" s="56"/>
      <c r="M257" s="40"/>
      <c r="N257" s="40"/>
      <c r="O257" s="2"/>
      <c r="P257" s="2"/>
      <c r="Q257" s="2"/>
      <c r="R257" s="2"/>
      <c r="S257" s="2"/>
      <c r="T257" s="2"/>
      <c r="U257" s="2"/>
      <c r="V257" s="2"/>
      <c r="W257" s="2"/>
      <c r="X257" s="2"/>
      <c r="Y257" s="2"/>
      <c r="Z257" s="2"/>
      <c r="AA257" s="2"/>
      <c r="AB257" s="2"/>
    </row>
    <row r="258" spans="1:28" ht="14.25" customHeight="1">
      <c r="A258" s="53">
        <v>215</v>
      </c>
      <c r="B258" s="40"/>
      <c r="C258" s="37"/>
      <c r="D258" s="41"/>
      <c r="E258" s="41"/>
      <c r="F258" s="37"/>
      <c r="G258" s="37"/>
      <c r="H258" s="40"/>
      <c r="I258" s="37"/>
      <c r="J258" s="37"/>
      <c r="K258" s="55"/>
      <c r="L258" s="56"/>
      <c r="M258" s="40"/>
      <c r="N258" s="40"/>
      <c r="O258" s="2"/>
      <c r="P258" s="2"/>
      <c r="Q258" s="2"/>
      <c r="R258" s="2"/>
      <c r="S258" s="2"/>
      <c r="T258" s="2"/>
      <c r="U258" s="2"/>
      <c r="V258" s="2"/>
      <c r="W258" s="2"/>
      <c r="X258" s="2"/>
      <c r="Y258" s="2"/>
      <c r="Z258" s="2"/>
      <c r="AA258" s="2"/>
      <c r="AB258" s="2"/>
    </row>
    <row r="259" spans="1:28" ht="14.25" customHeight="1">
      <c r="A259" s="53">
        <v>216</v>
      </c>
      <c r="B259" s="40"/>
      <c r="C259" s="37"/>
      <c r="D259" s="41"/>
      <c r="E259" s="41"/>
      <c r="F259" s="37"/>
      <c r="G259" s="37"/>
      <c r="H259" s="40"/>
      <c r="I259" s="37"/>
      <c r="J259" s="37"/>
      <c r="K259" s="55"/>
      <c r="L259" s="56"/>
      <c r="M259" s="40"/>
      <c r="N259" s="40"/>
      <c r="O259" s="2"/>
      <c r="P259" s="2"/>
      <c r="Q259" s="2"/>
      <c r="R259" s="2"/>
      <c r="S259" s="2"/>
      <c r="T259" s="2"/>
      <c r="U259" s="2"/>
      <c r="V259" s="2"/>
      <c r="W259" s="2"/>
      <c r="X259" s="2"/>
      <c r="Y259" s="2"/>
      <c r="Z259" s="2"/>
      <c r="AA259" s="2"/>
      <c r="AB259" s="2"/>
    </row>
    <row r="260" spans="1:28" ht="14.25" customHeight="1">
      <c r="A260" s="53">
        <v>217</v>
      </c>
      <c r="B260" s="40"/>
      <c r="C260" s="37"/>
      <c r="D260" s="41"/>
      <c r="E260" s="41"/>
      <c r="F260" s="37"/>
      <c r="G260" s="37"/>
      <c r="H260" s="40"/>
      <c r="I260" s="37"/>
      <c r="J260" s="37"/>
      <c r="K260" s="55"/>
      <c r="L260" s="56"/>
      <c r="M260" s="40"/>
      <c r="N260" s="40"/>
      <c r="O260" s="2"/>
      <c r="P260" s="2"/>
      <c r="Q260" s="2"/>
      <c r="R260" s="2"/>
      <c r="S260" s="2"/>
      <c r="T260" s="2"/>
      <c r="U260" s="2"/>
      <c r="V260" s="2"/>
      <c r="W260" s="2"/>
      <c r="X260" s="2"/>
      <c r="Y260" s="2"/>
      <c r="Z260" s="2"/>
      <c r="AA260" s="2"/>
      <c r="AB260" s="2"/>
    </row>
    <row r="261" spans="1:28" ht="14.25" customHeight="1">
      <c r="A261" s="53">
        <v>218</v>
      </c>
      <c r="B261" s="40"/>
      <c r="C261" s="37"/>
      <c r="D261" s="41"/>
      <c r="E261" s="41"/>
      <c r="F261" s="37"/>
      <c r="G261" s="37"/>
      <c r="H261" s="40"/>
      <c r="I261" s="37"/>
      <c r="J261" s="37"/>
      <c r="K261" s="55"/>
      <c r="L261" s="56"/>
      <c r="M261" s="40"/>
      <c r="N261" s="40"/>
      <c r="O261" s="2"/>
      <c r="P261" s="2"/>
      <c r="Q261" s="2"/>
      <c r="R261" s="2"/>
      <c r="S261" s="2"/>
      <c r="T261" s="2"/>
      <c r="U261" s="2"/>
      <c r="V261" s="2"/>
      <c r="W261" s="2"/>
      <c r="X261" s="2"/>
      <c r="Y261" s="2"/>
      <c r="Z261" s="2"/>
      <c r="AA261" s="2"/>
      <c r="AB261" s="2"/>
    </row>
    <row r="262" spans="1:28" ht="14.25" customHeight="1">
      <c r="A262" s="53">
        <v>219</v>
      </c>
      <c r="B262" s="40"/>
      <c r="C262" s="37"/>
      <c r="D262" s="41"/>
      <c r="E262" s="41"/>
      <c r="F262" s="37"/>
      <c r="G262" s="37"/>
      <c r="H262" s="40"/>
      <c r="I262" s="37"/>
      <c r="J262" s="37"/>
      <c r="K262" s="55"/>
      <c r="L262" s="56"/>
      <c r="M262" s="40"/>
      <c r="N262" s="40"/>
      <c r="O262" s="2"/>
      <c r="P262" s="2"/>
      <c r="Q262" s="2"/>
      <c r="R262" s="2"/>
      <c r="S262" s="2"/>
      <c r="T262" s="2"/>
      <c r="U262" s="2"/>
      <c r="V262" s="2"/>
      <c r="W262" s="2"/>
      <c r="X262" s="2"/>
      <c r="Y262" s="2"/>
      <c r="Z262" s="2"/>
      <c r="AA262" s="2"/>
      <c r="AB262" s="2"/>
    </row>
    <row r="263" spans="1:28" ht="14.25" customHeight="1">
      <c r="A263" s="53">
        <v>220</v>
      </c>
      <c r="B263" s="40"/>
      <c r="C263" s="37"/>
      <c r="D263" s="41"/>
      <c r="E263" s="41"/>
      <c r="F263" s="37"/>
      <c r="G263" s="37"/>
      <c r="H263" s="40"/>
      <c r="I263" s="37"/>
      <c r="J263" s="37"/>
      <c r="K263" s="55"/>
      <c r="L263" s="56"/>
      <c r="M263" s="40"/>
      <c r="N263" s="40"/>
      <c r="O263" s="2"/>
      <c r="P263" s="2"/>
      <c r="Q263" s="2"/>
      <c r="R263" s="2"/>
      <c r="S263" s="2"/>
      <c r="T263" s="2"/>
      <c r="U263" s="2"/>
      <c r="V263" s="2"/>
      <c r="W263" s="2"/>
      <c r="X263" s="2"/>
      <c r="Y263" s="2"/>
      <c r="Z263" s="2"/>
      <c r="AA263" s="2"/>
      <c r="AB263" s="2"/>
    </row>
    <row r="264" spans="1:28" ht="14.25" customHeight="1">
      <c r="A264" s="53">
        <v>221</v>
      </c>
      <c r="B264" s="40"/>
      <c r="C264" s="37"/>
      <c r="D264" s="41"/>
      <c r="E264" s="41"/>
      <c r="F264" s="37"/>
      <c r="G264" s="37"/>
      <c r="H264" s="40"/>
      <c r="I264" s="37"/>
      <c r="J264" s="37"/>
      <c r="K264" s="55"/>
      <c r="L264" s="56"/>
      <c r="M264" s="40"/>
      <c r="N264" s="40"/>
      <c r="O264" s="2"/>
      <c r="P264" s="2"/>
      <c r="Q264" s="2"/>
      <c r="R264" s="2"/>
      <c r="S264" s="2"/>
      <c r="T264" s="2"/>
      <c r="U264" s="2"/>
      <c r="V264" s="2"/>
      <c r="W264" s="2"/>
      <c r="X264" s="2"/>
      <c r="Y264" s="2"/>
      <c r="Z264" s="2"/>
      <c r="AA264" s="2"/>
      <c r="AB264" s="2"/>
    </row>
    <row r="265" spans="1:28" ht="14.25" customHeight="1">
      <c r="A265" s="53">
        <v>222</v>
      </c>
      <c r="B265" s="40"/>
      <c r="C265" s="37"/>
      <c r="D265" s="41"/>
      <c r="E265" s="41"/>
      <c r="F265" s="37"/>
      <c r="G265" s="37"/>
      <c r="H265" s="40"/>
      <c r="I265" s="37"/>
      <c r="J265" s="37"/>
      <c r="K265" s="55"/>
      <c r="L265" s="56"/>
      <c r="M265" s="40"/>
      <c r="N265" s="40"/>
      <c r="O265" s="2"/>
      <c r="P265" s="2"/>
      <c r="Q265" s="2"/>
      <c r="R265" s="2"/>
      <c r="S265" s="2"/>
      <c r="T265" s="2"/>
      <c r="U265" s="2"/>
      <c r="V265" s="2"/>
      <c r="W265" s="2"/>
      <c r="X265" s="2"/>
      <c r="Y265" s="2"/>
      <c r="Z265" s="2"/>
      <c r="AA265" s="2"/>
      <c r="AB265" s="2"/>
    </row>
    <row r="266" spans="1:28" ht="14.25" customHeight="1">
      <c r="A266" s="53">
        <v>223</v>
      </c>
      <c r="B266" s="40"/>
      <c r="C266" s="37"/>
      <c r="D266" s="41"/>
      <c r="E266" s="41"/>
      <c r="F266" s="37"/>
      <c r="G266" s="37"/>
      <c r="H266" s="40"/>
      <c r="I266" s="37"/>
      <c r="J266" s="37"/>
      <c r="K266" s="55"/>
      <c r="L266" s="56"/>
      <c r="M266" s="40"/>
      <c r="N266" s="40"/>
      <c r="O266" s="2"/>
      <c r="P266" s="2"/>
      <c r="Q266" s="2"/>
      <c r="R266" s="2"/>
      <c r="S266" s="2"/>
      <c r="T266" s="2"/>
      <c r="U266" s="2"/>
      <c r="V266" s="2"/>
      <c r="W266" s="2"/>
      <c r="X266" s="2"/>
      <c r="Y266" s="2"/>
      <c r="Z266" s="2"/>
      <c r="AA266" s="2"/>
      <c r="AB266" s="2"/>
    </row>
    <row r="267" spans="1:28" ht="14.25" customHeight="1">
      <c r="A267" s="53">
        <v>224</v>
      </c>
      <c r="B267" s="40"/>
      <c r="C267" s="37"/>
      <c r="D267" s="41"/>
      <c r="E267" s="41"/>
      <c r="F267" s="37"/>
      <c r="G267" s="37"/>
      <c r="H267" s="40"/>
      <c r="I267" s="37"/>
      <c r="J267" s="37"/>
      <c r="K267" s="55"/>
      <c r="L267" s="56"/>
      <c r="M267" s="40"/>
      <c r="N267" s="40"/>
      <c r="O267" s="2"/>
      <c r="P267" s="2"/>
      <c r="Q267" s="2"/>
      <c r="R267" s="2"/>
      <c r="S267" s="2"/>
      <c r="T267" s="2"/>
      <c r="U267" s="2"/>
      <c r="V267" s="2"/>
      <c r="W267" s="2"/>
      <c r="X267" s="2"/>
      <c r="Y267" s="2"/>
      <c r="Z267" s="2"/>
      <c r="AA267" s="2"/>
      <c r="AB267" s="2"/>
    </row>
    <row r="268" spans="1:28" ht="14.25" customHeight="1">
      <c r="A268" s="53">
        <v>225</v>
      </c>
      <c r="B268" s="40"/>
      <c r="C268" s="37"/>
      <c r="D268" s="41"/>
      <c r="E268" s="41"/>
      <c r="F268" s="37"/>
      <c r="G268" s="37"/>
      <c r="H268" s="40"/>
      <c r="I268" s="37"/>
      <c r="J268" s="37"/>
      <c r="K268" s="55"/>
      <c r="L268" s="56"/>
      <c r="M268" s="40"/>
      <c r="N268" s="40"/>
      <c r="O268" s="2"/>
      <c r="P268" s="2"/>
      <c r="Q268" s="2"/>
      <c r="R268" s="2"/>
      <c r="S268" s="2"/>
      <c r="T268" s="2"/>
      <c r="U268" s="2"/>
      <c r="V268" s="2"/>
      <c r="W268" s="2"/>
      <c r="X268" s="2"/>
      <c r="Y268" s="2"/>
      <c r="Z268" s="2"/>
      <c r="AA268" s="2"/>
      <c r="AB268" s="2"/>
    </row>
    <row r="269" spans="1:28" ht="14.25" customHeight="1">
      <c r="A269" s="24"/>
      <c r="B269" s="40"/>
      <c r="C269" s="37"/>
      <c r="D269" s="41"/>
      <c r="E269" s="41"/>
      <c r="F269" s="37"/>
      <c r="G269" s="37"/>
      <c r="H269" s="40"/>
      <c r="I269" s="37"/>
      <c r="J269" s="37"/>
      <c r="K269" s="55"/>
      <c r="L269" s="56"/>
      <c r="M269" s="40"/>
      <c r="N269" s="40"/>
      <c r="O269" s="2"/>
      <c r="P269" s="2"/>
      <c r="Q269" s="2"/>
      <c r="R269" s="2"/>
      <c r="S269" s="2"/>
      <c r="T269" s="2"/>
      <c r="U269" s="2"/>
      <c r="V269" s="2"/>
      <c r="W269" s="2"/>
      <c r="X269" s="2"/>
      <c r="Y269" s="2"/>
      <c r="Z269" s="2"/>
      <c r="AA269" s="2"/>
      <c r="AB269" s="2"/>
    </row>
    <row r="270" spans="1:28" ht="14.25" customHeight="1">
      <c r="A270" s="24"/>
      <c r="B270" s="2"/>
      <c r="C270" s="2"/>
      <c r="D270" s="57"/>
      <c r="E270" s="57"/>
      <c r="F270" s="2"/>
      <c r="G270" s="2"/>
      <c r="H270" s="2"/>
      <c r="I270" s="2"/>
      <c r="J270" s="2"/>
      <c r="K270" s="57"/>
      <c r="L270" s="58"/>
      <c r="M270" s="2"/>
      <c r="N270" s="2"/>
      <c r="O270" s="2"/>
      <c r="P270" s="2"/>
      <c r="Q270" s="2"/>
      <c r="R270" s="2"/>
      <c r="S270" s="2"/>
      <c r="T270" s="2"/>
      <c r="U270" s="2"/>
      <c r="V270" s="2"/>
      <c r="W270" s="2"/>
      <c r="X270" s="2"/>
      <c r="Y270" s="2"/>
      <c r="Z270" s="2"/>
      <c r="AA270" s="2"/>
      <c r="AB270" s="2"/>
    </row>
    <row r="271" spans="1:28" ht="14.25" customHeight="1">
      <c r="A271" s="24"/>
      <c r="B271" s="2"/>
      <c r="C271" s="2"/>
      <c r="D271" s="57"/>
      <c r="E271" s="57"/>
      <c r="F271" s="2"/>
      <c r="G271" s="2"/>
      <c r="H271" s="2"/>
      <c r="I271" s="2"/>
      <c r="J271" s="2"/>
      <c r="K271" s="57"/>
      <c r="L271" s="58"/>
      <c r="M271" s="2"/>
      <c r="N271" s="2"/>
      <c r="O271" s="2"/>
      <c r="P271" s="2"/>
      <c r="Q271" s="2"/>
      <c r="R271" s="2"/>
      <c r="S271" s="2"/>
      <c r="T271" s="2"/>
      <c r="U271" s="2"/>
      <c r="V271" s="2"/>
      <c r="W271" s="2"/>
      <c r="X271" s="2"/>
      <c r="Y271" s="2"/>
      <c r="Z271" s="2"/>
      <c r="AA271" s="2"/>
      <c r="AB271" s="2"/>
    </row>
    <row r="272" spans="1:28" ht="14.25" customHeight="1">
      <c r="A272" s="24"/>
      <c r="B272" s="2"/>
      <c r="C272" s="2"/>
      <c r="D272" s="57"/>
      <c r="E272" s="57"/>
      <c r="F272" s="2"/>
      <c r="G272" s="2"/>
      <c r="H272" s="2"/>
      <c r="I272" s="2"/>
      <c r="J272" s="2"/>
      <c r="K272" s="57"/>
      <c r="L272" s="58"/>
      <c r="M272" s="2"/>
      <c r="N272" s="2"/>
      <c r="O272" s="2"/>
      <c r="P272" s="2"/>
      <c r="Q272" s="2"/>
      <c r="R272" s="2"/>
      <c r="S272" s="2"/>
      <c r="T272" s="2"/>
      <c r="U272" s="2"/>
      <c r="V272" s="2"/>
      <c r="W272" s="2"/>
      <c r="X272" s="2"/>
      <c r="Y272" s="2"/>
      <c r="Z272" s="2"/>
      <c r="AA272" s="2"/>
      <c r="AB272" s="2"/>
    </row>
    <row r="273" spans="1:28" ht="14.25" customHeight="1">
      <c r="A273" s="24"/>
      <c r="B273" s="2"/>
      <c r="C273" s="2"/>
      <c r="D273" s="57"/>
      <c r="E273" s="57"/>
      <c r="F273" s="2"/>
      <c r="G273" s="2"/>
      <c r="H273" s="2"/>
      <c r="I273" s="2"/>
      <c r="J273" s="2"/>
      <c r="K273" s="57"/>
      <c r="L273" s="58"/>
      <c r="M273" s="2"/>
      <c r="N273" s="2"/>
      <c r="O273" s="2"/>
      <c r="P273" s="2"/>
      <c r="Q273" s="2"/>
      <c r="R273" s="2"/>
      <c r="S273" s="2"/>
      <c r="T273" s="2"/>
      <c r="U273" s="2"/>
      <c r="V273" s="2"/>
      <c r="W273" s="2"/>
      <c r="X273" s="2"/>
      <c r="Y273" s="2"/>
      <c r="Z273" s="2"/>
      <c r="AA273" s="2"/>
      <c r="AB273" s="2"/>
    </row>
    <row r="274" spans="1:28" ht="14.25" customHeight="1">
      <c r="A274" s="24"/>
      <c r="B274" s="2"/>
      <c r="C274" s="2"/>
      <c r="D274" s="57"/>
      <c r="E274" s="57"/>
      <c r="F274" s="2"/>
      <c r="G274" s="2"/>
      <c r="H274" s="2"/>
      <c r="I274" s="2"/>
      <c r="J274" s="2"/>
      <c r="K274" s="57"/>
      <c r="L274" s="58"/>
      <c r="M274" s="2"/>
      <c r="N274" s="2"/>
      <c r="O274" s="2"/>
      <c r="P274" s="2"/>
      <c r="Q274" s="2"/>
      <c r="R274" s="2"/>
      <c r="S274" s="2"/>
      <c r="T274" s="2"/>
      <c r="U274" s="2"/>
      <c r="V274" s="2"/>
      <c r="W274" s="2"/>
      <c r="X274" s="2"/>
      <c r="Y274" s="2"/>
      <c r="Z274" s="2"/>
      <c r="AA274" s="2"/>
      <c r="AB274" s="2"/>
    </row>
    <row r="275" spans="1:28" ht="14.25" customHeight="1">
      <c r="A275" s="24"/>
      <c r="B275" s="2"/>
      <c r="C275" s="2"/>
      <c r="D275" s="57"/>
      <c r="E275" s="57"/>
      <c r="F275" s="2"/>
      <c r="G275" s="2"/>
      <c r="H275" s="2"/>
      <c r="I275" s="2"/>
      <c r="J275" s="2"/>
      <c r="K275" s="57"/>
      <c r="L275" s="58"/>
      <c r="M275" s="2"/>
      <c r="N275" s="2"/>
      <c r="O275" s="2"/>
      <c r="P275" s="2"/>
      <c r="Q275" s="2"/>
      <c r="R275" s="2"/>
      <c r="S275" s="2"/>
      <c r="T275" s="2"/>
      <c r="U275" s="2"/>
      <c r="V275" s="2"/>
      <c r="W275" s="2"/>
      <c r="X275" s="2"/>
      <c r="Y275" s="2"/>
      <c r="Z275" s="2"/>
      <c r="AA275" s="2"/>
      <c r="AB275" s="2"/>
    </row>
    <row r="276" spans="1:28" ht="14.25" customHeight="1">
      <c r="A276" s="24"/>
      <c r="B276" s="2"/>
      <c r="C276" s="2"/>
      <c r="D276" s="57"/>
      <c r="E276" s="57"/>
      <c r="F276" s="2"/>
      <c r="G276" s="2"/>
      <c r="H276" s="2"/>
      <c r="I276" s="2"/>
      <c r="J276" s="2"/>
      <c r="K276" s="57"/>
      <c r="L276" s="58"/>
      <c r="M276" s="2"/>
      <c r="N276" s="2"/>
      <c r="O276" s="2"/>
      <c r="P276" s="2"/>
      <c r="Q276" s="2"/>
      <c r="R276" s="2"/>
      <c r="S276" s="2"/>
      <c r="T276" s="2"/>
      <c r="U276" s="2"/>
      <c r="V276" s="2"/>
      <c r="W276" s="2"/>
      <c r="X276" s="2"/>
      <c r="Y276" s="2"/>
      <c r="Z276" s="2"/>
      <c r="AA276" s="2"/>
      <c r="AB276" s="2"/>
    </row>
    <row r="277" spans="1:28" ht="14.25" customHeight="1">
      <c r="A277" s="24"/>
      <c r="B277" s="2"/>
      <c r="C277" s="2"/>
      <c r="D277" s="57"/>
      <c r="E277" s="57"/>
      <c r="F277" s="2"/>
      <c r="G277" s="2"/>
      <c r="H277" s="2"/>
      <c r="I277" s="2"/>
      <c r="J277" s="2"/>
      <c r="K277" s="57"/>
      <c r="L277" s="58"/>
      <c r="M277" s="2"/>
      <c r="N277" s="2"/>
      <c r="O277" s="2"/>
      <c r="P277" s="2"/>
      <c r="Q277" s="2"/>
      <c r="R277" s="2"/>
      <c r="S277" s="2"/>
      <c r="T277" s="2"/>
      <c r="U277" s="2"/>
      <c r="V277" s="2"/>
      <c r="W277" s="2"/>
      <c r="X277" s="2"/>
      <c r="Y277" s="2"/>
      <c r="Z277" s="2"/>
      <c r="AA277" s="2"/>
      <c r="AB277" s="2"/>
    </row>
    <row r="278" spans="1:28" ht="14.25" customHeight="1">
      <c r="A278" s="24"/>
      <c r="B278" s="2"/>
      <c r="C278" s="2"/>
      <c r="D278" s="57"/>
      <c r="E278" s="57"/>
      <c r="F278" s="2"/>
      <c r="G278" s="2"/>
      <c r="H278" s="2"/>
      <c r="I278" s="2"/>
      <c r="J278" s="2"/>
      <c r="K278" s="57"/>
      <c r="L278" s="58"/>
      <c r="M278" s="2"/>
      <c r="N278" s="2"/>
      <c r="O278" s="2"/>
      <c r="P278" s="2"/>
      <c r="Q278" s="2"/>
      <c r="R278" s="2"/>
      <c r="S278" s="2"/>
      <c r="T278" s="2"/>
      <c r="U278" s="2"/>
      <c r="V278" s="2"/>
      <c r="W278" s="2"/>
      <c r="X278" s="2"/>
      <c r="Y278" s="2"/>
      <c r="Z278" s="2"/>
      <c r="AA278" s="2"/>
      <c r="AB278" s="2"/>
    </row>
    <row r="279" spans="1:28" ht="14.25" customHeight="1">
      <c r="A279" s="24"/>
      <c r="B279" s="2"/>
      <c r="C279" s="2"/>
      <c r="D279" s="57"/>
      <c r="E279" s="57"/>
      <c r="F279" s="2"/>
      <c r="G279" s="2"/>
      <c r="H279" s="2"/>
      <c r="I279" s="2"/>
      <c r="J279" s="2"/>
      <c r="K279" s="57"/>
      <c r="L279" s="58"/>
      <c r="M279" s="2"/>
      <c r="N279" s="2"/>
      <c r="O279" s="2"/>
      <c r="P279" s="2"/>
      <c r="Q279" s="2"/>
      <c r="R279" s="2"/>
      <c r="S279" s="2"/>
      <c r="T279" s="2"/>
      <c r="U279" s="2"/>
      <c r="V279" s="2"/>
      <c r="W279" s="2"/>
      <c r="X279" s="2"/>
      <c r="Y279" s="2"/>
      <c r="Z279" s="2"/>
      <c r="AA279" s="2"/>
      <c r="AB279" s="2"/>
    </row>
    <row r="280" spans="1:28" ht="14.25" customHeight="1">
      <c r="A280" s="24"/>
      <c r="B280" s="2"/>
      <c r="C280" s="2"/>
      <c r="D280" s="57"/>
      <c r="E280" s="57"/>
      <c r="F280" s="2"/>
      <c r="G280" s="2"/>
      <c r="H280" s="2"/>
      <c r="I280" s="2"/>
      <c r="J280" s="2"/>
      <c r="K280" s="57"/>
      <c r="L280" s="58"/>
      <c r="M280" s="2"/>
      <c r="N280" s="2"/>
      <c r="O280" s="2"/>
      <c r="P280" s="2"/>
      <c r="Q280" s="2"/>
      <c r="R280" s="2"/>
      <c r="S280" s="2"/>
      <c r="T280" s="2"/>
      <c r="U280" s="2"/>
      <c r="V280" s="2"/>
      <c r="W280" s="2"/>
      <c r="X280" s="2"/>
      <c r="Y280" s="2"/>
      <c r="Z280" s="2"/>
      <c r="AA280" s="2"/>
      <c r="AB280" s="2"/>
    </row>
    <row r="281" spans="1:28" ht="14.25" customHeight="1">
      <c r="A281" s="24"/>
      <c r="B281" s="2"/>
      <c r="C281" s="2"/>
      <c r="D281" s="57"/>
      <c r="E281" s="57"/>
      <c r="F281" s="2"/>
      <c r="G281" s="2"/>
      <c r="H281" s="2"/>
      <c r="I281" s="2"/>
      <c r="J281" s="2"/>
      <c r="K281" s="57"/>
      <c r="L281" s="58"/>
      <c r="M281" s="2"/>
      <c r="N281" s="2"/>
      <c r="O281" s="2"/>
      <c r="P281" s="2"/>
      <c r="Q281" s="2"/>
      <c r="R281" s="2"/>
      <c r="S281" s="2"/>
      <c r="T281" s="2"/>
      <c r="U281" s="2"/>
      <c r="V281" s="2"/>
      <c r="W281" s="2"/>
      <c r="X281" s="2"/>
      <c r="Y281" s="2"/>
      <c r="Z281" s="2"/>
      <c r="AA281" s="2"/>
      <c r="AB281" s="2"/>
    </row>
    <row r="282" spans="1:28" ht="14.25" customHeight="1">
      <c r="A282" s="24"/>
      <c r="B282" s="2"/>
      <c r="C282" s="2"/>
      <c r="D282" s="57"/>
      <c r="E282" s="57"/>
      <c r="F282" s="2"/>
      <c r="G282" s="2"/>
      <c r="H282" s="2"/>
      <c r="I282" s="2"/>
      <c r="J282" s="2"/>
      <c r="K282" s="57"/>
      <c r="L282" s="58"/>
      <c r="M282" s="2"/>
      <c r="N282" s="2"/>
      <c r="O282" s="2"/>
      <c r="P282" s="2"/>
      <c r="Q282" s="2"/>
      <c r="R282" s="2"/>
      <c r="S282" s="2"/>
      <c r="T282" s="2"/>
      <c r="U282" s="2"/>
      <c r="V282" s="2"/>
      <c r="W282" s="2"/>
      <c r="X282" s="2"/>
      <c r="Y282" s="2"/>
      <c r="Z282" s="2"/>
      <c r="AA282" s="2"/>
      <c r="AB282" s="2"/>
    </row>
    <row r="283" spans="1:28" ht="14.25" customHeight="1">
      <c r="A283" s="24"/>
      <c r="B283" s="2"/>
      <c r="C283" s="2"/>
      <c r="D283" s="57"/>
      <c r="E283" s="57"/>
      <c r="F283" s="2"/>
      <c r="G283" s="2"/>
      <c r="H283" s="2"/>
      <c r="I283" s="2"/>
      <c r="J283" s="2"/>
      <c r="K283" s="57"/>
      <c r="L283" s="58"/>
      <c r="M283" s="2"/>
      <c r="N283" s="2"/>
      <c r="O283" s="2"/>
      <c r="P283" s="2"/>
      <c r="Q283" s="2"/>
      <c r="R283" s="2"/>
      <c r="S283" s="2"/>
      <c r="T283" s="2"/>
      <c r="U283" s="2"/>
      <c r="V283" s="2"/>
      <c r="W283" s="2"/>
      <c r="X283" s="2"/>
      <c r="Y283" s="2"/>
      <c r="Z283" s="2"/>
      <c r="AA283" s="2"/>
      <c r="AB283" s="2"/>
    </row>
    <row r="284" spans="1:28" ht="14.25" customHeight="1">
      <c r="A284" s="24"/>
      <c r="B284" s="2"/>
      <c r="C284" s="2"/>
      <c r="D284" s="57"/>
      <c r="E284" s="57"/>
      <c r="F284" s="2"/>
      <c r="G284" s="2"/>
      <c r="H284" s="2"/>
      <c r="I284" s="2"/>
      <c r="J284" s="2"/>
      <c r="K284" s="57"/>
      <c r="L284" s="58"/>
      <c r="M284" s="2"/>
      <c r="N284" s="2"/>
      <c r="O284" s="2"/>
      <c r="P284" s="2"/>
      <c r="Q284" s="2"/>
      <c r="R284" s="2"/>
      <c r="S284" s="2"/>
      <c r="T284" s="2"/>
      <c r="U284" s="2"/>
      <c r="V284" s="2"/>
      <c r="W284" s="2"/>
      <c r="X284" s="2"/>
      <c r="Y284" s="2"/>
      <c r="Z284" s="2"/>
      <c r="AA284" s="2"/>
      <c r="AB284" s="2"/>
    </row>
    <row r="285" spans="1:28" ht="14.25" customHeight="1">
      <c r="A285" s="24"/>
      <c r="B285" s="2"/>
      <c r="C285" s="2"/>
      <c r="D285" s="57"/>
      <c r="E285" s="57"/>
      <c r="F285" s="2"/>
      <c r="G285" s="2"/>
      <c r="H285" s="2"/>
      <c r="I285" s="2"/>
      <c r="J285" s="2"/>
      <c r="K285" s="57"/>
      <c r="L285" s="58"/>
      <c r="M285" s="2"/>
      <c r="N285" s="2"/>
      <c r="O285" s="2"/>
      <c r="P285" s="2"/>
      <c r="Q285" s="2"/>
      <c r="R285" s="2"/>
      <c r="S285" s="2"/>
      <c r="T285" s="2"/>
      <c r="U285" s="2"/>
      <c r="V285" s="2"/>
      <c r="W285" s="2"/>
      <c r="X285" s="2"/>
      <c r="Y285" s="2"/>
      <c r="Z285" s="2"/>
      <c r="AA285" s="2"/>
      <c r="AB285" s="2"/>
    </row>
    <row r="286" spans="1:28" ht="14.25" customHeight="1">
      <c r="A286" s="24"/>
      <c r="B286" s="2"/>
      <c r="C286" s="2"/>
      <c r="D286" s="57"/>
      <c r="E286" s="57"/>
      <c r="F286" s="2"/>
      <c r="G286" s="2"/>
      <c r="H286" s="2"/>
      <c r="I286" s="2"/>
      <c r="J286" s="2"/>
      <c r="K286" s="57"/>
      <c r="L286" s="58"/>
      <c r="M286" s="2"/>
      <c r="N286" s="2"/>
      <c r="O286" s="2"/>
      <c r="P286" s="2"/>
      <c r="Q286" s="2"/>
      <c r="R286" s="2"/>
      <c r="S286" s="2"/>
      <c r="T286" s="2"/>
      <c r="U286" s="2"/>
      <c r="V286" s="2"/>
      <c r="W286" s="2"/>
      <c r="X286" s="2"/>
      <c r="Y286" s="2"/>
      <c r="Z286" s="2"/>
      <c r="AA286" s="2"/>
      <c r="AB286" s="2"/>
    </row>
    <row r="287" spans="1:28" ht="14.25" customHeight="1">
      <c r="A287" s="24"/>
      <c r="B287" s="2"/>
      <c r="C287" s="2"/>
      <c r="D287" s="57"/>
      <c r="E287" s="57"/>
      <c r="F287" s="2"/>
      <c r="G287" s="2"/>
      <c r="H287" s="2"/>
      <c r="I287" s="2"/>
      <c r="J287" s="2"/>
      <c r="K287" s="57"/>
      <c r="L287" s="58"/>
      <c r="M287" s="2"/>
      <c r="N287" s="2"/>
      <c r="O287" s="2"/>
      <c r="P287" s="2"/>
      <c r="Q287" s="2"/>
      <c r="R287" s="2"/>
      <c r="S287" s="2"/>
      <c r="T287" s="2"/>
      <c r="U287" s="2"/>
      <c r="V287" s="2"/>
      <c r="W287" s="2"/>
      <c r="X287" s="2"/>
      <c r="Y287" s="2"/>
      <c r="Z287" s="2"/>
      <c r="AA287" s="2"/>
      <c r="AB287" s="2"/>
    </row>
    <row r="288" spans="1:28" ht="14.25" customHeight="1">
      <c r="A288" s="24"/>
      <c r="B288" s="2"/>
      <c r="C288" s="2"/>
      <c r="D288" s="57"/>
      <c r="E288" s="57"/>
      <c r="F288" s="2"/>
      <c r="G288" s="2"/>
      <c r="H288" s="2"/>
      <c r="I288" s="2"/>
      <c r="J288" s="2"/>
      <c r="K288" s="57"/>
      <c r="L288" s="58"/>
      <c r="M288" s="2"/>
      <c r="N288" s="2"/>
      <c r="O288" s="2"/>
      <c r="P288" s="2"/>
      <c r="Q288" s="2"/>
      <c r="R288" s="2"/>
      <c r="S288" s="2"/>
      <c r="T288" s="2"/>
      <c r="U288" s="2"/>
      <c r="V288" s="2"/>
      <c r="W288" s="2"/>
      <c r="X288" s="2"/>
      <c r="Y288" s="2"/>
      <c r="Z288" s="2"/>
      <c r="AA288" s="2"/>
      <c r="AB288" s="2"/>
    </row>
    <row r="289" spans="1:28" ht="14.25" customHeight="1">
      <c r="A289" s="24"/>
      <c r="B289" s="2"/>
      <c r="C289" s="2"/>
      <c r="D289" s="57"/>
      <c r="E289" s="57"/>
      <c r="F289" s="2"/>
      <c r="G289" s="2"/>
      <c r="H289" s="2"/>
      <c r="I289" s="2"/>
      <c r="J289" s="2"/>
      <c r="K289" s="57"/>
      <c r="L289" s="58"/>
      <c r="M289" s="2"/>
      <c r="N289" s="2"/>
      <c r="O289" s="2"/>
      <c r="P289" s="2"/>
      <c r="Q289" s="2"/>
      <c r="R289" s="2"/>
      <c r="S289" s="2"/>
      <c r="T289" s="2"/>
      <c r="U289" s="2"/>
      <c r="V289" s="2"/>
      <c r="W289" s="2"/>
      <c r="X289" s="2"/>
      <c r="Y289" s="2"/>
      <c r="Z289" s="2"/>
      <c r="AA289" s="2"/>
      <c r="AB289" s="2"/>
    </row>
    <row r="290" spans="1:28" ht="14.25" customHeight="1">
      <c r="A290" s="24"/>
      <c r="B290" s="2"/>
      <c r="C290" s="2"/>
      <c r="D290" s="57"/>
      <c r="E290" s="57"/>
      <c r="F290" s="2"/>
      <c r="G290" s="2"/>
      <c r="H290" s="2"/>
      <c r="I290" s="2"/>
      <c r="J290" s="2"/>
      <c r="K290" s="57"/>
      <c r="L290" s="58"/>
      <c r="M290" s="2"/>
      <c r="N290" s="2"/>
      <c r="O290" s="2"/>
      <c r="P290" s="2"/>
      <c r="Q290" s="2"/>
      <c r="R290" s="2"/>
      <c r="S290" s="2"/>
      <c r="T290" s="2"/>
      <c r="U290" s="2"/>
      <c r="V290" s="2"/>
      <c r="W290" s="2"/>
      <c r="X290" s="2"/>
      <c r="Y290" s="2"/>
      <c r="Z290" s="2"/>
      <c r="AA290" s="2"/>
      <c r="AB290" s="2"/>
    </row>
    <row r="291" spans="1:28" ht="14.25" customHeight="1">
      <c r="A291" s="24"/>
      <c r="B291" s="2"/>
      <c r="C291" s="2"/>
      <c r="D291" s="57"/>
      <c r="E291" s="57"/>
      <c r="F291" s="2"/>
      <c r="G291" s="2"/>
      <c r="H291" s="2"/>
      <c r="I291" s="2"/>
      <c r="J291" s="2"/>
      <c r="K291" s="57"/>
      <c r="L291" s="58"/>
      <c r="M291" s="2"/>
      <c r="N291" s="2"/>
      <c r="O291" s="2"/>
      <c r="P291" s="2"/>
      <c r="Q291" s="2"/>
      <c r="R291" s="2"/>
      <c r="S291" s="2"/>
      <c r="T291" s="2"/>
      <c r="U291" s="2"/>
      <c r="V291" s="2"/>
      <c r="W291" s="2"/>
      <c r="X291" s="2"/>
      <c r="Y291" s="2"/>
      <c r="Z291" s="2"/>
      <c r="AA291" s="2"/>
      <c r="AB291" s="2"/>
    </row>
    <row r="292" spans="1:28" ht="14.25" customHeight="1">
      <c r="A292" s="24"/>
      <c r="B292" s="2"/>
      <c r="C292" s="2"/>
      <c r="D292" s="57"/>
      <c r="E292" s="57"/>
      <c r="F292" s="2"/>
      <c r="G292" s="2"/>
      <c r="H292" s="2"/>
      <c r="I292" s="2"/>
      <c r="J292" s="2"/>
      <c r="K292" s="57"/>
      <c r="L292" s="58"/>
      <c r="M292" s="2"/>
      <c r="N292" s="2"/>
      <c r="O292" s="2"/>
      <c r="P292" s="2"/>
      <c r="Q292" s="2"/>
      <c r="R292" s="2"/>
      <c r="S292" s="2"/>
      <c r="T292" s="2"/>
      <c r="U292" s="2"/>
      <c r="V292" s="2"/>
      <c r="W292" s="2"/>
      <c r="X292" s="2"/>
      <c r="Y292" s="2"/>
      <c r="Z292" s="2"/>
      <c r="AA292" s="2"/>
      <c r="AB292" s="2"/>
    </row>
    <row r="293" spans="1:28" ht="14.25" customHeight="1">
      <c r="A293" s="24"/>
      <c r="B293" s="2"/>
      <c r="C293" s="2"/>
      <c r="D293" s="57"/>
      <c r="E293" s="57"/>
      <c r="F293" s="2"/>
      <c r="G293" s="2"/>
      <c r="H293" s="2"/>
      <c r="I293" s="2"/>
      <c r="J293" s="2"/>
      <c r="K293" s="57"/>
      <c r="L293" s="58"/>
      <c r="M293" s="2"/>
      <c r="N293" s="2"/>
      <c r="O293" s="2"/>
      <c r="P293" s="2"/>
      <c r="Q293" s="2"/>
      <c r="R293" s="2"/>
      <c r="S293" s="2"/>
      <c r="T293" s="2"/>
      <c r="U293" s="2"/>
      <c r="V293" s="2"/>
      <c r="W293" s="2"/>
      <c r="X293" s="2"/>
      <c r="Y293" s="2"/>
      <c r="Z293" s="2"/>
      <c r="AA293" s="2"/>
      <c r="AB293" s="2"/>
    </row>
    <row r="294" spans="1:28" ht="14.25" customHeight="1">
      <c r="A294" s="24"/>
      <c r="B294" s="2"/>
      <c r="C294" s="2"/>
      <c r="D294" s="57"/>
      <c r="E294" s="57"/>
      <c r="F294" s="2"/>
      <c r="G294" s="2"/>
      <c r="H294" s="2"/>
      <c r="I294" s="2"/>
      <c r="J294" s="2"/>
      <c r="K294" s="57"/>
      <c r="L294" s="58"/>
      <c r="M294" s="2"/>
      <c r="N294" s="2"/>
      <c r="O294" s="2"/>
      <c r="P294" s="2"/>
      <c r="Q294" s="2"/>
      <c r="R294" s="2"/>
      <c r="S294" s="2"/>
      <c r="T294" s="2"/>
      <c r="U294" s="2"/>
      <c r="V294" s="2"/>
      <c r="W294" s="2"/>
      <c r="X294" s="2"/>
      <c r="Y294" s="2"/>
      <c r="Z294" s="2"/>
      <c r="AA294" s="2"/>
      <c r="AB294" s="2"/>
    </row>
    <row r="295" spans="1:28" ht="14.25" customHeight="1">
      <c r="A295" s="24"/>
      <c r="B295" s="2"/>
      <c r="C295" s="2"/>
      <c r="D295" s="57"/>
      <c r="E295" s="57"/>
      <c r="F295" s="2"/>
      <c r="G295" s="2"/>
      <c r="H295" s="2"/>
      <c r="I295" s="2"/>
      <c r="J295" s="2"/>
      <c r="K295" s="57"/>
      <c r="L295" s="58"/>
      <c r="M295" s="2"/>
      <c r="N295" s="2"/>
      <c r="O295" s="2"/>
      <c r="P295" s="2"/>
      <c r="Q295" s="2"/>
      <c r="R295" s="2"/>
      <c r="S295" s="2"/>
      <c r="T295" s="2"/>
      <c r="U295" s="2"/>
      <c r="V295" s="2"/>
      <c r="W295" s="2"/>
      <c r="X295" s="2"/>
      <c r="Y295" s="2"/>
      <c r="Z295" s="2"/>
      <c r="AA295" s="2"/>
      <c r="AB295" s="2"/>
    </row>
    <row r="296" spans="1:28" ht="14.25" customHeight="1">
      <c r="A296" s="24"/>
      <c r="B296" s="2"/>
      <c r="C296" s="2"/>
      <c r="D296" s="57"/>
      <c r="E296" s="57"/>
      <c r="F296" s="2"/>
      <c r="G296" s="2"/>
      <c r="H296" s="2"/>
      <c r="I296" s="2"/>
      <c r="J296" s="2"/>
      <c r="K296" s="57"/>
      <c r="L296" s="58"/>
      <c r="M296" s="2"/>
      <c r="N296" s="2"/>
      <c r="O296" s="2"/>
      <c r="P296" s="2"/>
      <c r="Q296" s="2"/>
      <c r="R296" s="2"/>
      <c r="S296" s="2"/>
      <c r="T296" s="2"/>
      <c r="U296" s="2"/>
      <c r="V296" s="2"/>
      <c r="W296" s="2"/>
      <c r="X296" s="2"/>
      <c r="Y296" s="2"/>
      <c r="Z296" s="2"/>
      <c r="AA296" s="2"/>
      <c r="AB296" s="2"/>
    </row>
    <row r="297" spans="1:28" ht="14.25" customHeight="1">
      <c r="A297" s="24"/>
      <c r="B297" s="2"/>
      <c r="C297" s="2"/>
      <c r="D297" s="57"/>
      <c r="E297" s="57"/>
      <c r="F297" s="2"/>
      <c r="G297" s="2"/>
      <c r="H297" s="2"/>
      <c r="I297" s="2"/>
      <c r="J297" s="2"/>
      <c r="K297" s="57"/>
      <c r="L297" s="58"/>
      <c r="M297" s="2"/>
      <c r="N297" s="2"/>
      <c r="O297" s="2"/>
      <c r="P297" s="2"/>
      <c r="Q297" s="2"/>
      <c r="R297" s="2"/>
      <c r="S297" s="2"/>
      <c r="T297" s="2"/>
      <c r="U297" s="2"/>
      <c r="V297" s="2"/>
      <c r="W297" s="2"/>
      <c r="X297" s="2"/>
      <c r="Y297" s="2"/>
      <c r="Z297" s="2"/>
      <c r="AA297" s="2"/>
      <c r="AB297" s="2"/>
    </row>
    <row r="298" spans="1:28" ht="14.25" customHeight="1">
      <c r="A298" s="24"/>
      <c r="B298" s="2"/>
      <c r="C298" s="2"/>
      <c r="D298" s="57"/>
      <c r="E298" s="57"/>
      <c r="F298" s="2"/>
      <c r="G298" s="2"/>
      <c r="H298" s="2"/>
      <c r="I298" s="2"/>
      <c r="J298" s="2"/>
      <c r="K298" s="57"/>
      <c r="L298" s="58"/>
      <c r="M298" s="2"/>
      <c r="N298" s="2"/>
      <c r="O298" s="2"/>
      <c r="P298" s="2"/>
      <c r="Q298" s="2"/>
      <c r="R298" s="2"/>
      <c r="S298" s="2"/>
      <c r="T298" s="2"/>
      <c r="U298" s="2"/>
      <c r="V298" s="2"/>
      <c r="W298" s="2"/>
      <c r="X298" s="2"/>
      <c r="Y298" s="2"/>
      <c r="Z298" s="2"/>
      <c r="AA298" s="2"/>
      <c r="AB298" s="2"/>
    </row>
    <row r="299" spans="1:28" ht="14.25" customHeight="1">
      <c r="A299" s="24"/>
      <c r="B299" s="2"/>
      <c r="C299" s="2"/>
      <c r="D299" s="57"/>
      <c r="E299" s="57"/>
      <c r="F299" s="2"/>
      <c r="G299" s="2"/>
      <c r="H299" s="2"/>
      <c r="I299" s="2"/>
      <c r="J299" s="2"/>
      <c r="K299" s="57"/>
      <c r="L299" s="58"/>
      <c r="M299" s="2"/>
      <c r="N299" s="2"/>
      <c r="O299" s="2"/>
      <c r="P299" s="2"/>
      <c r="Q299" s="2"/>
      <c r="R299" s="2"/>
      <c r="S299" s="2"/>
      <c r="T299" s="2"/>
      <c r="U299" s="2"/>
      <c r="V299" s="2"/>
      <c r="W299" s="2"/>
      <c r="X299" s="2"/>
      <c r="Y299" s="2"/>
      <c r="Z299" s="2"/>
      <c r="AA299" s="2"/>
      <c r="AB299" s="2"/>
    </row>
    <row r="300" spans="1:28" ht="14.25" customHeight="1">
      <c r="A300" s="24"/>
      <c r="B300" s="2"/>
      <c r="C300" s="2"/>
      <c r="D300" s="57"/>
      <c r="E300" s="57"/>
      <c r="F300" s="2"/>
      <c r="G300" s="2"/>
      <c r="H300" s="2"/>
      <c r="I300" s="2"/>
      <c r="J300" s="2"/>
      <c r="K300" s="57"/>
      <c r="L300" s="58"/>
      <c r="M300" s="2"/>
      <c r="N300" s="2"/>
      <c r="O300" s="2"/>
      <c r="P300" s="2"/>
      <c r="Q300" s="2"/>
      <c r="R300" s="2"/>
      <c r="S300" s="2"/>
      <c r="T300" s="2"/>
      <c r="U300" s="2"/>
      <c r="V300" s="2"/>
      <c r="W300" s="2"/>
      <c r="X300" s="2"/>
      <c r="Y300" s="2"/>
      <c r="Z300" s="2"/>
      <c r="AA300" s="2"/>
      <c r="AB300" s="2"/>
    </row>
    <row r="301" spans="1:28" ht="14.25" customHeight="1">
      <c r="A301" s="24"/>
      <c r="B301" s="2"/>
      <c r="C301" s="2"/>
      <c r="D301" s="57"/>
      <c r="E301" s="57"/>
      <c r="F301" s="2"/>
      <c r="G301" s="2"/>
      <c r="H301" s="2"/>
      <c r="I301" s="2"/>
      <c r="J301" s="2"/>
      <c r="K301" s="57"/>
      <c r="L301" s="58"/>
      <c r="M301" s="2"/>
      <c r="N301" s="2"/>
      <c r="O301" s="2"/>
      <c r="P301" s="2"/>
      <c r="Q301" s="2"/>
      <c r="R301" s="2"/>
      <c r="S301" s="2"/>
      <c r="T301" s="2"/>
      <c r="U301" s="2"/>
      <c r="V301" s="2"/>
      <c r="W301" s="2"/>
      <c r="X301" s="2"/>
      <c r="Y301" s="2"/>
      <c r="Z301" s="2"/>
      <c r="AA301" s="2"/>
      <c r="AB301" s="2"/>
    </row>
    <row r="302" spans="1:28" ht="14.25" customHeight="1">
      <c r="A302" s="24"/>
      <c r="B302" s="2"/>
      <c r="C302" s="2"/>
      <c r="D302" s="57"/>
      <c r="E302" s="57"/>
      <c r="F302" s="2"/>
      <c r="G302" s="2"/>
      <c r="H302" s="2"/>
      <c r="I302" s="2"/>
      <c r="J302" s="2"/>
      <c r="K302" s="57"/>
      <c r="L302" s="58"/>
      <c r="M302" s="2"/>
      <c r="N302" s="2"/>
      <c r="O302" s="2"/>
      <c r="P302" s="2"/>
      <c r="Q302" s="2"/>
      <c r="R302" s="2"/>
      <c r="S302" s="2"/>
      <c r="T302" s="2"/>
      <c r="U302" s="2"/>
      <c r="V302" s="2"/>
      <c r="W302" s="2"/>
      <c r="X302" s="2"/>
      <c r="Y302" s="2"/>
      <c r="Z302" s="2"/>
      <c r="AA302" s="2"/>
      <c r="AB302" s="2"/>
    </row>
    <row r="303" spans="1:28" ht="14.25" customHeight="1">
      <c r="A303" s="24"/>
      <c r="B303" s="2"/>
      <c r="C303" s="2"/>
      <c r="D303" s="57"/>
      <c r="E303" s="57"/>
      <c r="F303" s="2"/>
      <c r="G303" s="2"/>
      <c r="H303" s="2"/>
      <c r="I303" s="2"/>
      <c r="J303" s="2"/>
      <c r="K303" s="57"/>
      <c r="L303" s="58"/>
      <c r="M303" s="2"/>
      <c r="N303" s="2"/>
      <c r="O303" s="2"/>
      <c r="P303" s="2"/>
      <c r="Q303" s="2"/>
      <c r="R303" s="2"/>
      <c r="S303" s="2"/>
      <c r="T303" s="2"/>
      <c r="U303" s="2"/>
      <c r="V303" s="2"/>
      <c r="W303" s="2"/>
      <c r="X303" s="2"/>
      <c r="Y303" s="2"/>
      <c r="Z303" s="2"/>
      <c r="AA303" s="2"/>
      <c r="AB303" s="2"/>
    </row>
    <row r="304" spans="1:28" ht="14.25" customHeight="1">
      <c r="A304" s="24"/>
      <c r="B304" s="2"/>
      <c r="C304" s="2"/>
      <c r="D304" s="57"/>
      <c r="E304" s="57"/>
      <c r="F304" s="2"/>
      <c r="G304" s="2"/>
      <c r="H304" s="2"/>
      <c r="I304" s="2"/>
      <c r="J304" s="2"/>
      <c r="K304" s="57"/>
      <c r="L304" s="58"/>
      <c r="M304" s="2"/>
      <c r="N304" s="2"/>
      <c r="O304" s="2"/>
      <c r="P304" s="2"/>
      <c r="Q304" s="2"/>
      <c r="R304" s="2"/>
      <c r="S304" s="2"/>
      <c r="T304" s="2"/>
      <c r="U304" s="2"/>
      <c r="V304" s="2"/>
      <c r="W304" s="2"/>
      <c r="X304" s="2"/>
      <c r="Y304" s="2"/>
      <c r="Z304" s="2"/>
      <c r="AA304" s="2"/>
      <c r="AB304" s="2"/>
    </row>
    <row r="305" spans="1:28" ht="14.25" customHeight="1">
      <c r="A305" s="24"/>
      <c r="B305" s="2"/>
      <c r="C305" s="2"/>
      <c r="D305" s="57"/>
      <c r="E305" s="57"/>
      <c r="F305" s="2"/>
      <c r="G305" s="2"/>
      <c r="H305" s="2"/>
      <c r="I305" s="2"/>
      <c r="J305" s="2"/>
      <c r="K305" s="57"/>
      <c r="L305" s="58"/>
      <c r="M305" s="2"/>
      <c r="N305" s="2"/>
      <c r="O305" s="2"/>
      <c r="P305" s="2"/>
      <c r="Q305" s="2"/>
      <c r="R305" s="2"/>
      <c r="S305" s="2"/>
      <c r="T305" s="2"/>
      <c r="U305" s="2"/>
      <c r="V305" s="2"/>
      <c r="W305" s="2"/>
      <c r="X305" s="2"/>
      <c r="Y305" s="2"/>
      <c r="Z305" s="2"/>
      <c r="AA305" s="2"/>
      <c r="AB305" s="2"/>
    </row>
    <row r="306" spans="1:28" ht="14.25" customHeight="1">
      <c r="A306" s="24"/>
      <c r="B306" s="2"/>
      <c r="C306" s="2"/>
      <c r="D306" s="57"/>
      <c r="E306" s="57"/>
      <c r="F306" s="2"/>
      <c r="G306" s="2"/>
      <c r="H306" s="2"/>
      <c r="I306" s="2"/>
      <c r="J306" s="2"/>
      <c r="K306" s="57"/>
      <c r="L306" s="58"/>
      <c r="M306" s="2"/>
      <c r="N306" s="2"/>
      <c r="O306" s="2"/>
      <c r="P306" s="2"/>
      <c r="Q306" s="2"/>
      <c r="R306" s="2"/>
      <c r="S306" s="2"/>
      <c r="T306" s="2"/>
      <c r="U306" s="2"/>
      <c r="V306" s="2"/>
      <c r="W306" s="2"/>
      <c r="X306" s="2"/>
      <c r="Y306" s="2"/>
      <c r="Z306" s="2"/>
      <c r="AA306" s="2"/>
      <c r="AB306" s="2"/>
    </row>
    <row r="307" spans="1:28" ht="14.25" customHeight="1">
      <c r="A307" s="24"/>
      <c r="B307" s="2"/>
      <c r="C307" s="2"/>
      <c r="D307" s="57"/>
      <c r="E307" s="57"/>
      <c r="F307" s="2"/>
      <c r="G307" s="2"/>
      <c r="H307" s="2"/>
      <c r="I307" s="2"/>
      <c r="J307" s="2"/>
      <c r="K307" s="57"/>
      <c r="L307" s="58"/>
      <c r="M307" s="2"/>
      <c r="N307" s="2"/>
      <c r="O307" s="2"/>
      <c r="P307" s="2"/>
      <c r="Q307" s="2"/>
      <c r="R307" s="2"/>
      <c r="S307" s="2"/>
      <c r="T307" s="2"/>
      <c r="U307" s="2"/>
      <c r="V307" s="2"/>
      <c r="W307" s="2"/>
      <c r="X307" s="2"/>
      <c r="Y307" s="2"/>
      <c r="Z307" s="2"/>
      <c r="AA307" s="2"/>
      <c r="AB307" s="2"/>
    </row>
    <row r="308" spans="1:28" ht="14.25" customHeight="1">
      <c r="A308" s="24"/>
      <c r="B308" s="2"/>
      <c r="C308" s="2"/>
      <c r="D308" s="57"/>
      <c r="E308" s="57"/>
      <c r="F308" s="2"/>
      <c r="G308" s="2"/>
      <c r="H308" s="2"/>
      <c r="I308" s="2"/>
      <c r="J308" s="2"/>
      <c r="K308" s="57"/>
      <c r="L308" s="58"/>
      <c r="M308" s="2"/>
      <c r="N308" s="2"/>
      <c r="O308" s="2"/>
      <c r="P308" s="2"/>
      <c r="Q308" s="2"/>
      <c r="R308" s="2"/>
      <c r="S308" s="2"/>
      <c r="T308" s="2"/>
      <c r="U308" s="2"/>
      <c r="V308" s="2"/>
      <c r="W308" s="2"/>
      <c r="X308" s="2"/>
      <c r="Y308" s="2"/>
      <c r="Z308" s="2"/>
      <c r="AA308" s="2"/>
      <c r="AB308" s="2"/>
    </row>
    <row r="309" spans="1:28" ht="14.25" customHeight="1">
      <c r="A309" s="24"/>
      <c r="B309" s="2"/>
      <c r="C309" s="2"/>
      <c r="D309" s="57"/>
      <c r="E309" s="57"/>
      <c r="F309" s="2"/>
      <c r="G309" s="2"/>
      <c r="H309" s="2"/>
      <c r="I309" s="2"/>
      <c r="J309" s="2"/>
      <c r="K309" s="57"/>
      <c r="L309" s="58"/>
      <c r="M309" s="2"/>
      <c r="N309" s="2"/>
      <c r="O309" s="2"/>
      <c r="P309" s="2"/>
      <c r="Q309" s="2"/>
      <c r="R309" s="2"/>
      <c r="S309" s="2"/>
      <c r="T309" s="2"/>
      <c r="U309" s="2"/>
      <c r="V309" s="2"/>
      <c r="W309" s="2"/>
      <c r="X309" s="2"/>
      <c r="Y309" s="2"/>
      <c r="Z309" s="2"/>
      <c r="AA309" s="2"/>
      <c r="AB309" s="2"/>
    </row>
    <row r="310" spans="1:28" ht="14.25" customHeight="1">
      <c r="A310" s="24"/>
      <c r="B310" s="2"/>
      <c r="C310" s="2"/>
      <c r="D310" s="57"/>
      <c r="E310" s="57"/>
      <c r="F310" s="2"/>
      <c r="G310" s="2"/>
      <c r="H310" s="2"/>
      <c r="I310" s="2"/>
      <c r="J310" s="2"/>
      <c r="K310" s="57"/>
      <c r="L310" s="58"/>
      <c r="M310" s="2"/>
      <c r="N310" s="2"/>
      <c r="O310" s="2"/>
      <c r="P310" s="2"/>
      <c r="Q310" s="2"/>
      <c r="R310" s="2"/>
      <c r="S310" s="2"/>
      <c r="T310" s="2"/>
      <c r="U310" s="2"/>
      <c r="V310" s="2"/>
      <c r="W310" s="2"/>
      <c r="X310" s="2"/>
      <c r="Y310" s="2"/>
      <c r="Z310" s="2"/>
      <c r="AA310" s="2"/>
      <c r="AB310" s="2"/>
    </row>
    <row r="311" spans="1:28" ht="14.25" customHeight="1">
      <c r="A311" s="24"/>
      <c r="B311" s="2"/>
      <c r="C311" s="2"/>
      <c r="D311" s="57"/>
      <c r="E311" s="57"/>
      <c r="F311" s="2"/>
      <c r="G311" s="2"/>
      <c r="H311" s="2"/>
      <c r="I311" s="2"/>
      <c r="J311" s="2"/>
      <c r="K311" s="57"/>
      <c r="L311" s="58"/>
      <c r="M311" s="2"/>
      <c r="N311" s="2"/>
      <c r="O311" s="2"/>
      <c r="P311" s="2"/>
      <c r="Q311" s="2"/>
      <c r="R311" s="2"/>
      <c r="S311" s="2"/>
      <c r="T311" s="2"/>
      <c r="U311" s="2"/>
      <c r="V311" s="2"/>
      <c r="W311" s="2"/>
      <c r="X311" s="2"/>
      <c r="Y311" s="2"/>
      <c r="Z311" s="2"/>
      <c r="AA311" s="2"/>
      <c r="AB311" s="2"/>
    </row>
    <row r="312" spans="1:28" ht="14.25" customHeight="1">
      <c r="A312" s="24"/>
      <c r="B312" s="2"/>
      <c r="C312" s="2"/>
      <c r="D312" s="57"/>
      <c r="E312" s="57"/>
      <c r="F312" s="2"/>
      <c r="G312" s="2"/>
      <c r="H312" s="2"/>
      <c r="I312" s="2"/>
      <c r="J312" s="2"/>
      <c r="K312" s="57"/>
      <c r="L312" s="58"/>
      <c r="M312" s="2"/>
      <c r="N312" s="2"/>
      <c r="O312" s="2"/>
      <c r="P312" s="2"/>
      <c r="Q312" s="2"/>
      <c r="R312" s="2"/>
      <c r="S312" s="2"/>
      <c r="T312" s="2"/>
      <c r="U312" s="2"/>
      <c r="V312" s="2"/>
      <c r="W312" s="2"/>
      <c r="X312" s="2"/>
      <c r="Y312" s="2"/>
      <c r="Z312" s="2"/>
      <c r="AA312" s="2"/>
      <c r="AB312" s="2"/>
    </row>
    <row r="313" spans="1:28" ht="14.25" customHeight="1">
      <c r="A313" s="24"/>
      <c r="B313" s="2"/>
      <c r="C313" s="2"/>
      <c r="D313" s="57"/>
      <c r="E313" s="57"/>
      <c r="F313" s="2"/>
      <c r="G313" s="2"/>
      <c r="H313" s="2"/>
      <c r="I313" s="2"/>
      <c r="J313" s="2"/>
      <c r="K313" s="57"/>
      <c r="L313" s="58"/>
      <c r="M313" s="2"/>
      <c r="N313" s="2"/>
      <c r="O313" s="2"/>
      <c r="P313" s="2"/>
      <c r="Q313" s="2"/>
      <c r="R313" s="2"/>
      <c r="S313" s="2"/>
      <c r="T313" s="2"/>
      <c r="U313" s="2"/>
      <c r="V313" s="2"/>
      <c r="W313" s="2"/>
      <c r="X313" s="2"/>
      <c r="Y313" s="2"/>
      <c r="Z313" s="2"/>
      <c r="AA313" s="2"/>
      <c r="AB313" s="2"/>
    </row>
    <row r="314" spans="1:28" ht="14.25" customHeight="1">
      <c r="A314" s="24"/>
      <c r="B314" s="2"/>
      <c r="C314" s="2"/>
      <c r="D314" s="57"/>
      <c r="E314" s="57"/>
      <c r="F314" s="2"/>
      <c r="G314" s="2"/>
      <c r="H314" s="2"/>
      <c r="I314" s="2"/>
      <c r="J314" s="2"/>
      <c r="K314" s="57"/>
      <c r="L314" s="58"/>
      <c r="M314" s="2"/>
      <c r="N314" s="2"/>
      <c r="O314" s="2"/>
      <c r="P314" s="2"/>
      <c r="Q314" s="2"/>
      <c r="R314" s="2"/>
      <c r="S314" s="2"/>
      <c r="T314" s="2"/>
      <c r="U314" s="2"/>
      <c r="V314" s="2"/>
      <c r="W314" s="2"/>
      <c r="X314" s="2"/>
      <c r="Y314" s="2"/>
      <c r="Z314" s="2"/>
      <c r="AA314" s="2"/>
      <c r="AB314" s="2"/>
    </row>
    <row r="315" spans="1:28" ht="14.25" customHeight="1">
      <c r="A315" s="24"/>
      <c r="B315" s="2"/>
      <c r="C315" s="2"/>
      <c r="D315" s="57"/>
      <c r="E315" s="57"/>
      <c r="F315" s="2"/>
      <c r="G315" s="2"/>
      <c r="H315" s="2"/>
      <c r="I315" s="2"/>
      <c r="J315" s="2"/>
      <c r="K315" s="57"/>
      <c r="L315" s="58"/>
      <c r="M315" s="2"/>
      <c r="N315" s="2"/>
      <c r="O315" s="2"/>
      <c r="P315" s="2"/>
      <c r="Q315" s="2"/>
      <c r="R315" s="2"/>
      <c r="S315" s="2"/>
      <c r="T315" s="2"/>
      <c r="U315" s="2"/>
      <c r="V315" s="2"/>
      <c r="W315" s="2"/>
      <c r="X315" s="2"/>
      <c r="Y315" s="2"/>
      <c r="Z315" s="2"/>
      <c r="AA315" s="2"/>
      <c r="AB315" s="2"/>
    </row>
    <row r="316" spans="1:28" ht="14.25" customHeight="1">
      <c r="A316" s="24"/>
      <c r="B316" s="2"/>
      <c r="C316" s="2"/>
      <c r="D316" s="57"/>
      <c r="E316" s="57"/>
      <c r="F316" s="2"/>
      <c r="G316" s="2"/>
      <c r="H316" s="2"/>
      <c r="I316" s="2"/>
      <c r="J316" s="2"/>
      <c r="K316" s="57"/>
      <c r="L316" s="58"/>
      <c r="M316" s="2"/>
      <c r="N316" s="2"/>
      <c r="O316" s="2"/>
      <c r="P316" s="2"/>
      <c r="Q316" s="2"/>
      <c r="R316" s="2"/>
      <c r="S316" s="2"/>
      <c r="T316" s="2"/>
      <c r="U316" s="2"/>
      <c r="V316" s="2"/>
      <c r="W316" s="2"/>
      <c r="X316" s="2"/>
      <c r="Y316" s="2"/>
      <c r="Z316" s="2"/>
      <c r="AA316" s="2"/>
      <c r="AB316" s="2"/>
    </row>
    <row r="317" spans="1:28" ht="14.25" customHeight="1">
      <c r="A317" s="24"/>
      <c r="B317" s="2"/>
      <c r="C317" s="2"/>
      <c r="D317" s="57"/>
      <c r="E317" s="57"/>
      <c r="F317" s="2"/>
      <c r="G317" s="2"/>
      <c r="H317" s="2"/>
      <c r="I317" s="2"/>
      <c r="J317" s="2"/>
      <c r="K317" s="57"/>
      <c r="L317" s="58"/>
      <c r="M317" s="2"/>
      <c r="N317" s="2"/>
      <c r="O317" s="2"/>
      <c r="P317" s="2"/>
      <c r="Q317" s="2"/>
      <c r="R317" s="2"/>
      <c r="S317" s="2"/>
      <c r="T317" s="2"/>
      <c r="U317" s="2"/>
      <c r="V317" s="2"/>
      <c r="W317" s="2"/>
      <c r="X317" s="2"/>
      <c r="Y317" s="2"/>
      <c r="Z317" s="2"/>
      <c r="AA317" s="2"/>
      <c r="AB317" s="2"/>
    </row>
    <row r="318" spans="1:28" ht="14.25" customHeight="1">
      <c r="A318" s="24"/>
      <c r="B318" s="2"/>
      <c r="C318" s="2"/>
      <c r="D318" s="57"/>
      <c r="E318" s="57"/>
      <c r="F318" s="2"/>
      <c r="G318" s="2"/>
      <c r="H318" s="2"/>
      <c r="I318" s="2"/>
      <c r="J318" s="2"/>
      <c r="K318" s="57"/>
      <c r="L318" s="58"/>
      <c r="M318" s="2"/>
      <c r="N318" s="2"/>
      <c r="O318" s="2"/>
      <c r="P318" s="2"/>
      <c r="Q318" s="2"/>
      <c r="R318" s="2"/>
      <c r="S318" s="2"/>
      <c r="T318" s="2"/>
      <c r="U318" s="2"/>
      <c r="V318" s="2"/>
      <c r="W318" s="2"/>
      <c r="X318" s="2"/>
      <c r="Y318" s="2"/>
      <c r="Z318" s="2"/>
      <c r="AA318" s="2"/>
      <c r="AB318" s="2"/>
    </row>
    <row r="319" spans="1:28" ht="14.25" customHeight="1">
      <c r="A319" s="24"/>
      <c r="B319" s="2"/>
      <c r="C319" s="2"/>
      <c r="D319" s="57"/>
      <c r="E319" s="57"/>
      <c r="F319" s="2"/>
      <c r="G319" s="2"/>
      <c r="H319" s="2"/>
      <c r="I319" s="2"/>
      <c r="J319" s="2"/>
      <c r="K319" s="57"/>
      <c r="L319" s="58"/>
      <c r="M319" s="2"/>
      <c r="N319" s="2"/>
      <c r="O319" s="2"/>
      <c r="P319" s="2"/>
      <c r="Q319" s="2"/>
      <c r="R319" s="2"/>
      <c r="S319" s="2"/>
      <c r="T319" s="2"/>
      <c r="U319" s="2"/>
      <c r="V319" s="2"/>
      <c r="W319" s="2"/>
      <c r="X319" s="2"/>
      <c r="Y319" s="2"/>
      <c r="Z319" s="2"/>
      <c r="AA319" s="2"/>
      <c r="AB319" s="2"/>
    </row>
    <row r="320" spans="1:28" ht="14.25" customHeight="1">
      <c r="A320" s="24"/>
      <c r="B320" s="2"/>
      <c r="C320" s="2"/>
      <c r="D320" s="57"/>
      <c r="E320" s="57"/>
      <c r="F320" s="2"/>
      <c r="G320" s="2"/>
      <c r="H320" s="2"/>
      <c r="I320" s="2"/>
      <c r="J320" s="2"/>
      <c r="K320" s="57"/>
      <c r="L320" s="58"/>
      <c r="M320" s="2"/>
      <c r="N320" s="2"/>
      <c r="O320" s="2"/>
      <c r="P320" s="2"/>
      <c r="Q320" s="2"/>
      <c r="R320" s="2"/>
      <c r="S320" s="2"/>
      <c r="T320" s="2"/>
      <c r="U320" s="2"/>
      <c r="V320" s="2"/>
      <c r="W320" s="2"/>
      <c r="X320" s="2"/>
      <c r="Y320" s="2"/>
      <c r="Z320" s="2"/>
      <c r="AA320" s="2"/>
      <c r="AB320" s="2"/>
    </row>
    <row r="321" spans="1:28" ht="14.25" customHeight="1">
      <c r="A321" s="24"/>
      <c r="B321" s="2"/>
      <c r="C321" s="2"/>
      <c r="D321" s="57"/>
      <c r="E321" s="57"/>
      <c r="F321" s="2"/>
      <c r="G321" s="2"/>
      <c r="H321" s="2"/>
      <c r="I321" s="2"/>
      <c r="J321" s="2"/>
      <c r="K321" s="57"/>
      <c r="L321" s="58"/>
      <c r="M321" s="2"/>
      <c r="N321" s="2"/>
      <c r="O321" s="2"/>
      <c r="P321" s="2"/>
      <c r="Q321" s="2"/>
      <c r="R321" s="2"/>
      <c r="S321" s="2"/>
      <c r="T321" s="2"/>
      <c r="U321" s="2"/>
      <c r="V321" s="2"/>
      <c r="W321" s="2"/>
      <c r="X321" s="2"/>
      <c r="Y321" s="2"/>
      <c r="Z321" s="2"/>
      <c r="AA321" s="2"/>
      <c r="AB321" s="2"/>
    </row>
    <row r="322" spans="1:28" ht="14.25" customHeight="1">
      <c r="A322" s="24"/>
      <c r="B322" s="2"/>
      <c r="C322" s="2"/>
      <c r="D322" s="57"/>
      <c r="E322" s="57"/>
      <c r="F322" s="2"/>
      <c r="G322" s="2"/>
      <c r="H322" s="2"/>
      <c r="I322" s="2"/>
      <c r="J322" s="2"/>
      <c r="K322" s="57"/>
      <c r="L322" s="58"/>
      <c r="M322" s="2"/>
      <c r="N322" s="2"/>
      <c r="O322" s="2"/>
      <c r="P322" s="2"/>
      <c r="Q322" s="2"/>
      <c r="R322" s="2"/>
      <c r="S322" s="2"/>
      <c r="T322" s="2"/>
      <c r="U322" s="2"/>
      <c r="V322" s="2"/>
      <c r="W322" s="2"/>
      <c r="X322" s="2"/>
      <c r="Y322" s="2"/>
      <c r="Z322" s="2"/>
      <c r="AA322" s="2"/>
      <c r="AB322" s="2"/>
    </row>
    <row r="323" spans="1:28" ht="14.25" customHeight="1">
      <c r="A323" s="24"/>
      <c r="B323" s="2"/>
      <c r="C323" s="2"/>
      <c r="D323" s="57"/>
      <c r="E323" s="57"/>
      <c r="F323" s="2"/>
      <c r="G323" s="2"/>
      <c r="H323" s="2"/>
      <c r="I323" s="2"/>
      <c r="J323" s="2"/>
      <c r="K323" s="57"/>
      <c r="L323" s="58"/>
      <c r="M323" s="2"/>
      <c r="N323" s="2"/>
      <c r="O323" s="2"/>
      <c r="P323" s="2"/>
      <c r="Q323" s="2"/>
      <c r="R323" s="2"/>
      <c r="S323" s="2"/>
      <c r="T323" s="2"/>
      <c r="U323" s="2"/>
      <c r="V323" s="2"/>
      <c r="W323" s="2"/>
      <c r="X323" s="2"/>
      <c r="Y323" s="2"/>
      <c r="Z323" s="2"/>
      <c r="AA323" s="2"/>
      <c r="AB323" s="2"/>
    </row>
    <row r="324" spans="1:28" ht="14.25" customHeight="1">
      <c r="A324" s="24"/>
      <c r="B324" s="2"/>
      <c r="C324" s="2"/>
      <c r="D324" s="57"/>
      <c r="E324" s="57"/>
      <c r="F324" s="2"/>
      <c r="G324" s="2"/>
      <c r="H324" s="2"/>
      <c r="I324" s="2"/>
      <c r="J324" s="2"/>
      <c r="K324" s="57"/>
      <c r="L324" s="58"/>
      <c r="M324" s="2"/>
      <c r="N324" s="2"/>
      <c r="O324" s="2"/>
      <c r="P324" s="2"/>
      <c r="Q324" s="2"/>
      <c r="R324" s="2"/>
      <c r="S324" s="2"/>
      <c r="T324" s="2"/>
      <c r="U324" s="2"/>
      <c r="V324" s="2"/>
      <c r="W324" s="2"/>
      <c r="X324" s="2"/>
      <c r="Y324" s="2"/>
      <c r="Z324" s="2"/>
      <c r="AA324" s="2"/>
      <c r="AB324" s="2"/>
    </row>
    <row r="325" spans="1:28" ht="14.25" customHeight="1">
      <c r="A325" s="24"/>
      <c r="B325" s="2"/>
      <c r="C325" s="2"/>
      <c r="D325" s="57"/>
      <c r="E325" s="57"/>
      <c r="F325" s="2"/>
      <c r="G325" s="2"/>
      <c r="H325" s="2"/>
      <c r="I325" s="2"/>
      <c r="J325" s="2"/>
      <c r="K325" s="57"/>
      <c r="L325" s="58"/>
      <c r="M325" s="2"/>
      <c r="N325" s="2"/>
      <c r="O325" s="2"/>
      <c r="P325" s="2"/>
      <c r="Q325" s="2"/>
      <c r="R325" s="2"/>
      <c r="S325" s="2"/>
      <c r="T325" s="2"/>
      <c r="U325" s="2"/>
      <c r="V325" s="2"/>
      <c r="W325" s="2"/>
      <c r="X325" s="2"/>
      <c r="Y325" s="2"/>
      <c r="Z325" s="2"/>
      <c r="AA325" s="2"/>
      <c r="AB325" s="2"/>
    </row>
    <row r="326" spans="1:28" ht="14.25" customHeight="1">
      <c r="A326" s="24"/>
      <c r="B326" s="2"/>
      <c r="C326" s="2"/>
      <c r="D326" s="57"/>
      <c r="E326" s="57"/>
      <c r="F326" s="2"/>
      <c r="G326" s="2"/>
      <c r="H326" s="2"/>
      <c r="I326" s="2"/>
      <c r="J326" s="2"/>
      <c r="K326" s="57"/>
      <c r="L326" s="58"/>
      <c r="M326" s="2"/>
      <c r="N326" s="2"/>
      <c r="O326" s="2"/>
      <c r="P326" s="2"/>
      <c r="Q326" s="2"/>
      <c r="R326" s="2"/>
      <c r="S326" s="2"/>
      <c r="T326" s="2"/>
      <c r="U326" s="2"/>
      <c r="V326" s="2"/>
      <c r="W326" s="2"/>
      <c r="X326" s="2"/>
      <c r="Y326" s="2"/>
      <c r="Z326" s="2"/>
      <c r="AA326" s="2"/>
      <c r="AB326" s="2"/>
    </row>
    <row r="327" spans="1:28" ht="14.25" customHeight="1">
      <c r="A327" s="24"/>
      <c r="B327" s="2"/>
      <c r="C327" s="2"/>
      <c r="D327" s="57"/>
      <c r="E327" s="57"/>
      <c r="F327" s="2"/>
      <c r="G327" s="2"/>
      <c r="H327" s="2"/>
      <c r="I327" s="2"/>
      <c r="J327" s="2"/>
      <c r="K327" s="57"/>
      <c r="L327" s="58"/>
      <c r="M327" s="2"/>
      <c r="N327" s="2"/>
      <c r="O327" s="2"/>
      <c r="P327" s="2"/>
      <c r="Q327" s="2"/>
      <c r="R327" s="2"/>
      <c r="S327" s="2"/>
      <c r="T327" s="2"/>
      <c r="U327" s="2"/>
      <c r="V327" s="2"/>
      <c r="W327" s="2"/>
      <c r="X327" s="2"/>
      <c r="Y327" s="2"/>
      <c r="Z327" s="2"/>
      <c r="AA327" s="2"/>
      <c r="AB327" s="2"/>
    </row>
    <row r="328" spans="1:28" ht="14.25" customHeight="1">
      <c r="A328" s="24"/>
      <c r="B328" s="2"/>
      <c r="C328" s="2"/>
      <c r="D328" s="57"/>
      <c r="E328" s="57"/>
      <c r="F328" s="2"/>
      <c r="G328" s="2"/>
      <c r="H328" s="2"/>
      <c r="I328" s="2"/>
      <c r="J328" s="2"/>
      <c r="K328" s="57"/>
      <c r="L328" s="58"/>
      <c r="M328" s="2"/>
      <c r="N328" s="2"/>
      <c r="O328" s="2"/>
      <c r="P328" s="2"/>
      <c r="Q328" s="2"/>
      <c r="R328" s="2"/>
      <c r="S328" s="2"/>
      <c r="T328" s="2"/>
      <c r="U328" s="2"/>
      <c r="V328" s="2"/>
      <c r="W328" s="2"/>
      <c r="X328" s="2"/>
      <c r="Y328" s="2"/>
      <c r="Z328" s="2"/>
      <c r="AA328" s="2"/>
      <c r="AB328" s="2"/>
    </row>
    <row r="329" spans="1:28" ht="14.25" customHeight="1">
      <c r="A329" s="24"/>
      <c r="B329" s="2"/>
      <c r="C329" s="2"/>
      <c r="D329" s="57"/>
      <c r="E329" s="57"/>
      <c r="F329" s="2"/>
      <c r="G329" s="2"/>
      <c r="H329" s="2"/>
      <c r="I329" s="2"/>
      <c r="J329" s="2"/>
      <c r="K329" s="57"/>
      <c r="L329" s="58"/>
      <c r="M329" s="2"/>
      <c r="N329" s="2"/>
      <c r="O329" s="2"/>
      <c r="P329" s="2"/>
      <c r="Q329" s="2"/>
      <c r="R329" s="2"/>
      <c r="S329" s="2"/>
      <c r="T329" s="2"/>
      <c r="U329" s="2"/>
      <c r="V329" s="2"/>
      <c r="W329" s="2"/>
      <c r="X329" s="2"/>
      <c r="Y329" s="2"/>
      <c r="Z329" s="2"/>
      <c r="AA329" s="2"/>
      <c r="AB329" s="2"/>
    </row>
    <row r="330" spans="1:28" ht="14.25" customHeight="1">
      <c r="A330" s="24"/>
      <c r="B330" s="2"/>
      <c r="C330" s="2"/>
      <c r="D330" s="57"/>
      <c r="E330" s="57"/>
      <c r="F330" s="2"/>
      <c r="G330" s="2"/>
      <c r="H330" s="2"/>
      <c r="I330" s="2"/>
      <c r="J330" s="2"/>
      <c r="K330" s="57"/>
      <c r="L330" s="58"/>
      <c r="M330" s="2"/>
      <c r="N330" s="2"/>
      <c r="O330" s="2"/>
      <c r="P330" s="2"/>
      <c r="Q330" s="2"/>
      <c r="R330" s="2"/>
      <c r="S330" s="2"/>
      <c r="T330" s="2"/>
      <c r="U330" s="2"/>
      <c r="V330" s="2"/>
      <c r="W330" s="2"/>
      <c r="X330" s="2"/>
      <c r="Y330" s="2"/>
      <c r="Z330" s="2"/>
      <c r="AA330" s="2"/>
      <c r="AB330" s="2"/>
    </row>
    <row r="331" spans="1:28" ht="14.25" customHeight="1">
      <c r="A331" s="24"/>
      <c r="B331" s="2"/>
      <c r="C331" s="2"/>
      <c r="D331" s="57"/>
      <c r="E331" s="57"/>
      <c r="F331" s="2"/>
      <c r="G331" s="2"/>
      <c r="H331" s="2"/>
      <c r="I331" s="2"/>
      <c r="J331" s="2"/>
      <c r="K331" s="57"/>
      <c r="L331" s="58"/>
      <c r="M331" s="2"/>
      <c r="N331" s="2"/>
      <c r="O331" s="2"/>
      <c r="P331" s="2"/>
      <c r="Q331" s="2"/>
      <c r="R331" s="2"/>
      <c r="S331" s="2"/>
      <c r="T331" s="2"/>
      <c r="U331" s="2"/>
      <c r="V331" s="2"/>
      <c r="W331" s="2"/>
      <c r="X331" s="2"/>
      <c r="Y331" s="2"/>
      <c r="Z331" s="2"/>
      <c r="AA331" s="2"/>
      <c r="AB331" s="2"/>
    </row>
    <row r="332" spans="1:28" ht="14.25" customHeight="1">
      <c r="A332" s="24"/>
      <c r="B332" s="2"/>
      <c r="C332" s="2"/>
      <c r="D332" s="57"/>
      <c r="E332" s="57"/>
      <c r="F332" s="2"/>
      <c r="G332" s="2"/>
      <c r="H332" s="2"/>
      <c r="I332" s="2"/>
      <c r="J332" s="2"/>
      <c r="K332" s="57"/>
      <c r="L332" s="58"/>
      <c r="M332" s="2"/>
      <c r="N332" s="2"/>
      <c r="O332" s="2"/>
      <c r="P332" s="2"/>
      <c r="Q332" s="2"/>
      <c r="R332" s="2"/>
      <c r="S332" s="2"/>
      <c r="T332" s="2"/>
      <c r="U332" s="2"/>
      <c r="V332" s="2"/>
      <c r="W332" s="2"/>
      <c r="X332" s="2"/>
      <c r="Y332" s="2"/>
      <c r="Z332" s="2"/>
      <c r="AA332" s="2"/>
      <c r="AB332" s="2"/>
    </row>
    <row r="333" spans="1:28" ht="14.25" customHeight="1">
      <c r="A333" s="24"/>
      <c r="B333" s="2"/>
      <c r="C333" s="2"/>
      <c r="D333" s="57"/>
      <c r="E333" s="57"/>
      <c r="F333" s="2"/>
      <c r="G333" s="2"/>
      <c r="H333" s="2"/>
      <c r="I333" s="2"/>
      <c r="J333" s="2"/>
      <c r="K333" s="57"/>
      <c r="L333" s="58"/>
      <c r="M333" s="2"/>
      <c r="N333" s="2"/>
      <c r="O333" s="2"/>
      <c r="P333" s="2"/>
      <c r="Q333" s="2"/>
      <c r="R333" s="2"/>
      <c r="S333" s="2"/>
      <c r="T333" s="2"/>
      <c r="U333" s="2"/>
      <c r="V333" s="2"/>
      <c r="W333" s="2"/>
      <c r="X333" s="2"/>
      <c r="Y333" s="2"/>
      <c r="Z333" s="2"/>
      <c r="AA333" s="2"/>
      <c r="AB333" s="2"/>
    </row>
    <row r="334" spans="1:28" ht="14.25" customHeight="1">
      <c r="A334" s="24"/>
      <c r="B334" s="2"/>
      <c r="C334" s="2"/>
      <c r="D334" s="57"/>
      <c r="E334" s="57"/>
      <c r="F334" s="2"/>
      <c r="G334" s="2"/>
      <c r="H334" s="2"/>
      <c r="I334" s="2"/>
      <c r="J334" s="2"/>
      <c r="K334" s="57"/>
      <c r="L334" s="58"/>
      <c r="M334" s="2"/>
      <c r="N334" s="2"/>
      <c r="O334" s="2"/>
      <c r="P334" s="2"/>
      <c r="Q334" s="2"/>
      <c r="R334" s="2"/>
      <c r="S334" s="2"/>
      <c r="T334" s="2"/>
      <c r="U334" s="2"/>
      <c r="V334" s="2"/>
      <c r="W334" s="2"/>
      <c r="X334" s="2"/>
      <c r="Y334" s="2"/>
      <c r="Z334" s="2"/>
      <c r="AA334" s="2"/>
      <c r="AB334" s="2"/>
    </row>
    <row r="335" spans="1:28" ht="14.25" customHeight="1">
      <c r="A335" s="24"/>
      <c r="B335" s="2"/>
      <c r="C335" s="2"/>
      <c r="D335" s="57"/>
      <c r="E335" s="57"/>
      <c r="F335" s="2"/>
      <c r="G335" s="2"/>
      <c r="H335" s="2"/>
      <c r="I335" s="2"/>
      <c r="J335" s="2"/>
      <c r="K335" s="57"/>
      <c r="L335" s="58"/>
      <c r="M335" s="2"/>
      <c r="N335" s="2"/>
      <c r="O335" s="2"/>
      <c r="P335" s="2"/>
      <c r="Q335" s="2"/>
      <c r="R335" s="2"/>
      <c r="S335" s="2"/>
      <c r="T335" s="2"/>
      <c r="U335" s="2"/>
      <c r="V335" s="2"/>
      <c r="W335" s="2"/>
      <c r="X335" s="2"/>
      <c r="Y335" s="2"/>
      <c r="Z335" s="2"/>
      <c r="AA335" s="2"/>
      <c r="AB335" s="2"/>
    </row>
    <row r="336" spans="1:28" ht="14.25" customHeight="1">
      <c r="A336" s="24"/>
      <c r="B336" s="2"/>
      <c r="C336" s="2"/>
      <c r="D336" s="57"/>
      <c r="E336" s="57"/>
      <c r="F336" s="2"/>
      <c r="G336" s="2"/>
      <c r="H336" s="2"/>
      <c r="I336" s="2"/>
      <c r="J336" s="2"/>
      <c r="K336" s="57"/>
      <c r="L336" s="58"/>
      <c r="M336" s="2"/>
      <c r="N336" s="2"/>
      <c r="O336" s="2"/>
      <c r="P336" s="2"/>
      <c r="Q336" s="2"/>
      <c r="R336" s="2"/>
      <c r="S336" s="2"/>
      <c r="T336" s="2"/>
      <c r="U336" s="2"/>
      <c r="V336" s="2"/>
      <c r="W336" s="2"/>
      <c r="X336" s="2"/>
      <c r="Y336" s="2"/>
      <c r="Z336" s="2"/>
      <c r="AA336" s="2"/>
      <c r="AB336" s="2"/>
    </row>
    <row r="337" spans="1:28" ht="14.25" customHeight="1">
      <c r="A337" s="24"/>
      <c r="B337" s="2"/>
      <c r="C337" s="2"/>
      <c r="D337" s="57"/>
      <c r="E337" s="57"/>
      <c r="F337" s="2"/>
      <c r="G337" s="2"/>
      <c r="H337" s="2"/>
      <c r="I337" s="2"/>
      <c r="J337" s="2"/>
      <c r="K337" s="57"/>
      <c r="L337" s="58"/>
      <c r="M337" s="2"/>
      <c r="N337" s="2"/>
      <c r="O337" s="2"/>
      <c r="P337" s="2"/>
      <c r="Q337" s="2"/>
      <c r="R337" s="2"/>
      <c r="S337" s="2"/>
      <c r="T337" s="2"/>
      <c r="U337" s="2"/>
      <c r="V337" s="2"/>
      <c r="W337" s="2"/>
      <c r="X337" s="2"/>
      <c r="Y337" s="2"/>
      <c r="Z337" s="2"/>
      <c r="AA337" s="2"/>
      <c r="AB337" s="2"/>
    </row>
    <row r="338" spans="1:28" ht="14.25" customHeight="1">
      <c r="A338" s="24"/>
      <c r="B338" s="2"/>
      <c r="C338" s="2"/>
      <c r="D338" s="57"/>
      <c r="E338" s="57"/>
      <c r="F338" s="2"/>
      <c r="G338" s="2"/>
      <c r="H338" s="2"/>
      <c r="I338" s="2"/>
      <c r="J338" s="2"/>
      <c r="K338" s="57"/>
      <c r="L338" s="58"/>
      <c r="M338" s="2"/>
      <c r="N338" s="2"/>
      <c r="O338" s="2"/>
      <c r="P338" s="2"/>
      <c r="Q338" s="2"/>
      <c r="R338" s="2"/>
      <c r="S338" s="2"/>
      <c r="T338" s="2"/>
      <c r="U338" s="2"/>
      <c r="V338" s="2"/>
      <c r="W338" s="2"/>
      <c r="X338" s="2"/>
      <c r="Y338" s="2"/>
      <c r="Z338" s="2"/>
      <c r="AA338" s="2"/>
      <c r="AB338" s="2"/>
    </row>
    <row r="339" spans="1:28" ht="14.25" customHeight="1">
      <c r="A339" s="24"/>
      <c r="B339" s="2"/>
      <c r="C339" s="2"/>
      <c r="D339" s="57"/>
      <c r="E339" s="57"/>
      <c r="F339" s="2"/>
      <c r="G339" s="2"/>
      <c r="H339" s="2"/>
      <c r="I339" s="2"/>
      <c r="J339" s="2"/>
      <c r="K339" s="57"/>
      <c r="L339" s="58"/>
      <c r="M339" s="2"/>
      <c r="N339" s="2"/>
      <c r="O339" s="2"/>
      <c r="P339" s="2"/>
      <c r="Q339" s="2"/>
      <c r="R339" s="2"/>
      <c r="S339" s="2"/>
      <c r="T339" s="2"/>
      <c r="U339" s="2"/>
      <c r="V339" s="2"/>
      <c r="W339" s="2"/>
      <c r="X339" s="2"/>
      <c r="Y339" s="2"/>
      <c r="Z339" s="2"/>
      <c r="AA339" s="2"/>
      <c r="AB339" s="2"/>
    </row>
    <row r="340" spans="1:28" ht="14.25" customHeight="1">
      <c r="A340" s="24"/>
      <c r="B340" s="2"/>
      <c r="C340" s="2"/>
      <c r="D340" s="57"/>
      <c r="E340" s="57"/>
      <c r="F340" s="2"/>
      <c r="G340" s="2"/>
      <c r="H340" s="2"/>
      <c r="I340" s="2"/>
      <c r="J340" s="2"/>
      <c r="K340" s="57"/>
      <c r="L340" s="58"/>
      <c r="M340" s="2"/>
      <c r="N340" s="2"/>
      <c r="O340" s="2"/>
      <c r="P340" s="2"/>
      <c r="Q340" s="2"/>
      <c r="R340" s="2"/>
      <c r="S340" s="2"/>
      <c r="T340" s="2"/>
      <c r="U340" s="2"/>
      <c r="V340" s="2"/>
      <c r="W340" s="2"/>
      <c r="X340" s="2"/>
      <c r="Y340" s="2"/>
      <c r="Z340" s="2"/>
      <c r="AA340" s="2"/>
      <c r="AB340" s="2"/>
    </row>
    <row r="341" spans="1:28" ht="14.25" customHeight="1">
      <c r="A341" s="24"/>
      <c r="B341" s="2"/>
      <c r="C341" s="2"/>
      <c r="D341" s="57"/>
      <c r="E341" s="57"/>
      <c r="F341" s="2"/>
      <c r="G341" s="2"/>
      <c r="H341" s="2"/>
      <c r="I341" s="2"/>
      <c r="J341" s="2"/>
      <c r="K341" s="57"/>
      <c r="L341" s="58"/>
      <c r="M341" s="2"/>
      <c r="N341" s="2"/>
      <c r="O341" s="2"/>
      <c r="P341" s="2"/>
      <c r="Q341" s="2"/>
      <c r="R341" s="2"/>
      <c r="S341" s="2"/>
      <c r="T341" s="2"/>
      <c r="U341" s="2"/>
      <c r="V341" s="2"/>
      <c r="W341" s="2"/>
      <c r="X341" s="2"/>
      <c r="Y341" s="2"/>
      <c r="Z341" s="2"/>
      <c r="AA341" s="2"/>
      <c r="AB341" s="2"/>
    </row>
    <row r="342" spans="1:28" ht="14.25" customHeight="1">
      <c r="A342" s="24"/>
      <c r="B342" s="2"/>
      <c r="C342" s="2"/>
      <c r="D342" s="57"/>
      <c r="E342" s="57"/>
      <c r="F342" s="2"/>
      <c r="G342" s="2"/>
      <c r="H342" s="2"/>
      <c r="I342" s="2"/>
      <c r="J342" s="2"/>
      <c r="K342" s="57"/>
      <c r="L342" s="58"/>
      <c r="M342" s="2"/>
      <c r="N342" s="2"/>
      <c r="O342" s="2"/>
      <c r="P342" s="2"/>
      <c r="Q342" s="2"/>
      <c r="R342" s="2"/>
      <c r="S342" s="2"/>
      <c r="T342" s="2"/>
      <c r="U342" s="2"/>
      <c r="V342" s="2"/>
      <c r="W342" s="2"/>
      <c r="X342" s="2"/>
      <c r="Y342" s="2"/>
      <c r="Z342" s="2"/>
      <c r="AA342" s="2"/>
      <c r="AB342" s="2"/>
    </row>
    <row r="343" spans="1:28" ht="14.25" customHeight="1">
      <c r="A343" s="24"/>
      <c r="B343" s="2"/>
      <c r="C343" s="2"/>
      <c r="D343" s="57"/>
      <c r="E343" s="57"/>
      <c r="F343" s="2"/>
      <c r="G343" s="2"/>
      <c r="H343" s="2"/>
      <c r="I343" s="2"/>
      <c r="J343" s="2"/>
      <c r="K343" s="57"/>
      <c r="L343" s="58"/>
      <c r="M343" s="2"/>
      <c r="N343" s="2"/>
      <c r="O343" s="2"/>
      <c r="P343" s="2"/>
      <c r="Q343" s="2"/>
      <c r="R343" s="2"/>
      <c r="S343" s="2"/>
      <c r="T343" s="2"/>
      <c r="U343" s="2"/>
      <c r="V343" s="2"/>
      <c r="W343" s="2"/>
      <c r="X343" s="2"/>
      <c r="Y343" s="2"/>
      <c r="Z343" s="2"/>
      <c r="AA343" s="2"/>
      <c r="AB343" s="2"/>
    </row>
    <row r="344" spans="1:28" ht="14.25" customHeight="1">
      <c r="A344" s="24"/>
      <c r="B344" s="2"/>
      <c r="C344" s="2"/>
      <c r="D344" s="57"/>
      <c r="E344" s="57"/>
      <c r="F344" s="2"/>
      <c r="G344" s="2"/>
      <c r="H344" s="2"/>
      <c r="I344" s="2"/>
      <c r="J344" s="2"/>
      <c r="K344" s="57"/>
      <c r="L344" s="58"/>
      <c r="M344" s="2"/>
      <c r="N344" s="2"/>
      <c r="O344" s="2"/>
      <c r="P344" s="2"/>
      <c r="Q344" s="2"/>
      <c r="R344" s="2"/>
      <c r="S344" s="2"/>
      <c r="T344" s="2"/>
      <c r="U344" s="2"/>
      <c r="V344" s="2"/>
      <c r="W344" s="2"/>
      <c r="X344" s="2"/>
      <c r="Y344" s="2"/>
      <c r="Z344" s="2"/>
      <c r="AA344" s="2"/>
      <c r="AB344" s="2"/>
    </row>
    <row r="345" spans="1:28" ht="14.25" customHeight="1">
      <c r="A345" s="24"/>
      <c r="B345" s="2"/>
      <c r="C345" s="2"/>
      <c r="D345" s="57"/>
      <c r="E345" s="57"/>
      <c r="F345" s="2"/>
      <c r="G345" s="2"/>
      <c r="H345" s="2"/>
      <c r="I345" s="2"/>
      <c r="J345" s="2"/>
      <c r="K345" s="57"/>
      <c r="L345" s="58"/>
      <c r="M345" s="2"/>
      <c r="N345" s="2"/>
      <c r="O345" s="2"/>
      <c r="P345" s="2"/>
      <c r="Q345" s="2"/>
      <c r="R345" s="2"/>
      <c r="S345" s="2"/>
      <c r="T345" s="2"/>
      <c r="U345" s="2"/>
      <c r="V345" s="2"/>
      <c r="W345" s="2"/>
      <c r="X345" s="2"/>
      <c r="Y345" s="2"/>
      <c r="Z345" s="2"/>
      <c r="AA345" s="2"/>
      <c r="AB345" s="2"/>
    </row>
    <row r="346" spans="1:28" ht="14.25" customHeight="1">
      <c r="A346" s="24"/>
      <c r="B346" s="2"/>
      <c r="C346" s="2"/>
      <c r="D346" s="57"/>
      <c r="E346" s="57"/>
      <c r="F346" s="2"/>
      <c r="G346" s="2"/>
      <c r="H346" s="2"/>
      <c r="I346" s="2"/>
      <c r="J346" s="2"/>
      <c r="K346" s="57"/>
      <c r="L346" s="58"/>
      <c r="M346" s="2"/>
      <c r="N346" s="2"/>
      <c r="O346" s="2"/>
      <c r="P346" s="2"/>
      <c r="Q346" s="2"/>
      <c r="R346" s="2"/>
      <c r="S346" s="2"/>
      <c r="T346" s="2"/>
      <c r="U346" s="2"/>
      <c r="V346" s="2"/>
      <c r="W346" s="2"/>
      <c r="X346" s="2"/>
      <c r="Y346" s="2"/>
      <c r="Z346" s="2"/>
      <c r="AA346" s="2"/>
      <c r="AB346" s="2"/>
    </row>
    <row r="347" spans="1:28" ht="14.25" customHeight="1">
      <c r="A347" s="24"/>
      <c r="B347" s="2"/>
      <c r="C347" s="2"/>
      <c r="D347" s="57"/>
      <c r="E347" s="57"/>
      <c r="F347" s="2"/>
      <c r="G347" s="2"/>
      <c r="H347" s="2"/>
      <c r="I347" s="2"/>
      <c r="J347" s="2"/>
      <c r="K347" s="57"/>
      <c r="L347" s="58"/>
      <c r="M347" s="2"/>
      <c r="N347" s="2"/>
      <c r="O347" s="2"/>
      <c r="P347" s="2"/>
      <c r="Q347" s="2"/>
      <c r="R347" s="2"/>
      <c r="S347" s="2"/>
      <c r="T347" s="2"/>
      <c r="U347" s="2"/>
      <c r="V347" s="2"/>
      <c r="W347" s="2"/>
      <c r="X347" s="2"/>
      <c r="Y347" s="2"/>
      <c r="Z347" s="2"/>
      <c r="AA347" s="2"/>
      <c r="AB347" s="2"/>
    </row>
    <row r="348" spans="1:28" ht="14.25" customHeight="1">
      <c r="A348" s="24"/>
      <c r="B348" s="2"/>
      <c r="C348" s="2"/>
      <c r="D348" s="57"/>
      <c r="E348" s="57"/>
      <c r="F348" s="2"/>
      <c r="G348" s="2"/>
      <c r="H348" s="2"/>
      <c r="I348" s="2"/>
      <c r="J348" s="2"/>
      <c r="K348" s="57"/>
      <c r="L348" s="58"/>
      <c r="M348" s="2"/>
      <c r="N348" s="2"/>
      <c r="O348" s="2"/>
      <c r="P348" s="2"/>
      <c r="Q348" s="2"/>
      <c r="R348" s="2"/>
      <c r="S348" s="2"/>
      <c r="T348" s="2"/>
      <c r="U348" s="2"/>
      <c r="V348" s="2"/>
      <c r="W348" s="2"/>
      <c r="X348" s="2"/>
      <c r="Y348" s="2"/>
      <c r="Z348" s="2"/>
      <c r="AA348" s="2"/>
      <c r="AB348" s="2"/>
    </row>
    <row r="349" spans="1:28" ht="14.25" customHeight="1">
      <c r="A349" s="24"/>
      <c r="B349" s="2"/>
      <c r="C349" s="2"/>
      <c r="D349" s="57"/>
      <c r="E349" s="57"/>
      <c r="F349" s="2"/>
      <c r="G349" s="2"/>
      <c r="H349" s="2"/>
      <c r="I349" s="2"/>
      <c r="J349" s="2"/>
      <c r="K349" s="57"/>
      <c r="L349" s="58"/>
      <c r="M349" s="2"/>
      <c r="N349" s="2"/>
      <c r="O349" s="2"/>
      <c r="P349" s="2"/>
      <c r="Q349" s="2"/>
      <c r="R349" s="2"/>
      <c r="S349" s="2"/>
      <c r="T349" s="2"/>
      <c r="U349" s="2"/>
      <c r="V349" s="2"/>
      <c r="W349" s="2"/>
      <c r="X349" s="2"/>
      <c r="Y349" s="2"/>
      <c r="Z349" s="2"/>
      <c r="AA349" s="2"/>
      <c r="AB349" s="2"/>
    </row>
    <row r="350" spans="1:28" ht="14.25" customHeight="1">
      <c r="A350" s="24"/>
      <c r="B350" s="2"/>
      <c r="C350" s="2"/>
      <c r="D350" s="57"/>
      <c r="E350" s="57"/>
      <c r="F350" s="2"/>
      <c r="G350" s="2"/>
      <c r="H350" s="2"/>
      <c r="I350" s="2"/>
      <c r="J350" s="2"/>
      <c r="K350" s="57"/>
      <c r="L350" s="58"/>
      <c r="M350" s="2"/>
      <c r="N350" s="2"/>
      <c r="O350" s="2"/>
      <c r="P350" s="2"/>
      <c r="Q350" s="2"/>
      <c r="R350" s="2"/>
      <c r="S350" s="2"/>
      <c r="T350" s="2"/>
      <c r="U350" s="2"/>
      <c r="V350" s="2"/>
      <c r="W350" s="2"/>
      <c r="X350" s="2"/>
      <c r="Y350" s="2"/>
      <c r="Z350" s="2"/>
      <c r="AA350" s="2"/>
      <c r="AB350" s="2"/>
    </row>
    <row r="351" spans="1:28" ht="14.25" customHeight="1">
      <c r="A351" s="24"/>
      <c r="B351" s="2"/>
      <c r="C351" s="2"/>
      <c r="D351" s="57"/>
      <c r="E351" s="57"/>
      <c r="F351" s="2"/>
      <c r="G351" s="2"/>
      <c r="H351" s="2"/>
      <c r="I351" s="2"/>
      <c r="J351" s="2"/>
      <c r="K351" s="57"/>
      <c r="L351" s="58"/>
      <c r="M351" s="2"/>
      <c r="N351" s="2"/>
      <c r="O351" s="2"/>
      <c r="P351" s="2"/>
      <c r="Q351" s="2"/>
      <c r="R351" s="2"/>
      <c r="S351" s="2"/>
      <c r="T351" s="2"/>
      <c r="U351" s="2"/>
      <c r="V351" s="2"/>
      <c r="W351" s="2"/>
      <c r="X351" s="2"/>
      <c r="Y351" s="2"/>
      <c r="Z351" s="2"/>
      <c r="AA351" s="2"/>
      <c r="AB351" s="2"/>
    </row>
    <row r="352" spans="1:28" ht="14.25" customHeight="1">
      <c r="A352" s="24"/>
      <c r="B352" s="2"/>
      <c r="C352" s="2"/>
      <c r="D352" s="57"/>
      <c r="E352" s="57"/>
      <c r="F352" s="2"/>
      <c r="G352" s="2"/>
      <c r="H352" s="2"/>
      <c r="I352" s="2"/>
      <c r="J352" s="2"/>
      <c r="K352" s="57"/>
      <c r="L352" s="58"/>
      <c r="M352" s="2"/>
      <c r="N352" s="2"/>
      <c r="O352" s="2"/>
      <c r="P352" s="2"/>
      <c r="Q352" s="2"/>
      <c r="R352" s="2"/>
      <c r="S352" s="2"/>
      <c r="T352" s="2"/>
      <c r="U352" s="2"/>
      <c r="V352" s="2"/>
      <c r="W352" s="2"/>
      <c r="X352" s="2"/>
      <c r="Y352" s="2"/>
      <c r="Z352" s="2"/>
      <c r="AA352" s="2"/>
      <c r="AB352" s="2"/>
    </row>
    <row r="353" spans="1:28" ht="14.25" customHeight="1">
      <c r="A353" s="24"/>
      <c r="B353" s="2"/>
      <c r="C353" s="2"/>
      <c r="D353" s="57"/>
      <c r="E353" s="57"/>
      <c r="F353" s="2"/>
      <c r="G353" s="2"/>
      <c r="H353" s="2"/>
      <c r="I353" s="2"/>
      <c r="J353" s="2"/>
      <c r="K353" s="57"/>
      <c r="L353" s="58"/>
      <c r="M353" s="2"/>
      <c r="N353" s="2"/>
      <c r="O353" s="2"/>
      <c r="P353" s="2"/>
      <c r="Q353" s="2"/>
      <c r="R353" s="2"/>
      <c r="S353" s="2"/>
      <c r="T353" s="2"/>
      <c r="U353" s="2"/>
      <c r="V353" s="2"/>
      <c r="W353" s="2"/>
      <c r="X353" s="2"/>
      <c r="Y353" s="2"/>
      <c r="Z353" s="2"/>
      <c r="AA353" s="2"/>
      <c r="AB353" s="2"/>
    </row>
    <row r="354" spans="1:28" ht="14.25" customHeight="1">
      <c r="A354" s="24"/>
      <c r="B354" s="2"/>
      <c r="C354" s="2"/>
      <c r="D354" s="57"/>
      <c r="E354" s="57"/>
      <c r="F354" s="2"/>
      <c r="G354" s="2"/>
      <c r="H354" s="2"/>
      <c r="I354" s="2"/>
      <c r="J354" s="2"/>
      <c r="K354" s="57"/>
      <c r="L354" s="58"/>
      <c r="M354" s="2"/>
      <c r="N354" s="2"/>
      <c r="O354" s="2"/>
      <c r="P354" s="2"/>
      <c r="Q354" s="2"/>
      <c r="R354" s="2"/>
      <c r="S354" s="2"/>
      <c r="T354" s="2"/>
      <c r="U354" s="2"/>
      <c r="V354" s="2"/>
      <c r="W354" s="2"/>
      <c r="X354" s="2"/>
      <c r="Y354" s="2"/>
      <c r="Z354" s="2"/>
      <c r="AA354" s="2"/>
      <c r="AB354" s="2"/>
    </row>
    <row r="355" spans="1:28" ht="14.25" customHeight="1">
      <c r="A355" s="24"/>
      <c r="B355" s="2"/>
      <c r="C355" s="2"/>
      <c r="D355" s="57"/>
      <c r="E355" s="57"/>
      <c r="F355" s="2"/>
      <c r="G355" s="2"/>
      <c r="H355" s="2"/>
      <c r="I355" s="2"/>
      <c r="J355" s="2"/>
      <c r="K355" s="57"/>
      <c r="L355" s="58"/>
      <c r="M355" s="2"/>
      <c r="N355" s="2"/>
      <c r="O355" s="2"/>
      <c r="P355" s="2"/>
      <c r="Q355" s="2"/>
      <c r="R355" s="2"/>
      <c r="S355" s="2"/>
      <c r="T355" s="2"/>
      <c r="U355" s="2"/>
      <c r="V355" s="2"/>
      <c r="W355" s="2"/>
      <c r="X355" s="2"/>
      <c r="Y355" s="2"/>
      <c r="Z355" s="2"/>
      <c r="AA355" s="2"/>
      <c r="AB355" s="2"/>
    </row>
    <row r="356" spans="1:28" ht="14.25" customHeight="1">
      <c r="A356" s="24"/>
      <c r="B356" s="2"/>
      <c r="C356" s="2"/>
      <c r="D356" s="57"/>
      <c r="E356" s="57"/>
      <c r="F356" s="2"/>
      <c r="G356" s="2"/>
      <c r="H356" s="2"/>
      <c r="I356" s="2"/>
      <c r="J356" s="2"/>
      <c r="K356" s="57"/>
      <c r="L356" s="58"/>
      <c r="M356" s="2"/>
      <c r="N356" s="2"/>
      <c r="O356" s="2"/>
      <c r="P356" s="2"/>
      <c r="Q356" s="2"/>
      <c r="R356" s="2"/>
      <c r="S356" s="2"/>
      <c r="T356" s="2"/>
      <c r="U356" s="2"/>
      <c r="V356" s="2"/>
      <c r="W356" s="2"/>
      <c r="X356" s="2"/>
      <c r="Y356" s="2"/>
      <c r="Z356" s="2"/>
      <c r="AA356" s="2"/>
      <c r="AB356" s="2"/>
    </row>
    <row r="357" spans="1:28" ht="14.25" customHeight="1">
      <c r="A357" s="24"/>
      <c r="B357" s="2"/>
      <c r="C357" s="2"/>
      <c r="D357" s="57"/>
      <c r="E357" s="57"/>
      <c r="F357" s="2"/>
      <c r="G357" s="2"/>
      <c r="H357" s="2"/>
      <c r="I357" s="2"/>
      <c r="J357" s="2"/>
      <c r="K357" s="57"/>
      <c r="L357" s="58"/>
      <c r="M357" s="2"/>
      <c r="N357" s="2"/>
      <c r="O357" s="2"/>
      <c r="P357" s="2"/>
      <c r="Q357" s="2"/>
      <c r="R357" s="2"/>
      <c r="S357" s="2"/>
      <c r="T357" s="2"/>
      <c r="U357" s="2"/>
      <c r="V357" s="2"/>
      <c r="W357" s="2"/>
      <c r="X357" s="2"/>
      <c r="Y357" s="2"/>
      <c r="Z357" s="2"/>
      <c r="AA357" s="2"/>
      <c r="AB357" s="2"/>
    </row>
    <row r="358" spans="1:28" ht="14.25" customHeight="1">
      <c r="A358" s="24"/>
      <c r="B358" s="2"/>
      <c r="C358" s="2"/>
      <c r="D358" s="57"/>
      <c r="E358" s="57"/>
      <c r="F358" s="2"/>
      <c r="G358" s="2"/>
      <c r="H358" s="2"/>
      <c r="I358" s="2"/>
      <c r="J358" s="2"/>
      <c r="K358" s="57"/>
      <c r="L358" s="58"/>
      <c r="M358" s="2"/>
      <c r="N358" s="2"/>
      <c r="O358" s="2"/>
      <c r="P358" s="2"/>
      <c r="Q358" s="2"/>
      <c r="R358" s="2"/>
      <c r="S358" s="2"/>
      <c r="T358" s="2"/>
      <c r="U358" s="2"/>
      <c r="V358" s="2"/>
      <c r="W358" s="2"/>
      <c r="X358" s="2"/>
      <c r="Y358" s="2"/>
      <c r="Z358" s="2"/>
      <c r="AA358" s="2"/>
      <c r="AB358" s="2"/>
    </row>
    <row r="359" spans="1:28" ht="14.25" customHeight="1">
      <c r="A359" s="24"/>
      <c r="B359" s="2"/>
      <c r="C359" s="2"/>
      <c r="D359" s="57"/>
      <c r="E359" s="57"/>
      <c r="F359" s="2"/>
      <c r="G359" s="2"/>
      <c r="H359" s="2"/>
      <c r="I359" s="2"/>
      <c r="J359" s="2"/>
      <c r="K359" s="57"/>
      <c r="L359" s="58"/>
      <c r="M359" s="2"/>
      <c r="N359" s="2"/>
      <c r="O359" s="2"/>
      <c r="P359" s="2"/>
      <c r="Q359" s="2"/>
      <c r="R359" s="2"/>
      <c r="S359" s="2"/>
      <c r="T359" s="2"/>
      <c r="U359" s="2"/>
      <c r="V359" s="2"/>
      <c r="W359" s="2"/>
      <c r="X359" s="2"/>
      <c r="Y359" s="2"/>
      <c r="Z359" s="2"/>
      <c r="AA359" s="2"/>
      <c r="AB359" s="2"/>
    </row>
    <row r="360" spans="1:28" ht="14.25" customHeight="1">
      <c r="A360" s="24"/>
      <c r="B360" s="2"/>
      <c r="C360" s="2"/>
      <c r="D360" s="57"/>
      <c r="E360" s="57"/>
      <c r="F360" s="2"/>
      <c r="G360" s="2"/>
      <c r="H360" s="2"/>
      <c r="I360" s="2"/>
      <c r="J360" s="2"/>
      <c r="K360" s="57"/>
      <c r="L360" s="58"/>
      <c r="M360" s="2"/>
      <c r="N360" s="2"/>
      <c r="O360" s="2"/>
      <c r="P360" s="2"/>
      <c r="Q360" s="2"/>
      <c r="R360" s="2"/>
      <c r="S360" s="2"/>
      <c r="T360" s="2"/>
      <c r="U360" s="2"/>
      <c r="V360" s="2"/>
      <c r="W360" s="2"/>
      <c r="X360" s="2"/>
      <c r="Y360" s="2"/>
      <c r="Z360" s="2"/>
      <c r="AA360" s="2"/>
      <c r="AB360" s="2"/>
    </row>
    <row r="361" spans="1:28" ht="14.25" customHeight="1">
      <c r="A361" s="24"/>
      <c r="B361" s="2"/>
      <c r="C361" s="2"/>
      <c r="D361" s="57"/>
      <c r="E361" s="57"/>
      <c r="F361" s="2"/>
      <c r="G361" s="2"/>
      <c r="H361" s="2"/>
      <c r="I361" s="2"/>
      <c r="J361" s="2"/>
      <c r="K361" s="57"/>
      <c r="L361" s="58"/>
      <c r="M361" s="2"/>
      <c r="N361" s="2"/>
      <c r="O361" s="2"/>
      <c r="P361" s="2"/>
      <c r="Q361" s="2"/>
      <c r="R361" s="2"/>
      <c r="S361" s="2"/>
      <c r="T361" s="2"/>
      <c r="U361" s="2"/>
      <c r="V361" s="2"/>
      <c r="W361" s="2"/>
      <c r="X361" s="2"/>
      <c r="Y361" s="2"/>
      <c r="Z361" s="2"/>
      <c r="AA361" s="2"/>
      <c r="AB361" s="2"/>
    </row>
    <row r="362" spans="1:28" ht="14.25" customHeight="1">
      <c r="A362" s="24"/>
      <c r="B362" s="2"/>
      <c r="C362" s="2"/>
      <c r="D362" s="57"/>
      <c r="E362" s="57"/>
      <c r="F362" s="2"/>
      <c r="G362" s="2"/>
      <c r="H362" s="2"/>
      <c r="I362" s="2"/>
      <c r="J362" s="2"/>
      <c r="K362" s="57"/>
      <c r="L362" s="58"/>
      <c r="M362" s="2"/>
      <c r="N362" s="2"/>
      <c r="O362" s="2"/>
      <c r="P362" s="2"/>
      <c r="Q362" s="2"/>
      <c r="R362" s="2"/>
      <c r="S362" s="2"/>
      <c r="T362" s="2"/>
      <c r="U362" s="2"/>
      <c r="V362" s="2"/>
      <c r="W362" s="2"/>
      <c r="X362" s="2"/>
      <c r="Y362" s="2"/>
      <c r="Z362" s="2"/>
      <c r="AA362" s="2"/>
      <c r="AB362" s="2"/>
    </row>
    <row r="363" spans="1:28" ht="14.25" customHeight="1">
      <c r="A363" s="24"/>
      <c r="B363" s="2"/>
      <c r="C363" s="2"/>
      <c r="D363" s="57"/>
      <c r="E363" s="57"/>
      <c r="F363" s="2"/>
      <c r="G363" s="2"/>
      <c r="H363" s="2"/>
      <c r="I363" s="2"/>
      <c r="J363" s="2"/>
      <c r="K363" s="57"/>
      <c r="L363" s="58"/>
      <c r="M363" s="2"/>
      <c r="N363" s="2"/>
      <c r="O363" s="2"/>
      <c r="P363" s="2"/>
      <c r="Q363" s="2"/>
      <c r="R363" s="2"/>
      <c r="S363" s="2"/>
      <c r="T363" s="2"/>
      <c r="U363" s="2"/>
      <c r="V363" s="2"/>
      <c r="W363" s="2"/>
      <c r="X363" s="2"/>
      <c r="Y363" s="2"/>
      <c r="Z363" s="2"/>
      <c r="AA363" s="2"/>
      <c r="AB363" s="2"/>
    </row>
    <row r="364" spans="1:28" ht="14.25" customHeight="1">
      <c r="A364" s="24"/>
      <c r="B364" s="2"/>
      <c r="C364" s="2"/>
      <c r="D364" s="57"/>
      <c r="E364" s="57"/>
      <c r="F364" s="2"/>
      <c r="G364" s="2"/>
      <c r="H364" s="2"/>
      <c r="I364" s="2"/>
      <c r="J364" s="2"/>
      <c r="K364" s="57"/>
      <c r="L364" s="58"/>
      <c r="M364" s="2"/>
      <c r="N364" s="2"/>
      <c r="O364" s="2"/>
      <c r="P364" s="2"/>
      <c r="Q364" s="2"/>
      <c r="R364" s="2"/>
      <c r="S364" s="2"/>
      <c r="T364" s="2"/>
      <c r="U364" s="2"/>
      <c r="V364" s="2"/>
      <c r="W364" s="2"/>
      <c r="X364" s="2"/>
      <c r="Y364" s="2"/>
      <c r="Z364" s="2"/>
      <c r="AA364" s="2"/>
      <c r="AB364" s="2"/>
    </row>
    <row r="365" spans="1:28" ht="14.25" customHeight="1">
      <c r="A365" s="24"/>
      <c r="B365" s="2"/>
      <c r="C365" s="2"/>
      <c r="D365" s="57"/>
      <c r="E365" s="57"/>
      <c r="F365" s="2"/>
      <c r="G365" s="2"/>
      <c r="H365" s="2"/>
      <c r="I365" s="2"/>
      <c r="J365" s="2"/>
      <c r="K365" s="57"/>
      <c r="L365" s="58"/>
      <c r="M365" s="2"/>
      <c r="N365" s="2"/>
      <c r="O365" s="2"/>
      <c r="P365" s="2"/>
      <c r="Q365" s="2"/>
      <c r="R365" s="2"/>
      <c r="S365" s="2"/>
      <c r="T365" s="2"/>
      <c r="U365" s="2"/>
      <c r="V365" s="2"/>
      <c r="W365" s="2"/>
      <c r="X365" s="2"/>
      <c r="Y365" s="2"/>
      <c r="Z365" s="2"/>
      <c r="AA365" s="2"/>
      <c r="AB365" s="2"/>
    </row>
    <row r="366" spans="1:28" ht="14.25" customHeight="1">
      <c r="A366" s="24"/>
      <c r="B366" s="2"/>
      <c r="C366" s="2"/>
      <c r="D366" s="57"/>
      <c r="E366" s="57"/>
      <c r="F366" s="2"/>
      <c r="G366" s="2"/>
      <c r="H366" s="2"/>
      <c r="I366" s="2"/>
      <c r="J366" s="2"/>
      <c r="K366" s="57"/>
      <c r="L366" s="58"/>
      <c r="M366" s="2"/>
      <c r="N366" s="2"/>
      <c r="O366" s="2"/>
      <c r="P366" s="2"/>
      <c r="Q366" s="2"/>
      <c r="R366" s="2"/>
      <c r="S366" s="2"/>
      <c r="T366" s="2"/>
      <c r="U366" s="2"/>
      <c r="V366" s="2"/>
      <c r="W366" s="2"/>
      <c r="X366" s="2"/>
      <c r="Y366" s="2"/>
      <c r="Z366" s="2"/>
      <c r="AA366" s="2"/>
      <c r="AB366" s="2"/>
    </row>
    <row r="367" spans="1:28" ht="14.25" customHeight="1">
      <c r="A367" s="24"/>
      <c r="B367" s="2"/>
      <c r="C367" s="2"/>
      <c r="D367" s="57"/>
      <c r="E367" s="57"/>
      <c r="F367" s="2"/>
      <c r="G367" s="2"/>
      <c r="H367" s="2"/>
      <c r="I367" s="2"/>
      <c r="J367" s="2"/>
      <c r="K367" s="57"/>
      <c r="L367" s="58"/>
      <c r="M367" s="2"/>
      <c r="N367" s="2"/>
      <c r="O367" s="2"/>
      <c r="P367" s="2"/>
      <c r="Q367" s="2"/>
      <c r="R367" s="2"/>
      <c r="S367" s="2"/>
      <c r="T367" s="2"/>
      <c r="U367" s="2"/>
      <c r="V367" s="2"/>
      <c r="W367" s="2"/>
      <c r="X367" s="2"/>
      <c r="Y367" s="2"/>
      <c r="Z367" s="2"/>
      <c r="AA367" s="2"/>
      <c r="AB367" s="2"/>
    </row>
    <row r="368" spans="1:28" ht="14.25" customHeight="1">
      <c r="A368" s="24"/>
      <c r="B368" s="2"/>
      <c r="C368" s="2"/>
      <c r="D368" s="57"/>
      <c r="E368" s="57"/>
      <c r="F368" s="2"/>
      <c r="G368" s="2"/>
      <c r="H368" s="2"/>
      <c r="I368" s="2"/>
      <c r="J368" s="2"/>
      <c r="K368" s="57"/>
      <c r="L368" s="58"/>
      <c r="M368" s="2"/>
      <c r="N368" s="2"/>
      <c r="O368" s="2"/>
      <c r="P368" s="2"/>
      <c r="Q368" s="2"/>
      <c r="R368" s="2"/>
      <c r="S368" s="2"/>
      <c r="T368" s="2"/>
      <c r="U368" s="2"/>
      <c r="V368" s="2"/>
      <c r="W368" s="2"/>
      <c r="X368" s="2"/>
      <c r="Y368" s="2"/>
      <c r="Z368" s="2"/>
      <c r="AA368" s="2"/>
      <c r="AB368" s="2"/>
    </row>
    <row r="369" spans="1:28" ht="14.25" customHeight="1">
      <c r="A369" s="24"/>
      <c r="B369" s="2"/>
      <c r="C369" s="2"/>
      <c r="D369" s="57"/>
      <c r="E369" s="57"/>
      <c r="F369" s="2"/>
      <c r="G369" s="2"/>
      <c r="H369" s="2"/>
      <c r="I369" s="2"/>
      <c r="J369" s="2"/>
      <c r="K369" s="57"/>
      <c r="L369" s="58"/>
      <c r="M369" s="2"/>
      <c r="N369" s="2"/>
      <c r="O369" s="2"/>
      <c r="P369" s="2"/>
      <c r="Q369" s="2"/>
      <c r="R369" s="2"/>
      <c r="S369" s="2"/>
      <c r="T369" s="2"/>
      <c r="U369" s="2"/>
      <c r="V369" s="2"/>
      <c r="W369" s="2"/>
      <c r="X369" s="2"/>
      <c r="Y369" s="2"/>
      <c r="Z369" s="2"/>
      <c r="AA369" s="2"/>
      <c r="AB369" s="2"/>
    </row>
    <row r="370" spans="1:28" ht="14.25" customHeight="1">
      <c r="A370" s="24"/>
      <c r="B370" s="2"/>
      <c r="C370" s="2"/>
      <c r="D370" s="57"/>
      <c r="E370" s="57"/>
      <c r="F370" s="2"/>
      <c r="G370" s="2"/>
      <c r="H370" s="2"/>
      <c r="I370" s="2"/>
      <c r="J370" s="2"/>
      <c r="K370" s="57"/>
      <c r="L370" s="58"/>
      <c r="M370" s="2"/>
      <c r="N370" s="2"/>
      <c r="O370" s="2"/>
      <c r="P370" s="2"/>
      <c r="Q370" s="2"/>
      <c r="R370" s="2"/>
      <c r="S370" s="2"/>
      <c r="T370" s="2"/>
      <c r="U370" s="2"/>
      <c r="V370" s="2"/>
      <c r="W370" s="2"/>
      <c r="X370" s="2"/>
      <c r="Y370" s="2"/>
      <c r="Z370" s="2"/>
      <c r="AA370" s="2"/>
      <c r="AB370" s="2"/>
    </row>
    <row r="371" spans="1:28" ht="14.25" customHeight="1">
      <c r="A371" s="24"/>
      <c r="B371" s="2"/>
      <c r="C371" s="2"/>
      <c r="D371" s="57"/>
      <c r="E371" s="57"/>
      <c r="F371" s="2"/>
      <c r="G371" s="2"/>
      <c r="H371" s="2"/>
      <c r="I371" s="2"/>
      <c r="J371" s="2"/>
      <c r="K371" s="57"/>
      <c r="L371" s="58"/>
      <c r="M371" s="2"/>
      <c r="N371" s="2"/>
      <c r="O371" s="2"/>
      <c r="P371" s="2"/>
      <c r="Q371" s="2"/>
      <c r="R371" s="2"/>
      <c r="S371" s="2"/>
      <c r="T371" s="2"/>
      <c r="U371" s="2"/>
      <c r="V371" s="2"/>
      <c r="W371" s="2"/>
      <c r="X371" s="2"/>
      <c r="Y371" s="2"/>
      <c r="Z371" s="2"/>
      <c r="AA371" s="2"/>
      <c r="AB371" s="2"/>
    </row>
    <row r="372" spans="1:28" ht="14.25" customHeight="1">
      <c r="A372" s="24"/>
      <c r="B372" s="2"/>
      <c r="C372" s="2"/>
      <c r="D372" s="57"/>
      <c r="E372" s="57"/>
      <c r="F372" s="2"/>
      <c r="G372" s="2"/>
      <c r="H372" s="2"/>
      <c r="I372" s="2"/>
      <c r="J372" s="2"/>
      <c r="K372" s="57"/>
      <c r="L372" s="58"/>
      <c r="M372" s="2"/>
      <c r="N372" s="2"/>
      <c r="O372" s="2"/>
      <c r="P372" s="2"/>
      <c r="Q372" s="2"/>
      <c r="R372" s="2"/>
      <c r="S372" s="2"/>
      <c r="T372" s="2"/>
      <c r="U372" s="2"/>
      <c r="V372" s="2"/>
      <c r="W372" s="2"/>
      <c r="X372" s="2"/>
      <c r="Y372" s="2"/>
      <c r="Z372" s="2"/>
      <c r="AA372" s="2"/>
      <c r="AB372" s="2"/>
    </row>
    <row r="373" spans="1:28" ht="14.25" customHeight="1">
      <c r="A373" s="24"/>
      <c r="B373" s="2"/>
      <c r="C373" s="2"/>
      <c r="D373" s="57"/>
      <c r="E373" s="57"/>
      <c r="F373" s="2"/>
      <c r="G373" s="2"/>
      <c r="H373" s="2"/>
      <c r="I373" s="2"/>
      <c r="J373" s="2"/>
      <c r="K373" s="57"/>
      <c r="L373" s="58"/>
      <c r="M373" s="2"/>
      <c r="N373" s="2"/>
      <c r="O373" s="2"/>
      <c r="P373" s="2"/>
      <c r="Q373" s="2"/>
      <c r="R373" s="2"/>
      <c r="S373" s="2"/>
      <c r="T373" s="2"/>
      <c r="U373" s="2"/>
      <c r="V373" s="2"/>
      <c r="W373" s="2"/>
      <c r="X373" s="2"/>
      <c r="Y373" s="2"/>
      <c r="Z373" s="2"/>
      <c r="AA373" s="2"/>
      <c r="AB373" s="2"/>
    </row>
    <row r="374" spans="1:28" ht="14.25" customHeight="1">
      <c r="A374" s="24"/>
      <c r="B374" s="2"/>
      <c r="C374" s="2"/>
      <c r="D374" s="57"/>
      <c r="E374" s="57"/>
      <c r="F374" s="2"/>
      <c r="G374" s="2"/>
      <c r="H374" s="2"/>
      <c r="I374" s="2"/>
      <c r="J374" s="2"/>
      <c r="K374" s="57"/>
      <c r="L374" s="58"/>
      <c r="M374" s="2"/>
      <c r="N374" s="2"/>
      <c r="O374" s="2"/>
      <c r="P374" s="2"/>
      <c r="Q374" s="2"/>
      <c r="R374" s="2"/>
      <c r="S374" s="2"/>
      <c r="T374" s="2"/>
      <c r="U374" s="2"/>
      <c r="V374" s="2"/>
      <c r="W374" s="2"/>
      <c r="X374" s="2"/>
      <c r="Y374" s="2"/>
      <c r="Z374" s="2"/>
      <c r="AA374" s="2"/>
      <c r="AB374" s="2"/>
    </row>
    <row r="375" spans="1:28" ht="14.25" customHeight="1">
      <c r="A375" s="24"/>
      <c r="B375" s="2"/>
      <c r="C375" s="2"/>
      <c r="D375" s="57"/>
      <c r="E375" s="57"/>
      <c r="F375" s="2"/>
      <c r="G375" s="2"/>
      <c r="H375" s="2"/>
      <c r="I375" s="2"/>
      <c r="J375" s="2"/>
      <c r="K375" s="57"/>
      <c r="L375" s="58"/>
      <c r="M375" s="2"/>
      <c r="N375" s="2"/>
      <c r="O375" s="2"/>
      <c r="P375" s="2"/>
      <c r="Q375" s="2"/>
      <c r="R375" s="2"/>
      <c r="S375" s="2"/>
      <c r="T375" s="2"/>
      <c r="U375" s="2"/>
      <c r="V375" s="2"/>
      <c r="W375" s="2"/>
      <c r="X375" s="2"/>
      <c r="Y375" s="2"/>
      <c r="Z375" s="2"/>
      <c r="AA375" s="2"/>
      <c r="AB375" s="2"/>
    </row>
    <row r="376" spans="1:28" ht="14.25" customHeight="1">
      <c r="A376" s="24"/>
      <c r="B376" s="2"/>
      <c r="C376" s="2"/>
      <c r="D376" s="57"/>
      <c r="E376" s="57"/>
      <c r="F376" s="2"/>
      <c r="G376" s="2"/>
      <c r="H376" s="2"/>
      <c r="I376" s="2"/>
      <c r="J376" s="2"/>
      <c r="K376" s="57"/>
      <c r="L376" s="58"/>
      <c r="M376" s="2"/>
      <c r="N376" s="2"/>
      <c r="O376" s="2"/>
      <c r="P376" s="2"/>
      <c r="Q376" s="2"/>
      <c r="R376" s="2"/>
      <c r="S376" s="2"/>
      <c r="T376" s="2"/>
      <c r="U376" s="2"/>
      <c r="V376" s="2"/>
      <c r="W376" s="2"/>
      <c r="X376" s="2"/>
      <c r="Y376" s="2"/>
      <c r="Z376" s="2"/>
      <c r="AA376" s="2"/>
      <c r="AB376" s="2"/>
    </row>
    <row r="377" spans="1:28" ht="14.25" customHeight="1">
      <c r="A377" s="24"/>
      <c r="B377" s="2"/>
      <c r="C377" s="2"/>
      <c r="D377" s="57"/>
      <c r="E377" s="57"/>
      <c r="F377" s="2"/>
      <c r="G377" s="2"/>
      <c r="H377" s="2"/>
      <c r="I377" s="2"/>
      <c r="J377" s="2"/>
      <c r="K377" s="57"/>
      <c r="L377" s="58"/>
      <c r="M377" s="2"/>
      <c r="N377" s="2"/>
      <c r="O377" s="2"/>
      <c r="P377" s="2"/>
      <c r="Q377" s="2"/>
      <c r="R377" s="2"/>
      <c r="S377" s="2"/>
      <c r="T377" s="2"/>
      <c r="U377" s="2"/>
      <c r="V377" s="2"/>
      <c r="W377" s="2"/>
      <c r="X377" s="2"/>
      <c r="Y377" s="2"/>
      <c r="Z377" s="2"/>
      <c r="AA377" s="2"/>
      <c r="AB377" s="2"/>
    </row>
    <row r="378" spans="1:28" ht="14.25" customHeight="1">
      <c r="A378" s="24"/>
      <c r="B378" s="2"/>
      <c r="C378" s="2"/>
      <c r="D378" s="57"/>
      <c r="E378" s="57"/>
      <c r="F378" s="2"/>
      <c r="G378" s="2"/>
      <c r="H378" s="2"/>
      <c r="I378" s="2"/>
      <c r="J378" s="2"/>
      <c r="K378" s="57"/>
      <c r="L378" s="58"/>
      <c r="M378" s="2"/>
      <c r="N378" s="2"/>
      <c r="O378" s="2"/>
      <c r="P378" s="2"/>
      <c r="Q378" s="2"/>
      <c r="R378" s="2"/>
      <c r="S378" s="2"/>
      <c r="T378" s="2"/>
      <c r="U378" s="2"/>
      <c r="V378" s="2"/>
      <c r="W378" s="2"/>
      <c r="X378" s="2"/>
      <c r="Y378" s="2"/>
      <c r="Z378" s="2"/>
      <c r="AA378" s="2"/>
      <c r="AB378" s="2"/>
    </row>
    <row r="379" spans="1:28" ht="14.25" customHeight="1">
      <c r="A379" s="24"/>
      <c r="B379" s="2"/>
      <c r="C379" s="2"/>
      <c r="D379" s="57"/>
      <c r="E379" s="57"/>
      <c r="F379" s="2"/>
      <c r="G379" s="2"/>
      <c r="H379" s="2"/>
      <c r="I379" s="2"/>
      <c r="J379" s="2"/>
      <c r="K379" s="57"/>
      <c r="L379" s="58"/>
      <c r="M379" s="2"/>
      <c r="N379" s="2"/>
      <c r="O379" s="2"/>
      <c r="P379" s="2"/>
      <c r="Q379" s="2"/>
      <c r="R379" s="2"/>
      <c r="S379" s="2"/>
      <c r="T379" s="2"/>
      <c r="U379" s="2"/>
      <c r="V379" s="2"/>
      <c r="W379" s="2"/>
      <c r="X379" s="2"/>
      <c r="Y379" s="2"/>
      <c r="Z379" s="2"/>
      <c r="AA379" s="2"/>
      <c r="AB379" s="2"/>
    </row>
    <row r="380" spans="1:28" ht="14.25" customHeight="1">
      <c r="A380" s="24"/>
      <c r="B380" s="2"/>
      <c r="C380" s="2"/>
      <c r="D380" s="57"/>
      <c r="E380" s="57"/>
      <c r="F380" s="2"/>
      <c r="G380" s="2"/>
      <c r="H380" s="2"/>
      <c r="I380" s="2"/>
      <c r="J380" s="2"/>
      <c r="K380" s="57"/>
      <c r="L380" s="58"/>
      <c r="M380" s="2"/>
      <c r="N380" s="2"/>
      <c r="O380" s="2"/>
      <c r="P380" s="2"/>
      <c r="Q380" s="2"/>
      <c r="R380" s="2"/>
      <c r="S380" s="2"/>
      <c r="T380" s="2"/>
      <c r="U380" s="2"/>
      <c r="V380" s="2"/>
      <c r="W380" s="2"/>
      <c r="X380" s="2"/>
      <c r="Y380" s="2"/>
      <c r="Z380" s="2"/>
      <c r="AA380" s="2"/>
      <c r="AB380" s="2"/>
    </row>
    <row r="381" spans="1:28" ht="14.25" customHeight="1">
      <c r="A381" s="24"/>
      <c r="B381" s="2"/>
      <c r="C381" s="2"/>
      <c r="D381" s="57"/>
      <c r="E381" s="57"/>
      <c r="F381" s="2"/>
      <c r="G381" s="2"/>
      <c r="H381" s="2"/>
      <c r="I381" s="2"/>
      <c r="J381" s="2"/>
      <c r="K381" s="57"/>
      <c r="L381" s="58"/>
      <c r="M381" s="2"/>
      <c r="N381" s="2"/>
      <c r="O381" s="2"/>
      <c r="P381" s="2"/>
      <c r="Q381" s="2"/>
      <c r="R381" s="2"/>
      <c r="S381" s="2"/>
      <c r="T381" s="2"/>
      <c r="U381" s="2"/>
      <c r="V381" s="2"/>
      <c r="W381" s="2"/>
      <c r="X381" s="2"/>
      <c r="Y381" s="2"/>
      <c r="Z381" s="2"/>
      <c r="AA381" s="2"/>
      <c r="AB381" s="2"/>
    </row>
    <row r="382" spans="1:28" ht="14.25" customHeight="1">
      <c r="A382" s="24"/>
      <c r="B382" s="2"/>
      <c r="C382" s="2"/>
      <c r="D382" s="57"/>
      <c r="E382" s="57"/>
      <c r="F382" s="2"/>
      <c r="G382" s="2"/>
      <c r="H382" s="2"/>
      <c r="I382" s="2"/>
      <c r="J382" s="2"/>
      <c r="K382" s="57"/>
      <c r="L382" s="58"/>
      <c r="M382" s="2"/>
      <c r="N382" s="2"/>
      <c r="O382" s="2"/>
      <c r="P382" s="2"/>
      <c r="Q382" s="2"/>
      <c r="R382" s="2"/>
      <c r="S382" s="2"/>
      <c r="T382" s="2"/>
      <c r="U382" s="2"/>
      <c r="V382" s="2"/>
      <c r="W382" s="2"/>
      <c r="X382" s="2"/>
      <c r="Y382" s="2"/>
      <c r="Z382" s="2"/>
      <c r="AA382" s="2"/>
      <c r="AB382" s="2"/>
    </row>
    <row r="383" spans="1:28" ht="14.25" customHeight="1">
      <c r="A383" s="24"/>
      <c r="B383" s="2"/>
      <c r="C383" s="2"/>
      <c r="D383" s="57"/>
      <c r="E383" s="57"/>
      <c r="F383" s="2"/>
      <c r="G383" s="2"/>
      <c r="H383" s="2"/>
      <c r="I383" s="2"/>
      <c r="J383" s="2"/>
      <c r="K383" s="57"/>
      <c r="L383" s="58"/>
      <c r="M383" s="2"/>
      <c r="N383" s="2"/>
      <c r="O383" s="2"/>
      <c r="P383" s="2"/>
      <c r="Q383" s="2"/>
      <c r="R383" s="2"/>
      <c r="S383" s="2"/>
      <c r="T383" s="2"/>
      <c r="U383" s="2"/>
      <c r="V383" s="2"/>
      <c r="W383" s="2"/>
      <c r="X383" s="2"/>
      <c r="Y383" s="2"/>
      <c r="Z383" s="2"/>
      <c r="AA383" s="2"/>
      <c r="AB383" s="2"/>
    </row>
    <row r="384" spans="1:28" ht="14.25" customHeight="1">
      <c r="A384" s="24"/>
      <c r="B384" s="2"/>
      <c r="C384" s="2"/>
      <c r="D384" s="57"/>
      <c r="E384" s="57"/>
      <c r="F384" s="2"/>
      <c r="G384" s="2"/>
      <c r="H384" s="2"/>
      <c r="I384" s="2"/>
      <c r="J384" s="2"/>
      <c r="K384" s="57"/>
      <c r="L384" s="58"/>
      <c r="M384" s="2"/>
      <c r="N384" s="2"/>
      <c r="O384" s="2"/>
      <c r="P384" s="2"/>
      <c r="Q384" s="2"/>
      <c r="R384" s="2"/>
      <c r="S384" s="2"/>
      <c r="T384" s="2"/>
      <c r="U384" s="2"/>
      <c r="V384" s="2"/>
      <c r="W384" s="2"/>
      <c r="X384" s="2"/>
      <c r="Y384" s="2"/>
      <c r="Z384" s="2"/>
      <c r="AA384" s="2"/>
      <c r="AB384" s="2"/>
    </row>
    <row r="385" spans="1:28" ht="14.25" customHeight="1">
      <c r="A385" s="24"/>
      <c r="B385" s="2"/>
      <c r="C385" s="2"/>
      <c r="D385" s="57"/>
      <c r="E385" s="57"/>
      <c r="F385" s="2"/>
      <c r="G385" s="2"/>
      <c r="H385" s="2"/>
      <c r="I385" s="2"/>
      <c r="J385" s="2"/>
      <c r="K385" s="57"/>
      <c r="L385" s="58"/>
      <c r="M385" s="2"/>
      <c r="N385" s="2"/>
      <c r="O385" s="2"/>
      <c r="P385" s="2"/>
      <c r="Q385" s="2"/>
      <c r="R385" s="2"/>
      <c r="S385" s="2"/>
      <c r="T385" s="2"/>
      <c r="U385" s="2"/>
      <c r="V385" s="2"/>
      <c r="W385" s="2"/>
      <c r="X385" s="2"/>
      <c r="Y385" s="2"/>
      <c r="Z385" s="2"/>
      <c r="AA385" s="2"/>
      <c r="AB385" s="2"/>
    </row>
    <row r="386" spans="1:28" ht="14.25" customHeight="1">
      <c r="A386" s="24"/>
      <c r="B386" s="2"/>
      <c r="C386" s="2"/>
      <c r="D386" s="57"/>
      <c r="E386" s="57"/>
      <c r="F386" s="2"/>
      <c r="G386" s="2"/>
      <c r="H386" s="2"/>
      <c r="I386" s="2"/>
      <c r="J386" s="2"/>
      <c r="K386" s="57"/>
      <c r="L386" s="58"/>
      <c r="M386" s="2"/>
      <c r="N386" s="2"/>
      <c r="O386" s="2"/>
      <c r="P386" s="2"/>
      <c r="Q386" s="2"/>
      <c r="R386" s="2"/>
      <c r="S386" s="2"/>
      <c r="T386" s="2"/>
      <c r="U386" s="2"/>
      <c r="V386" s="2"/>
      <c r="W386" s="2"/>
      <c r="X386" s="2"/>
      <c r="Y386" s="2"/>
      <c r="Z386" s="2"/>
      <c r="AA386" s="2"/>
      <c r="AB386" s="2"/>
    </row>
    <row r="387" spans="1:28" ht="14.25" customHeight="1">
      <c r="A387" s="24"/>
      <c r="B387" s="2"/>
      <c r="C387" s="2"/>
      <c r="D387" s="57"/>
      <c r="E387" s="57"/>
      <c r="F387" s="2"/>
      <c r="G387" s="2"/>
      <c r="H387" s="2"/>
      <c r="I387" s="2"/>
      <c r="J387" s="2"/>
      <c r="K387" s="57"/>
      <c r="L387" s="58"/>
      <c r="M387" s="2"/>
      <c r="N387" s="2"/>
      <c r="O387" s="2"/>
      <c r="P387" s="2"/>
      <c r="Q387" s="2"/>
      <c r="R387" s="2"/>
      <c r="S387" s="2"/>
      <c r="T387" s="2"/>
      <c r="U387" s="2"/>
      <c r="V387" s="2"/>
      <c r="W387" s="2"/>
      <c r="X387" s="2"/>
      <c r="Y387" s="2"/>
      <c r="Z387" s="2"/>
      <c r="AA387" s="2"/>
      <c r="AB387" s="2"/>
    </row>
    <row r="388" spans="1:28" ht="14.25" customHeight="1">
      <c r="A388" s="24"/>
      <c r="B388" s="2"/>
      <c r="C388" s="2"/>
      <c r="D388" s="57"/>
      <c r="E388" s="57"/>
      <c r="F388" s="2"/>
      <c r="G388" s="2"/>
      <c r="H388" s="2"/>
      <c r="I388" s="2"/>
      <c r="J388" s="2"/>
      <c r="K388" s="57"/>
      <c r="L388" s="58"/>
      <c r="M388" s="2"/>
      <c r="N388" s="2"/>
      <c r="O388" s="2"/>
      <c r="P388" s="2"/>
      <c r="Q388" s="2"/>
      <c r="R388" s="2"/>
      <c r="S388" s="2"/>
      <c r="T388" s="2"/>
      <c r="U388" s="2"/>
      <c r="V388" s="2"/>
      <c r="W388" s="2"/>
      <c r="X388" s="2"/>
      <c r="Y388" s="2"/>
      <c r="Z388" s="2"/>
      <c r="AA388" s="2"/>
      <c r="AB388" s="2"/>
    </row>
    <row r="389" spans="1:28" ht="14.25" customHeight="1">
      <c r="A389" s="24"/>
      <c r="B389" s="2"/>
      <c r="C389" s="2"/>
      <c r="D389" s="57"/>
      <c r="E389" s="57"/>
      <c r="F389" s="2"/>
      <c r="G389" s="2"/>
      <c r="H389" s="2"/>
      <c r="I389" s="2"/>
      <c r="J389" s="2"/>
      <c r="K389" s="57"/>
      <c r="L389" s="58"/>
      <c r="M389" s="2"/>
      <c r="N389" s="2"/>
      <c r="O389" s="2"/>
      <c r="P389" s="2"/>
      <c r="Q389" s="2"/>
      <c r="R389" s="2"/>
      <c r="S389" s="2"/>
      <c r="T389" s="2"/>
      <c r="U389" s="2"/>
      <c r="V389" s="2"/>
      <c r="W389" s="2"/>
      <c r="X389" s="2"/>
      <c r="Y389" s="2"/>
      <c r="Z389" s="2"/>
      <c r="AA389" s="2"/>
      <c r="AB389" s="2"/>
    </row>
    <row r="390" spans="1:28" ht="14.25" customHeight="1">
      <c r="A390" s="24"/>
      <c r="B390" s="2"/>
      <c r="C390" s="2"/>
      <c r="D390" s="57"/>
      <c r="E390" s="57"/>
      <c r="F390" s="2"/>
      <c r="G390" s="2"/>
      <c r="H390" s="2"/>
      <c r="I390" s="2"/>
      <c r="J390" s="2"/>
      <c r="K390" s="57"/>
      <c r="L390" s="58"/>
      <c r="M390" s="2"/>
      <c r="N390" s="2"/>
      <c r="O390" s="2"/>
      <c r="P390" s="2"/>
      <c r="Q390" s="2"/>
      <c r="R390" s="2"/>
      <c r="S390" s="2"/>
      <c r="T390" s="2"/>
      <c r="U390" s="2"/>
      <c r="V390" s="2"/>
      <c r="W390" s="2"/>
      <c r="X390" s="2"/>
      <c r="Y390" s="2"/>
      <c r="Z390" s="2"/>
      <c r="AA390" s="2"/>
      <c r="AB390" s="2"/>
    </row>
    <row r="391" spans="1:28" ht="14.25" customHeight="1">
      <c r="A391" s="24"/>
      <c r="B391" s="2"/>
      <c r="C391" s="2"/>
      <c r="D391" s="57"/>
      <c r="E391" s="57"/>
      <c r="F391" s="2"/>
      <c r="G391" s="2"/>
      <c r="H391" s="2"/>
      <c r="I391" s="2"/>
      <c r="J391" s="2"/>
      <c r="K391" s="57"/>
      <c r="L391" s="58"/>
      <c r="M391" s="2"/>
      <c r="N391" s="2"/>
      <c r="O391" s="2"/>
      <c r="P391" s="2"/>
      <c r="Q391" s="2"/>
      <c r="R391" s="2"/>
      <c r="S391" s="2"/>
      <c r="T391" s="2"/>
      <c r="U391" s="2"/>
      <c r="V391" s="2"/>
      <c r="W391" s="2"/>
      <c r="X391" s="2"/>
      <c r="Y391" s="2"/>
      <c r="Z391" s="2"/>
      <c r="AA391" s="2"/>
      <c r="AB391" s="2"/>
    </row>
    <row r="392" spans="1:28" ht="14.25" customHeight="1">
      <c r="A392" s="24"/>
      <c r="B392" s="2"/>
      <c r="C392" s="2"/>
      <c r="D392" s="57"/>
      <c r="E392" s="57"/>
      <c r="F392" s="2"/>
      <c r="G392" s="2"/>
      <c r="H392" s="2"/>
      <c r="I392" s="2"/>
      <c r="J392" s="2"/>
      <c r="K392" s="57"/>
      <c r="L392" s="58"/>
      <c r="M392" s="2"/>
      <c r="N392" s="2"/>
      <c r="O392" s="2"/>
      <c r="P392" s="2"/>
      <c r="Q392" s="2"/>
      <c r="R392" s="2"/>
      <c r="S392" s="2"/>
      <c r="T392" s="2"/>
      <c r="U392" s="2"/>
      <c r="V392" s="2"/>
      <c r="W392" s="2"/>
      <c r="X392" s="2"/>
      <c r="Y392" s="2"/>
      <c r="Z392" s="2"/>
      <c r="AA392" s="2"/>
      <c r="AB392" s="2"/>
    </row>
    <row r="393" spans="1:28" ht="14.25" customHeight="1">
      <c r="A393" s="24"/>
      <c r="B393" s="2"/>
      <c r="C393" s="2"/>
      <c r="D393" s="57"/>
      <c r="E393" s="57"/>
      <c r="F393" s="2"/>
      <c r="G393" s="2"/>
      <c r="H393" s="2"/>
      <c r="I393" s="2"/>
      <c r="J393" s="2"/>
      <c r="K393" s="57"/>
      <c r="L393" s="58"/>
      <c r="M393" s="2"/>
      <c r="N393" s="2"/>
      <c r="O393" s="2"/>
      <c r="P393" s="2"/>
      <c r="Q393" s="2"/>
      <c r="R393" s="2"/>
      <c r="S393" s="2"/>
      <c r="T393" s="2"/>
      <c r="U393" s="2"/>
      <c r="V393" s="2"/>
      <c r="W393" s="2"/>
      <c r="X393" s="2"/>
      <c r="Y393" s="2"/>
      <c r="Z393" s="2"/>
      <c r="AA393" s="2"/>
      <c r="AB393" s="2"/>
    </row>
    <row r="394" spans="1:28" ht="14.25" customHeight="1">
      <c r="A394" s="24"/>
      <c r="B394" s="2"/>
      <c r="C394" s="2"/>
      <c r="D394" s="57"/>
      <c r="E394" s="57"/>
      <c r="F394" s="2"/>
      <c r="G394" s="2"/>
      <c r="H394" s="2"/>
      <c r="I394" s="2"/>
      <c r="J394" s="2"/>
      <c r="K394" s="57"/>
      <c r="L394" s="58"/>
      <c r="M394" s="2"/>
      <c r="N394" s="2"/>
      <c r="O394" s="2"/>
      <c r="P394" s="2"/>
      <c r="Q394" s="2"/>
      <c r="R394" s="2"/>
      <c r="S394" s="2"/>
      <c r="T394" s="2"/>
      <c r="U394" s="2"/>
      <c r="V394" s="2"/>
      <c r="W394" s="2"/>
      <c r="X394" s="2"/>
      <c r="Y394" s="2"/>
      <c r="Z394" s="2"/>
      <c r="AA394" s="2"/>
      <c r="AB394" s="2"/>
    </row>
    <row r="395" spans="1:28" ht="14.25" customHeight="1">
      <c r="A395" s="24"/>
      <c r="B395" s="2"/>
      <c r="C395" s="2"/>
      <c r="D395" s="57"/>
      <c r="E395" s="57"/>
      <c r="F395" s="2"/>
      <c r="G395" s="2"/>
      <c r="H395" s="2"/>
      <c r="I395" s="2"/>
      <c r="J395" s="2"/>
      <c r="K395" s="57"/>
      <c r="L395" s="58"/>
      <c r="M395" s="2"/>
      <c r="N395" s="2"/>
      <c r="O395" s="2"/>
      <c r="P395" s="2"/>
      <c r="Q395" s="2"/>
      <c r="R395" s="2"/>
      <c r="S395" s="2"/>
      <c r="T395" s="2"/>
      <c r="U395" s="2"/>
      <c r="V395" s="2"/>
      <c r="W395" s="2"/>
      <c r="X395" s="2"/>
      <c r="Y395" s="2"/>
      <c r="Z395" s="2"/>
      <c r="AA395" s="2"/>
      <c r="AB395" s="2"/>
    </row>
    <row r="396" spans="1:28" ht="14.25" customHeight="1">
      <c r="A396" s="24"/>
      <c r="B396" s="2"/>
      <c r="C396" s="2"/>
      <c r="D396" s="57"/>
      <c r="E396" s="57"/>
      <c r="F396" s="2"/>
      <c r="G396" s="2"/>
      <c r="H396" s="2"/>
      <c r="I396" s="2"/>
      <c r="J396" s="2"/>
      <c r="K396" s="57"/>
      <c r="L396" s="58"/>
      <c r="M396" s="2"/>
      <c r="N396" s="2"/>
      <c r="O396" s="2"/>
      <c r="P396" s="2"/>
      <c r="Q396" s="2"/>
      <c r="R396" s="2"/>
      <c r="S396" s="2"/>
      <c r="T396" s="2"/>
      <c r="U396" s="2"/>
      <c r="V396" s="2"/>
      <c r="W396" s="2"/>
      <c r="X396" s="2"/>
      <c r="Y396" s="2"/>
      <c r="Z396" s="2"/>
      <c r="AA396" s="2"/>
      <c r="AB396" s="2"/>
    </row>
    <row r="397" spans="1:28" ht="14.25" customHeight="1">
      <c r="A397" s="24"/>
      <c r="B397" s="2"/>
      <c r="C397" s="2"/>
      <c r="D397" s="57"/>
      <c r="E397" s="57"/>
      <c r="F397" s="2"/>
      <c r="G397" s="2"/>
      <c r="H397" s="2"/>
      <c r="I397" s="2"/>
      <c r="J397" s="2"/>
      <c r="K397" s="57"/>
      <c r="L397" s="58"/>
      <c r="M397" s="2"/>
      <c r="N397" s="2"/>
      <c r="O397" s="2"/>
      <c r="P397" s="2"/>
      <c r="Q397" s="2"/>
      <c r="R397" s="2"/>
      <c r="S397" s="2"/>
      <c r="T397" s="2"/>
      <c r="U397" s="2"/>
      <c r="V397" s="2"/>
      <c r="W397" s="2"/>
      <c r="X397" s="2"/>
      <c r="Y397" s="2"/>
      <c r="Z397" s="2"/>
      <c r="AA397" s="2"/>
      <c r="AB397" s="2"/>
    </row>
    <row r="398" spans="1:28" ht="14.25" customHeight="1">
      <c r="A398" s="24"/>
      <c r="B398" s="2"/>
      <c r="C398" s="2"/>
      <c r="D398" s="57"/>
      <c r="E398" s="57"/>
      <c r="F398" s="2"/>
      <c r="G398" s="2"/>
      <c r="H398" s="2"/>
      <c r="I398" s="2"/>
      <c r="J398" s="2"/>
      <c r="K398" s="57"/>
      <c r="L398" s="58"/>
      <c r="M398" s="2"/>
      <c r="N398" s="2"/>
      <c r="O398" s="2"/>
      <c r="P398" s="2"/>
      <c r="Q398" s="2"/>
      <c r="R398" s="2"/>
      <c r="S398" s="2"/>
      <c r="T398" s="2"/>
      <c r="U398" s="2"/>
      <c r="V398" s="2"/>
      <c r="W398" s="2"/>
      <c r="X398" s="2"/>
      <c r="Y398" s="2"/>
      <c r="Z398" s="2"/>
      <c r="AA398" s="2"/>
      <c r="AB398" s="2"/>
    </row>
    <row r="399" spans="1:28" ht="14.25" customHeight="1">
      <c r="A399" s="24"/>
      <c r="B399" s="2"/>
      <c r="C399" s="2"/>
      <c r="D399" s="57"/>
      <c r="E399" s="57"/>
      <c r="F399" s="2"/>
      <c r="G399" s="2"/>
      <c r="H399" s="2"/>
      <c r="I399" s="2"/>
      <c r="J399" s="2"/>
      <c r="K399" s="57"/>
      <c r="L399" s="58"/>
      <c r="M399" s="2"/>
      <c r="N399" s="2"/>
      <c r="O399" s="2"/>
      <c r="P399" s="2"/>
      <c r="Q399" s="2"/>
      <c r="R399" s="2"/>
      <c r="S399" s="2"/>
      <c r="T399" s="2"/>
      <c r="U399" s="2"/>
      <c r="V399" s="2"/>
      <c r="W399" s="2"/>
      <c r="X399" s="2"/>
      <c r="Y399" s="2"/>
      <c r="Z399" s="2"/>
      <c r="AA399" s="2"/>
      <c r="AB399" s="2"/>
    </row>
    <row r="400" spans="1:28" ht="14.25" customHeight="1">
      <c r="A400" s="24"/>
      <c r="B400" s="2"/>
      <c r="C400" s="2"/>
      <c r="D400" s="57"/>
      <c r="E400" s="57"/>
      <c r="F400" s="2"/>
      <c r="G400" s="2"/>
      <c r="H400" s="2"/>
      <c r="I400" s="2"/>
      <c r="J400" s="2"/>
      <c r="K400" s="57"/>
      <c r="L400" s="58"/>
      <c r="M400" s="2"/>
      <c r="N400" s="2"/>
      <c r="O400" s="2"/>
      <c r="P400" s="2"/>
      <c r="Q400" s="2"/>
      <c r="R400" s="2"/>
      <c r="S400" s="2"/>
      <c r="T400" s="2"/>
      <c r="U400" s="2"/>
      <c r="V400" s="2"/>
      <c r="W400" s="2"/>
      <c r="X400" s="2"/>
      <c r="Y400" s="2"/>
      <c r="Z400" s="2"/>
      <c r="AA400" s="2"/>
      <c r="AB400" s="2"/>
    </row>
    <row r="401" spans="1:28" ht="14.25" customHeight="1">
      <c r="A401" s="24"/>
      <c r="B401" s="2"/>
      <c r="C401" s="2"/>
      <c r="D401" s="57"/>
      <c r="E401" s="57"/>
      <c r="F401" s="2"/>
      <c r="G401" s="2"/>
      <c r="H401" s="2"/>
      <c r="I401" s="2"/>
      <c r="J401" s="2"/>
      <c r="K401" s="57"/>
      <c r="L401" s="58"/>
      <c r="M401" s="2"/>
      <c r="N401" s="2"/>
      <c r="O401" s="2"/>
      <c r="P401" s="2"/>
      <c r="Q401" s="2"/>
      <c r="R401" s="2"/>
      <c r="S401" s="2"/>
      <c r="T401" s="2"/>
      <c r="U401" s="2"/>
      <c r="V401" s="2"/>
      <c r="W401" s="2"/>
      <c r="X401" s="2"/>
      <c r="Y401" s="2"/>
      <c r="Z401" s="2"/>
      <c r="AA401" s="2"/>
      <c r="AB401" s="2"/>
    </row>
    <row r="402" spans="1:28" ht="14.25" customHeight="1">
      <c r="A402" s="24"/>
      <c r="B402" s="2"/>
      <c r="C402" s="2"/>
      <c r="D402" s="57"/>
      <c r="E402" s="57"/>
      <c r="F402" s="2"/>
      <c r="G402" s="2"/>
      <c r="H402" s="2"/>
      <c r="I402" s="2"/>
      <c r="J402" s="2"/>
      <c r="K402" s="57"/>
      <c r="L402" s="58"/>
      <c r="M402" s="2"/>
      <c r="N402" s="2"/>
      <c r="O402" s="2"/>
      <c r="P402" s="2"/>
      <c r="Q402" s="2"/>
      <c r="R402" s="2"/>
      <c r="S402" s="2"/>
      <c r="T402" s="2"/>
      <c r="U402" s="2"/>
      <c r="V402" s="2"/>
      <c r="W402" s="2"/>
      <c r="X402" s="2"/>
      <c r="Y402" s="2"/>
      <c r="Z402" s="2"/>
      <c r="AA402" s="2"/>
      <c r="AB402" s="2"/>
    </row>
    <row r="403" spans="1:28" ht="14.25" customHeight="1">
      <c r="A403" s="24"/>
      <c r="B403" s="2"/>
      <c r="C403" s="2"/>
      <c r="D403" s="57"/>
      <c r="E403" s="57"/>
      <c r="F403" s="2"/>
      <c r="G403" s="2"/>
      <c r="H403" s="2"/>
      <c r="I403" s="2"/>
      <c r="J403" s="2"/>
      <c r="K403" s="57"/>
      <c r="L403" s="58"/>
      <c r="M403" s="2"/>
      <c r="N403" s="2"/>
      <c r="O403" s="2"/>
      <c r="P403" s="2"/>
      <c r="Q403" s="2"/>
      <c r="R403" s="2"/>
      <c r="S403" s="2"/>
      <c r="T403" s="2"/>
      <c r="U403" s="2"/>
      <c r="V403" s="2"/>
      <c r="W403" s="2"/>
      <c r="X403" s="2"/>
      <c r="Y403" s="2"/>
      <c r="Z403" s="2"/>
      <c r="AA403" s="2"/>
      <c r="AB403" s="2"/>
    </row>
    <row r="404" spans="1:28" ht="14.25" customHeight="1">
      <c r="A404" s="24"/>
      <c r="B404" s="2"/>
      <c r="C404" s="2"/>
      <c r="D404" s="57"/>
      <c r="E404" s="57"/>
      <c r="F404" s="2"/>
      <c r="G404" s="2"/>
      <c r="H404" s="2"/>
      <c r="I404" s="2"/>
      <c r="J404" s="2"/>
      <c r="K404" s="57"/>
      <c r="L404" s="58"/>
      <c r="M404" s="2"/>
      <c r="N404" s="2"/>
      <c r="O404" s="2"/>
      <c r="P404" s="2"/>
      <c r="Q404" s="2"/>
      <c r="R404" s="2"/>
      <c r="S404" s="2"/>
      <c r="T404" s="2"/>
      <c r="U404" s="2"/>
      <c r="V404" s="2"/>
      <c r="W404" s="2"/>
      <c r="X404" s="2"/>
      <c r="Y404" s="2"/>
      <c r="Z404" s="2"/>
      <c r="AA404" s="2"/>
      <c r="AB404" s="2"/>
    </row>
    <row r="405" spans="1:28" ht="14.25" customHeight="1">
      <c r="A405" s="24"/>
      <c r="B405" s="2"/>
      <c r="C405" s="2"/>
      <c r="D405" s="57"/>
      <c r="E405" s="57"/>
      <c r="F405" s="2"/>
      <c r="G405" s="2"/>
      <c r="H405" s="2"/>
      <c r="I405" s="2"/>
      <c r="J405" s="2"/>
      <c r="K405" s="57"/>
      <c r="L405" s="58"/>
      <c r="M405" s="2"/>
      <c r="N405" s="2"/>
      <c r="O405" s="2"/>
      <c r="P405" s="2"/>
      <c r="Q405" s="2"/>
      <c r="R405" s="2"/>
      <c r="S405" s="2"/>
      <c r="T405" s="2"/>
      <c r="U405" s="2"/>
      <c r="V405" s="2"/>
      <c r="W405" s="2"/>
      <c r="X405" s="2"/>
      <c r="Y405" s="2"/>
      <c r="Z405" s="2"/>
      <c r="AA405" s="2"/>
      <c r="AB405" s="2"/>
    </row>
    <row r="406" spans="1:28" ht="14.25" customHeight="1">
      <c r="A406" s="24"/>
      <c r="B406" s="2"/>
      <c r="C406" s="2"/>
      <c r="D406" s="57"/>
      <c r="E406" s="57"/>
      <c r="F406" s="2"/>
      <c r="G406" s="2"/>
      <c r="H406" s="2"/>
      <c r="I406" s="2"/>
      <c r="J406" s="2"/>
      <c r="K406" s="57"/>
      <c r="L406" s="58"/>
      <c r="M406" s="2"/>
      <c r="N406" s="2"/>
      <c r="O406" s="2"/>
      <c r="P406" s="2"/>
      <c r="Q406" s="2"/>
      <c r="R406" s="2"/>
      <c r="S406" s="2"/>
      <c r="T406" s="2"/>
      <c r="U406" s="2"/>
      <c r="V406" s="2"/>
      <c r="W406" s="2"/>
      <c r="X406" s="2"/>
      <c r="Y406" s="2"/>
      <c r="Z406" s="2"/>
      <c r="AA406" s="2"/>
      <c r="AB406" s="2"/>
    </row>
    <row r="407" spans="1:28" ht="14.25" customHeight="1">
      <c r="A407" s="24"/>
      <c r="B407" s="2"/>
      <c r="C407" s="2"/>
      <c r="D407" s="57"/>
      <c r="E407" s="57"/>
      <c r="F407" s="2"/>
      <c r="G407" s="2"/>
      <c r="H407" s="2"/>
      <c r="I407" s="2"/>
      <c r="J407" s="2"/>
      <c r="K407" s="57"/>
      <c r="L407" s="58"/>
      <c r="M407" s="2"/>
      <c r="N407" s="2"/>
      <c r="O407" s="2"/>
      <c r="P407" s="2"/>
      <c r="Q407" s="2"/>
      <c r="R407" s="2"/>
      <c r="S407" s="2"/>
      <c r="T407" s="2"/>
      <c r="U407" s="2"/>
      <c r="V407" s="2"/>
      <c r="W407" s="2"/>
      <c r="X407" s="2"/>
      <c r="Y407" s="2"/>
      <c r="Z407" s="2"/>
      <c r="AA407" s="2"/>
      <c r="AB407" s="2"/>
    </row>
    <row r="408" spans="1:28" ht="14.25" customHeight="1">
      <c r="A408" s="24"/>
      <c r="B408" s="2"/>
      <c r="C408" s="2"/>
      <c r="D408" s="57"/>
      <c r="E408" s="57"/>
      <c r="F408" s="2"/>
      <c r="G408" s="2"/>
      <c r="H408" s="2"/>
      <c r="I408" s="2"/>
      <c r="J408" s="2"/>
      <c r="K408" s="57"/>
      <c r="L408" s="58"/>
      <c r="M408" s="2"/>
      <c r="N408" s="2"/>
      <c r="O408" s="2"/>
      <c r="P408" s="2"/>
      <c r="Q408" s="2"/>
      <c r="R408" s="2"/>
      <c r="S408" s="2"/>
      <c r="T408" s="2"/>
      <c r="U408" s="2"/>
      <c r="V408" s="2"/>
      <c r="W408" s="2"/>
      <c r="X408" s="2"/>
      <c r="Y408" s="2"/>
      <c r="Z408" s="2"/>
      <c r="AA408" s="2"/>
      <c r="AB408" s="2"/>
    </row>
    <row r="409" spans="1:28" ht="14.25" customHeight="1">
      <c r="A409" s="24"/>
      <c r="B409" s="2"/>
      <c r="C409" s="2"/>
      <c r="D409" s="57"/>
      <c r="E409" s="57"/>
      <c r="F409" s="2"/>
      <c r="G409" s="2"/>
      <c r="H409" s="2"/>
      <c r="I409" s="2"/>
      <c r="J409" s="2"/>
      <c r="K409" s="57"/>
      <c r="L409" s="58"/>
      <c r="M409" s="2"/>
      <c r="N409" s="2"/>
      <c r="O409" s="2"/>
      <c r="P409" s="2"/>
      <c r="Q409" s="2"/>
      <c r="R409" s="2"/>
      <c r="S409" s="2"/>
      <c r="T409" s="2"/>
      <c r="U409" s="2"/>
      <c r="V409" s="2"/>
      <c r="W409" s="2"/>
      <c r="X409" s="2"/>
      <c r="Y409" s="2"/>
      <c r="Z409" s="2"/>
      <c r="AA409" s="2"/>
      <c r="AB409" s="2"/>
    </row>
    <row r="410" spans="1:28" ht="14.25" customHeight="1">
      <c r="A410" s="24"/>
      <c r="B410" s="2"/>
      <c r="C410" s="2"/>
      <c r="D410" s="57"/>
      <c r="E410" s="57"/>
      <c r="F410" s="2"/>
      <c r="G410" s="2"/>
      <c r="H410" s="2"/>
      <c r="I410" s="2"/>
      <c r="J410" s="2"/>
      <c r="K410" s="57"/>
      <c r="L410" s="58"/>
      <c r="M410" s="2"/>
      <c r="N410" s="2"/>
      <c r="O410" s="2"/>
      <c r="P410" s="2"/>
      <c r="Q410" s="2"/>
      <c r="R410" s="2"/>
      <c r="S410" s="2"/>
      <c r="T410" s="2"/>
      <c r="U410" s="2"/>
      <c r="V410" s="2"/>
      <c r="W410" s="2"/>
      <c r="X410" s="2"/>
      <c r="Y410" s="2"/>
      <c r="Z410" s="2"/>
      <c r="AA410" s="2"/>
      <c r="AB410" s="2"/>
    </row>
    <row r="411" spans="1:28" ht="14.25" customHeight="1">
      <c r="A411" s="24"/>
      <c r="B411" s="2"/>
      <c r="C411" s="2"/>
      <c r="D411" s="57"/>
      <c r="E411" s="57"/>
      <c r="F411" s="2"/>
      <c r="G411" s="2"/>
      <c r="H411" s="2"/>
      <c r="I411" s="2"/>
      <c r="J411" s="2"/>
      <c r="K411" s="57"/>
      <c r="L411" s="58"/>
      <c r="M411" s="2"/>
      <c r="N411" s="2"/>
      <c r="O411" s="2"/>
      <c r="P411" s="2"/>
      <c r="Q411" s="2"/>
      <c r="R411" s="2"/>
      <c r="S411" s="2"/>
      <c r="T411" s="2"/>
      <c r="U411" s="2"/>
      <c r="V411" s="2"/>
      <c r="W411" s="2"/>
      <c r="X411" s="2"/>
      <c r="Y411" s="2"/>
      <c r="Z411" s="2"/>
      <c r="AA411" s="2"/>
      <c r="AB411" s="2"/>
    </row>
    <row r="412" spans="1:28" ht="15.75" customHeight="1">
      <c r="A412" s="59"/>
      <c r="D412" s="60"/>
      <c r="E412" s="60"/>
      <c r="K412" s="60"/>
      <c r="L412" s="61"/>
    </row>
    <row r="413" spans="1:28" ht="15.75" customHeight="1">
      <c r="A413" s="59"/>
      <c r="D413" s="60"/>
      <c r="E413" s="60"/>
      <c r="K413" s="60"/>
      <c r="L413" s="61"/>
    </row>
    <row r="414" spans="1:28" ht="15.75" customHeight="1">
      <c r="A414" s="59"/>
      <c r="D414" s="60"/>
      <c r="E414" s="60"/>
      <c r="K414" s="60"/>
      <c r="L414" s="61"/>
    </row>
    <row r="415" spans="1:28" ht="15.75" customHeight="1">
      <c r="A415" s="59"/>
      <c r="D415" s="60"/>
      <c r="E415" s="60"/>
      <c r="K415" s="60"/>
      <c r="L415" s="61"/>
    </row>
    <row r="416" spans="1:28" ht="15.75" customHeight="1">
      <c r="A416" s="59"/>
      <c r="D416" s="60"/>
      <c r="E416" s="60"/>
      <c r="K416" s="60"/>
      <c r="L416" s="61"/>
    </row>
    <row r="417" spans="1:12" ht="15.75" customHeight="1">
      <c r="A417" s="59"/>
      <c r="D417" s="60"/>
      <c r="E417" s="60"/>
      <c r="K417" s="60"/>
      <c r="L417" s="61"/>
    </row>
    <row r="418" spans="1:12" ht="15.75" customHeight="1">
      <c r="A418" s="59"/>
      <c r="D418" s="60"/>
      <c r="E418" s="60"/>
      <c r="K418" s="60"/>
      <c r="L418" s="61"/>
    </row>
    <row r="419" spans="1:12" ht="15.75" customHeight="1">
      <c r="A419" s="59"/>
      <c r="D419" s="60"/>
      <c r="E419" s="60"/>
      <c r="K419" s="60"/>
      <c r="L419" s="61"/>
    </row>
    <row r="420" spans="1:12" ht="15.75" customHeight="1">
      <c r="A420" s="59"/>
      <c r="D420" s="60"/>
      <c r="E420" s="60"/>
      <c r="K420" s="60"/>
      <c r="L420" s="61"/>
    </row>
    <row r="421" spans="1:12" ht="15.75" customHeight="1">
      <c r="A421" s="59"/>
      <c r="D421" s="60"/>
      <c r="E421" s="60"/>
      <c r="K421" s="60"/>
      <c r="L421" s="61"/>
    </row>
    <row r="422" spans="1:12" ht="15.75" customHeight="1">
      <c r="A422" s="59"/>
      <c r="D422" s="60"/>
      <c r="E422" s="60"/>
      <c r="K422" s="60"/>
      <c r="L422" s="61"/>
    </row>
    <row r="423" spans="1:12" ht="15.75" customHeight="1">
      <c r="A423" s="59"/>
      <c r="D423" s="60"/>
      <c r="E423" s="60"/>
      <c r="K423" s="60"/>
      <c r="L423" s="61"/>
    </row>
    <row r="424" spans="1:12" ht="15.75" customHeight="1">
      <c r="A424" s="59"/>
      <c r="D424" s="60"/>
      <c r="E424" s="60"/>
      <c r="K424" s="60"/>
      <c r="L424" s="61"/>
    </row>
    <row r="425" spans="1:12" ht="15.75" customHeight="1">
      <c r="A425" s="59"/>
      <c r="D425" s="60"/>
      <c r="E425" s="60"/>
      <c r="K425" s="60"/>
      <c r="L425" s="61"/>
    </row>
    <row r="426" spans="1:12" ht="15.75" customHeight="1">
      <c r="A426" s="59"/>
      <c r="D426" s="60"/>
      <c r="E426" s="60"/>
      <c r="K426" s="60"/>
      <c r="L426" s="61"/>
    </row>
    <row r="427" spans="1:12" ht="15.75" customHeight="1">
      <c r="A427" s="59"/>
      <c r="D427" s="60"/>
      <c r="E427" s="60"/>
      <c r="K427" s="60"/>
      <c r="L427" s="61"/>
    </row>
    <row r="428" spans="1:12" ht="15.75" customHeight="1">
      <c r="A428" s="59"/>
      <c r="D428" s="60"/>
      <c r="E428" s="60"/>
      <c r="K428" s="60"/>
      <c r="L428" s="61"/>
    </row>
    <row r="429" spans="1:12" ht="15.75" customHeight="1">
      <c r="A429" s="59"/>
      <c r="D429" s="60"/>
      <c r="E429" s="60"/>
      <c r="K429" s="60"/>
      <c r="L429" s="61"/>
    </row>
    <row r="430" spans="1:12" ht="15.75" customHeight="1">
      <c r="A430" s="59"/>
      <c r="D430" s="60"/>
      <c r="E430" s="60"/>
      <c r="K430" s="60"/>
      <c r="L430" s="61"/>
    </row>
    <row r="431" spans="1:12" ht="15.75" customHeight="1">
      <c r="A431" s="59"/>
      <c r="D431" s="60"/>
      <c r="E431" s="60"/>
      <c r="K431" s="60"/>
      <c r="L431" s="61"/>
    </row>
    <row r="432" spans="1:12" ht="15.75" customHeight="1">
      <c r="A432" s="59"/>
      <c r="D432" s="60"/>
      <c r="E432" s="60"/>
      <c r="K432" s="60"/>
      <c r="L432" s="61"/>
    </row>
    <row r="433" spans="1:12" ht="15.75" customHeight="1">
      <c r="A433" s="59"/>
      <c r="D433" s="60"/>
      <c r="E433" s="60"/>
      <c r="K433" s="60"/>
      <c r="L433" s="61"/>
    </row>
    <row r="434" spans="1:12" ht="15.75" customHeight="1">
      <c r="A434" s="59"/>
      <c r="D434" s="60"/>
      <c r="E434" s="60"/>
      <c r="K434" s="60"/>
      <c r="L434" s="61"/>
    </row>
    <row r="435" spans="1:12" ht="15.75" customHeight="1">
      <c r="A435" s="59"/>
      <c r="D435" s="60"/>
      <c r="E435" s="60"/>
      <c r="K435" s="60"/>
      <c r="L435" s="61"/>
    </row>
    <row r="436" spans="1:12" ht="15.75" customHeight="1">
      <c r="A436" s="59"/>
      <c r="D436" s="60"/>
      <c r="E436" s="60"/>
      <c r="K436" s="60"/>
      <c r="L436" s="61"/>
    </row>
    <row r="437" spans="1:12" ht="15.75" customHeight="1">
      <c r="A437" s="59"/>
      <c r="D437" s="60"/>
      <c r="E437" s="60"/>
      <c r="K437" s="60"/>
      <c r="L437" s="61"/>
    </row>
    <row r="438" spans="1:12" ht="15.75" customHeight="1">
      <c r="A438" s="59"/>
      <c r="D438" s="60"/>
      <c r="E438" s="60"/>
      <c r="K438" s="60"/>
      <c r="L438" s="61"/>
    </row>
    <row r="439" spans="1:12" ht="15.75" customHeight="1">
      <c r="A439" s="59"/>
      <c r="D439" s="60"/>
      <c r="E439" s="60"/>
      <c r="K439" s="60"/>
      <c r="L439" s="61"/>
    </row>
    <row r="440" spans="1:12" ht="15.75" customHeight="1">
      <c r="A440" s="59"/>
      <c r="D440" s="60"/>
      <c r="E440" s="60"/>
      <c r="K440" s="60"/>
      <c r="L440" s="61"/>
    </row>
    <row r="441" spans="1:12" ht="15.75" customHeight="1">
      <c r="A441" s="59"/>
      <c r="D441" s="60"/>
      <c r="E441" s="60"/>
      <c r="K441" s="60"/>
      <c r="L441" s="61"/>
    </row>
    <row r="442" spans="1:12" ht="15.75" customHeight="1">
      <c r="A442" s="59"/>
      <c r="D442" s="60"/>
      <c r="E442" s="60"/>
      <c r="K442" s="60"/>
      <c r="L442" s="61"/>
    </row>
    <row r="443" spans="1:12" ht="15.75" customHeight="1">
      <c r="A443" s="59"/>
      <c r="D443" s="60"/>
      <c r="E443" s="60"/>
      <c r="K443" s="60"/>
      <c r="L443" s="61"/>
    </row>
    <row r="444" spans="1:12" ht="15.75" customHeight="1">
      <c r="A444" s="59"/>
      <c r="D444" s="60"/>
      <c r="E444" s="60"/>
      <c r="K444" s="60"/>
      <c r="L444" s="61"/>
    </row>
    <row r="445" spans="1:12" ht="15.75" customHeight="1">
      <c r="A445" s="59"/>
      <c r="D445" s="60"/>
      <c r="E445" s="60"/>
      <c r="K445" s="60"/>
      <c r="L445" s="61"/>
    </row>
    <row r="446" spans="1:12" ht="15.75" customHeight="1">
      <c r="A446" s="59"/>
      <c r="D446" s="60"/>
      <c r="E446" s="60"/>
      <c r="K446" s="60"/>
      <c r="L446" s="61"/>
    </row>
    <row r="447" spans="1:12" ht="15.75" customHeight="1">
      <c r="A447" s="59"/>
      <c r="D447" s="60"/>
      <c r="E447" s="60"/>
      <c r="K447" s="60"/>
      <c r="L447" s="61"/>
    </row>
    <row r="448" spans="1:12" ht="15.75" customHeight="1">
      <c r="A448" s="59"/>
      <c r="D448" s="60"/>
      <c r="E448" s="60"/>
      <c r="K448" s="60"/>
      <c r="L448" s="61"/>
    </row>
    <row r="449" spans="1:12" ht="15.75" customHeight="1">
      <c r="A449" s="59"/>
      <c r="D449" s="60"/>
      <c r="E449" s="60"/>
      <c r="K449" s="60"/>
      <c r="L449" s="61"/>
    </row>
    <row r="450" spans="1:12" ht="15.75" customHeight="1">
      <c r="A450" s="59"/>
      <c r="D450" s="60"/>
      <c r="E450" s="60"/>
      <c r="K450" s="60"/>
      <c r="L450" s="61"/>
    </row>
    <row r="451" spans="1:12" ht="15.75" customHeight="1">
      <c r="A451" s="59"/>
      <c r="D451" s="60"/>
      <c r="E451" s="60"/>
      <c r="K451" s="60"/>
      <c r="L451" s="61"/>
    </row>
    <row r="452" spans="1:12" ht="15.75" customHeight="1">
      <c r="A452" s="59"/>
      <c r="D452" s="60"/>
      <c r="E452" s="60"/>
      <c r="K452" s="60"/>
      <c r="L452" s="61"/>
    </row>
    <row r="453" spans="1:12" ht="15.75" customHeight="1">
      <c r="A453" s="59"/>
      <c r="D453" s="60"/>
      <c r="E453" s="60"/>
      <c r="K453" s="60"/>
      <c r="L453" s="61"/>
    </row>
    <row r="454" spans="1:12" ht="15.75" customHeight="1">
      <c r="A454" s="59"/>
      <c r="D454" s="60"/>
      <c r="E454" s="60"/>
      <c r="K454" s="60"/>
      <c r="L454" s="61"/>
    </row>
    <row r="455" spans="1:12" ht="15.75" customHeight="1">
      <c r="A455" s="59"/>
      <c r="D455" s="60"/>
      <c r="E455" s="60"/>
      <c r="K455" s="60"/>
      <c r="L455" s="61"/>
    </row>
    <row r="456" spans="1:12" ht="15.75" customHeight="1">
      <c r="A456" s="59"/>
      <c r="D456" s="60"/>
      <c r="E456" s="60"/>
      <c r="K456" s="60"/>
      <c r="L456" s="61"/>
    </row>
    <row r="457" spans="1:12" ht="15.75" customHeight="1">
      <c r="A457" s="59"/>
      <c r="D457" s="60"/>
      <c r="E457" s="60"/>
      <c r="K457" s="60"/>
      <c r="L457" s="61"/>
    </row>
    <row r="458" spans="1:12" ht="15.75" customHeight="1">
      <c r="A458" s="59"/>
      <c r="D458" s="60"/>
      <c r="E458" s="60"/>
      <c r="K458" s="60"/>
      <c r="L458" s="61"/>
    </row>
    <row r="459" spans="1:12" ht="15.75" customHeight="1">
      <c r="A459" s="59"/>
      <c r="D459" s="60"/>
      <c r="E459" s="60"/>
      <c r="K459" s="60"/>
      <c r="L459" s="61"/>
    </row>
    <row r="460" spans="1:12" ht="15.75" customHeight="1">
      <c r="A460" s="59"/>
      <c r="D460" s="60"/>
      <c r="E460" s="60"/>
      <c r="K460" s="60"/>
      <c r="L460" s="61"/>
    </row>
    <row r="461" spans="1:12" ht="15.75" customHeight="1">
      <c r="A461" s="59"/>
      <c r="D461" s="60"/>
      <c r="E461" s="60"/>
      <c r="K461" s="60"/>
      <c r="L461" s="61"/>
    </row>
    <row r="462" spans="1:12" ht="15.75" customHeight="1">
      <c r="A462" s="59"/>
      <c r="D462" s="60"/>
      <c r="E462" s="60"/>
      <c r="K462" s="60"/>
      <c r="L462" s="61"/>
    </row>
    <row r="463" spans="1:12" ht="15.75" customHeight="1">
      <c r="A463" s="59"/>
      <c r="D463" s="60"/>
      <c r="E463" s="60"/>
      <c r="K463" s="60"/>
      <c r="L463" s="61"/>
    </row>
    <row r="464" spans="1:12" ht="15.75" customHeight="1">
      <c r="A464" s="59"/>
      <c r="D464" s="60"/>
      <c r="E464" s="60"/>
      <c r="K464" s="60"/>
      <c r="L464" s="61"/>
    </row>
    <row r="465" spans="1:12" ht="15.75" customHeight="1">
      <c r="A465" s="59"/>
      <c r="D465" s="60"/>
      <c r="E465" s="60"/>
      <c r="K465" s="60"/>
      <c r="L465" s="61"/>
    </row>
    <row r="466" spans="1:12" ht="15.75" customHeight="1">
      <c r="A466" s="59"/>
      <c r="D466" s="60"/>
      <c r="E466" s="60"/>
      <c r="K466" s="60"/>
      <c r="L466" s="61"/>
    </row>
    <row r="467" spans="1:12" ht="15.75" customHeight="1">
      <c r="A467" s="59"/>
      <c r="D467" s="60"/>
      <c r="E467" s="60"/>
      <c r="K467" s="60"/>
      <c r="L467" s="61"/>
    </row>
    <row r="468" spans="1:12" ht="15.75" customHeight="1">
      <c r="A468" s="59"/>
      <c r="D468" s="60"/>
      <c r="E468" s="60"/>
      <c r="K468" s="60"/>
      <c r="L468" s="61"/>
    </row>
    <row r="469" spans="1:12" ht="15.75" customHeight="1">
      <c r="A469" s="59"/>
      <c r="D469" s="60"/>
      <c r="E469" s="60"/>
      <c r="K469" s="60"/>
      <c r="L469" s="61"/>
    </row>
    <row r="470" spans="1:12" ht="15.75" customHeight="1">
      <c r="A470" s="59"/>
      <c r="D470" s="60"/>
      <c r="E470" s="60"/>
      <c r="K470" s="60"/>
      <c r="L470" s="61"/>
    </row>
    <row r="471" spans="1:12" ht="15.75" customHeight="1">
      <c r="A471" s="59"/>
      <c r="D471" s="60"/>
      <c r="E471" s="60"/>
      <c r="K471" s="60"/>
      <c r="L471" s="61"/>
    </row>
    <row r="472" spans="1:12" ht="15.75" customHeight="1">
      <c r="A472" s="59"/>
      <c r="D472" s="60"/>
      <c r="E472" s="60"/>
      <c r="K472" s="60"/>
      <c r="L472" s="61"/>
    </row>
    <row r="473" spans="1:12" ht="15.75" customHeight="1">
      <c r="A473" s="59"/>
      <c r="D473" s="60"/>
      <c r="E473" s="60"/>
      <c r="K473" s="60"/>
      <c r="L473" s="61"/>
    </row>
    <row r="474" spans="1:12" ht="15.75" customHeight="1">
      <c r="A474" s="59"/>
      <c r="D474" s="60"/>
      <c r="E474" s="60"/>
      <c r="K474" s="60"/>
      <c r="L474" s="61"/>
    </row>
    <row r="475" spans="1:12" ht="15.75" customHeight="1">
      <c r="A475" s="59"/>
      <c r="D475" s="60"/>
      <c r="E475" s="60"/>
      <c r="K475" s="60"/>
      <c r="L475" s="61"/>
    </row>
    <row r="476" spans="1:12" ht="15.75" customHeight="1">
      <c r="A476" s="59"/>
      <c r="D476" s="60"/>
      <c r="E476" s="60"/>
      <c r="K476" s="60"/>
      <c r="L476" s="61"/>
    </row>
    <row r="477" spans="1:12" ht="15.75" customHeight="1">
      <c r="A477" s="59"/>
      <c r="D477" s="60"/>
      <c r="E477" s="60"/>
      <c r="K477" s="60"/>
      <c r="L477" s="61"/>
    </row>
    <row r="478" spans="1:12" ht="15.75" customHeight="1">
      <c r="A478" s="59"/>
      <c r="D478" s="60"/>
      <c r="E478" s="60"/>
      <c r="K478" s="60"/>
      <c r="L478" s="61"/>
    </row>
    <row r="479" spans="1:12" ht="15.75" customHeight="1">
      <c r="A479" s="59"/>
      <c r="D479" s="60"/>
      <c r="E479" s="60"/>
      <c r="K479" s="60"/>
      <c r="L479" s="61"/>
    </row>
    <row r="480" spans="1:12" ht="15.75" customHeight="1">
      <c r="A480" s="59"/>
      <c r="D480" s="60"/>
      <c r="E480" s="60"/>
      <c r="K480" s="60"/>
      <c r="L480" s="61"/>
    </row>
    <row r="481" spans="1:12" ht="15.75" customHeight="1">
      <c r="A481" s="59"/>
      <c r="D481" s="60"/>
      <c r="E481" s="60"/>
      <c r="K481" s="60"/>
      <c r="L481" s="61"/>
    </row>
    <row r="482" spans="1:12" ht="15.75" customHeight="1">
      <c r="A482" s="59"/>
      <c r="D482" s="60"/>
      <c r="E482" s="60"/>
      <c r="K482" s="60"/>
      <c r="L482" s="61"/>
    </row>
    <row r="483" spans="1:12" ht="15.75" customHeight="1">
      <c r="A483" s="59"/>
      <c r="D483" s="60"/>
      <c r="E483" s="60"/>
      <c r="K483" s="60"/>
      <c r="L483" s="61"/>
    </row>
    <row r="484" spans="1:12" ht="15.75" customHeight="1">
      <c r="A484" s="59"/>
      <c r="D484" s="60"/>
      <c r="E484" s="60"/>
      <c r="K484" s="60"/>
      <c r="L484" s="61"/>
    </row>
    <row r="485" spans="1:12" ht="15.75" customHeight="1">
      <c r="A485" s="59"/>
      <c r="D485" s="60"/>
      <c r="E485" s="60"/>
      <c r="K485" s="60"/>
      <c r="L485" s="61"/>
    </row>
    <row r="486" spans="1:12" ht="15.75" customHeight="1">
      <c r="A486" s="59"/>
      <c r="D486" s="60"/>
      <c r="E486" s="60"/>
      <c r="K486" s="60"/>
      <c r="L486" s="61"/>
    </row>
    <row r="487" spans="1:12" ht="15.75" customHeight="1">
      <c r="A487" s="59"/>
      <c r="D487" s="60"/>
      <c r="E487" s="60"/>
      <c r="K487" s="60"/>
      <c r="L487" s="61"/>
    </row>
    <row r="488" spans="1:12" ht="15.75" customHeight="1">
      <c r="A488" s="59"/>
      <c r="D488" s="60"/>
      <c r="E488" s="60"/>
      <c r="K488" s="60"/>
      <c r="L488" s="61"/>
    </row>
    <row r="489" spans="1:12" ht="15.75" customHeight="1">
      <c r="A489" s="59"/>
      <c r="D489" s="60"/>
      <c r="E489" s="60"/>
      <c r="K489" s="60"/>
      <c r="L489" s="61"/>
    </row>
    <row r="490" spans="1:12" ht="15.75" customHeight="1">
      <c r="A490" s="59"/>
      <c r="D490" s="60"/>
      <c r="E490" s="60"/>
      <c r="K490" s="60"/>
      <c r="L490" s="61"/>
    </row>
    <row r="491" spans="1:12" ht="15.75" customHeight="1">
      <c r="A491" s="59"/>
      <c r="D491" s="60"/>
      <c r="E491" s="60"/>
      <c r="K491" s="60"/>
      <c r="L491" s="61"/>
    </row>
    <row r="492" spans="1:12" ht="15.75" customHeight="1">
      <c r="A492" s="59"/>
      <c r="D492" s="60"/>
      <c r="E492" s="60"/>
      <c r="K492" s="60"/>
      <c r="L492" s="61"/>
    </row>
    <row r="493" spans="1:12" ht="15.75" customHeight="1">
      <c r="A493" s="59"/>
      <c r="D493" s="60"/>
      <c r="E493" s="60"/>
      <c r="K493" s="60"/>
      <c r="L493" s="61"/>
    </row>
    <row r="494" spans="1:12" ht="15.75" customHeight="1">
      <c r="A494" s="59"/>
      <c r="D494" s="60"/>
      <c r="E494" s="60"/>
      <c r="K494" s="60"/>
      <c r="L494" s="61"/>
    </row>
    <row r="495" spans="1:12" ht="15.75" customHeight="1">
      <c r="A495" s="59"/>
      <c r="D495" s="60"/>
      <c r="E495" s="60"/>
      <c r="K495" s="60"/>
      <c r="L495" s="61"/>
    </row>
    <row r="496" spans="1:12" ht="15.75" customHeight="1">
      <c r="A496" s="59"/>
      <c r="D496" s="60"/>
      <c r="E496" s="60"/>
      <c r="K496" s="60"/>
      <c r="L496" s="61"/>
    </row>
    <row r="497" spans="1:12" ht="15.75" customHeight="1">
      <c r="A497" s="59"/>
      <c r="D497" s="60"/>
      <c r="E497" s="60"/>
      <c r="K497" s="60"/>
      <c r="L497" s="61"/>
    </row>
    <row r="498" spans="1:12" ht="15.75" customHeight="1">
      <c r="A498" s="59"/>
      <c r="D498" s="60"/>
      <c r="E498" s="60"/>
      <c r="K498" s="60"/>
      <c r="L498" s="61"/>
    </row>
    <row r="499" spans="1:12" ht="15.75" customHeight="1">
      <c r="A499" s="59"/>
      <c r="D499" s="60"/>
      <c r="E499" s="60"/>
      <c r="K499" s="60"/>
      <c r="L499" s="61"/>
    </row>
    <row r="500" spans="1:12" ht="15.75" customHeight="1">
      <c r="A500" s="59"/>
      <c r="D500" s="60"/>
      <c r="E500" s="60"/>
      <c r="K500" s="60"/>
      <c r="L500" s="61"/>
    </row>
    <row r="501" spans="1:12" ht="15.75" customHeight="1">
      <c r="A501" s="59"/>
      <c r="D501" s="60"/>
      <c r="E501" s="60"/>
      <c r="K501" s="60"/>
      <c r="L501" s="61"/>
    </row>
    <row r="502" spans="1:12" ht="15.75" customHeight="1">
      <c r="A502" s="59"/>
      <c r="D502" s="60"/>
      <c r="E502" s="60"/>
      <c r="K502" s="60"/>
      <c r="L502" s="61"/>
    </row>
    <row r="503" spans="1:12" ht="15.75" customHeight="1">
      <c r="A503" s="59"/>
      <c r="D503" s="60"/>
      <c r="E503" s="60"/>
      <c r="K503" s="60"/>
      <c r="L503" s="61"/>
    </row>
    <row r="504" spans="1:12" ht="15.75" customHeight="1">
      <c r="A504" s="59"/>
      <c r="D504" s="60"/>
      <c r="E504" s="60"/>
      <c r="K504" s="60"/>
      <c r="L504" s="61"/>
    </row>
    <row r="505" spans="1:12" ht="15.75" customHeight="1">
      <c r="A505" s="59"/>
      <c r="D505" s="60"/>
      <c r="E505" s="60"/>
      <c r="K505" s="60"/>
      <c r="L505" s="61"/>
    </row>
    <row r="506" spans="1:12" ht="15.75" customHeight="1">
      <c r="A506" s="59"/>
      <c r="D506" s="60"/>
      <c r="E506" s="60"/>
      <c r="K506" s="60"/>
      <c r="L506" s="61"/>
    </row>
    <row r="507" spans="1:12" ht="15.75" customHeight="1">
      <c r="A507" s="59"/>
      <c r="D507" s="60"/>
      <c r="E507" s="60"/>
      <c r="K507" s="60"/>
      <c r="L507" s="61"/>
    </row>
    <row r="508" spans="1:12" ht="15.75" customHeight="1">
      <c r="A508" s="59"/>
      <c r="D508" s="60"/>
      <c r="E508" s="60"/>
      <c r="K508" s="60"/>
      <c r="L508" s="61"/>
    </row>
    <row r="509" spans="1:12" ht="15.75" customHeight="1">
      <c r="A509" s="59"/>
      <c r="D509" s="60"/>
      <c r="E509" s="60"/>
      <c r="K509" s="60"/>
      <c r="L509" s="61"/>
    </row>
    <row r="510" spans="1:12" ht="15.75" customHeight="1">
      <c r="A510" s="59"/>
      <c r="D510" s="60"/>
      <c r="E510" s="60"/>
      <c r="K510" s="60"/>
      <c r="L510" s="61"/>
    </row>
    <row r="511" spans="1:12" ht="15.75" customHeight="1">
      <c r="A511" s="59"/>
      <c r="D511" s="60"/>
      <c r="E511" s="60"/>
      <c r="K511" s="60"/>
      <c r="L511" s="61"/>
    </row>
    <row r="512" spans="1:12" ht="15.75" customHeight="1">
      <c r="A512" s="59"/>
      <c r="D512" s="60"/>
      <c r="E512" s="60"/>
      <c r="K512" s="60"/>
      <c r="L512" s="61"/>
    </row>
    <row r="513" spans="1:12" ht="15.75" customHeight="1">
      <c r="A513" s="59"/>
      <c r="D513" s="60"/>
      <c r="E513" s="60"/>
      <c r="K513" s="60"/>
      <c r="L513" s="61"/>
    </row>
    <row r="514" spans="1:12" ht="15.75" customHeight="1">
      <c r="A514" s="59"/>
      <c r="D514" s="60"/>
      <c r="E514" s="60"/>
      <c r="K514" s="60"/>
      <c r="L514" s="61"/>
    </row>
    <row r="515" spans="1:12" ht="15.75" customHeight="1">
      <c r="A515" s="59"/>
      <c r="D515" s="60"/>
      <c r="E515" s="60"/>
      <c r="K515" s="60"/>
      <c r="L515" s="61"/>
    </row>
    <row r="516" spans="1:12" ht="15.75" customHeight="1">
      <c r="A516" s="59"/>
      <c r="D516" s="60"/>
      <c r="E516" s="60"/>
      <c r="K516" s="60"/>
      <c r="L516" s="61"/>
    </row>
    <row r="517" spans="1:12" ht="15.75" customHeight="1">
      <c r="A517" s="59"/>
      <c r="D517" s="60"/>
      <c r="E517" s="60"/>
      <c r="K517" s="60"/>
      <c r="L517" s="61"/>
    </row>
    <row r="518" spans="1:12" ht="15.75" customHeight="1">
      <c r="A518" s="59"/>
      <c r="D518" s="60"/>
      <c r="E518" s="60"/>
      <c r="K518" s="60"/>
      <c r="L518" s="61"/>
    </row>
    <row r="519" spans="1:12" ht="15.75" customHeight="1">
      <c r="A519" s="59"/>
      <c r="D519" s="60"/>
      <c r="E519" s="60"/>
      <c r="K519" s="60"/>
      <c r="L519" s="61"/>
    </row>
    <row r="520" spans="1:12" ht="15.75" customHeight="1">
      <c r="A520" s="59"/>
      <c r="D520" s="60"/>
      <c r="E520" s="60"/>
      <c r="K520" s="60"/>
      <c r="L520" s="61"/>
    </row>
    <row r="521" spans="1:12" ht="15.75" customHeight="1">
      <c r="A521" s="59"/>
      <c r="D521" s="60"/>
      <c r="E521" s="60"/>
      <c r="K521" s="60"/>
      <c r="L521" s="61"/>
    </row>
    <row r="522" spans="1:12" ht="15.75" customHeight="1">
      <c r="A522" s="59"/>
      <c r="D522" s="60"/>
      <c r="E522" s="60"/>
      <c r="K522" s="60"/>
      <c r="L522" s="61"/>
    </row>
    <row r="523" spans="1:12" ht="15.75" customHeight="1">
      <c r="A523" s="59"/>
      <c r="D523" s="60"/>
      <c r="E523" s="60"/>
      <c r="K523" s="60"/>
      <c r="L523" s="61"/>
    </row>
    <row r="524" spans="1:12" ht="15.75" customHeight="1">
      <c r="A524" s="59"/>
      <c r="D524" s="60"/>
      <c r="E524" s="60"/>
      <c r="K524" s="60"/>
      <c r="L524" s="61"/>
    </row>
    <row r="525" spans="1:12" ht="15.75" customHeight="1">
      <c r="A525" s="59"/>
      <c r="D525" s="60"/>
      <c r="E525" s="60"/>
      <c r="K525" s="60"/>
      <c r="L525" s="61"/>
    </row>
    <row r="526" spans="1:12" ht="15.75" customHeight="1">
      <c r="A526" s="59"/>
      <c r="D526" s="60"/>
      <c r="E526" s="60"/>
      <c r="K526" s="60"/>
      <c r="L526" s="61"/>
    </row>
    <row r="527" spans="1:12" ht="15.75" customHeight="1">
      <c r="A527" s="59"/>
      <c r="D527" s="60"/>
      <c r="E527" s="60"/>
      <c r="K527" s="60"/>
      <c r="L527" s="61"/>
    </row>
    <row r="528" spans="1:12" ht="15.75" customHeight="1">
      <c r="A528" s="59"/>
      <c r="D528" s="60"/>
      <c r="E528" s="60"/>
      <c r="K528" s="60"/>
      <c r="L528" s="61"/>
    </row>
    <row r="529" spans="1:12" ht="15.75" customHeight="1">
      <c r="A529" s="59"/>
      <c r="D529" s="60"/>
      <c r="E529" s="60"/>
      <c r="K529" s="60"/>
      <c r="L529" s="61"/>
    </row>
    <row r="530" spans="1:12" ht="15.75" customHeight="1">
      <c r="A530" s="59"/>
      <c r="D530" s="60"/>
      <c r="E530" s="60"/>
      <c r="K530" s="60"/>
      <c r="L530" s="61"/>
    </row>
    <row r="531" spans="1:12" ht="15.75" customHeight="1">
      <c r="A531" s="59"/>
      <c r="D531" s="60"/>
      <c r="E531" s="60"/>
      <c r="K531" s="60"/>
      <c r="L531" s="61"/>
    </row>
    <row r="532" spans="1:12" ht="15.75" customHeight="1">
      <c r="A532" s="59"/>
      <c r="D532" s="60"/>
      <c r="E532" s="60"/>
      <c r="K532" s="60"/>
      <c r="L532" s="61"/>
    </row>
    <row r="533" spans="1:12" ht="15.75" customHeight="1">
      <c r="A533" s="59"/>
      <c r="D533" s="60"/>
      <c r="E533" s="60"/>
      <c r="K533" s="60"/>
      <c r="L533" s="61"/>
    </row>
    <row r="534" spans="1:12" ht="15.75" customHeight="1">
      <c r="A534" s="59"/>
      <c r="D534" s="60"/>
      <c r="E534" s="60"/>
      <c r="K534" s="60"/>
      <c r="L534" s="61"/>
    </row>
    <row r="535" spans="1:12" ht="15.75" customHeight="1">
      <c r="A535" s="59"/>
      <c r="D535" s="60"/>
      <c r="E535" s="60"/>
      <c r="K535" s="60"/>
      <c r="L535" s="61"/>
    </row>
    <row r="536" spans="1:12" ht="15.75" customHeight="1">
      <c r="A536" s="59"/>
      <c r="D536" s="60"/>
      <c r="E536" s="60"/>
      <c r="K536" s="60"/>
      <c r="L536" s="61"/>
    </row>
    <row r="537" spans="1:12" ht="15.75" customHeight="1">
      <c r="A537" s="59"/>
      <c r="D537" s="60"/>
      <c r="E537" s="60"/>
      <c r="K537" s="60"/>
      <c r="L537" s="61"/>
    </row>
    <row r="538" spans="1:12" ht="15.75" customHeight="1">
      <c r="A538" s="59"/>
      <c r="D538" s="60"/>
      <c r="E538" s="60"/>
      <c r="K538" s="60"/>
      <c r="L538" s="61"/>
    </row>
    <row r="539" spans="1:12" ht="15.75" customHeight="1">
      <c r="A539" s="59"/>
      <c r="D539" s="60"/>
      <c r="E539" s="60"/>
      <c r="K539" s="60"/>
      <c r="L539" s="61"/>
    </row>
    <row r="540" spans="1:12" ht="15.75" customHeight="1">
      <c r="A540" s="59"/>
      <c r="D540" s="60"/>
      <c r="E540" s="60"/>
      <c r="K540" s="60"/>
      <c r="L540" s="61"/>
    </row>
    <row r="541" spans="1:12" ht="15.75" customHeight="1">
      <c r="A541" s="59"/>
      <c r="D541" s="60"/>
      <c r="E541" s="60"/>
      <c r="K541" s="60"/>
      <c r="L541" s="61"/>
    </row>
    <row r="542" spans="1:12" ht="15.75" customHeight="1">
      <c r="A542" s="59"/>
      <c r="D542" s="60"/>
      <c r="E542" s="60"/>
      <c r="K542" s="60"/>
      <c r="L542" s="61"/>
    </row>
    <row r="543" spans="1:12" ht="15.75" customHeight="1">
      <c r="A543" s="59"/>
      <c r="D543" s="60"/>
      <c r="E543" s="60"/>
      <c r="K543" s="60"/>
      <c r="L543" s="61"/>
    </row>
    <row r="544" spans="1:12" ht="15.75" customHeight="1">
      <c r="A544" s="59"/>
      <c r="D544" s="60"/>
      <c r="E544" s="60"/>
      <c r="K544" s="60"/>
      <c r="L544" s="61"/>
    </row>
    <row r="545" spans="1:12" ht="15.75" customHeight="1">
      <c r="A545" s="59"/>
      <c r="D545" s="60"/>
      <c r="E545" s="60"/>
      <c r="K545" s="60"/>
      <c r="L545" s="61"/>
    </row>
    <row r="546" spans="1:12" ht="15.75" customHeight="1">
      <c r="A546" s="59"/>
      <c r="D546" s="60"/>
      <c r="E546" s="60"/>
      <c r="K546" s="60"/>
      <c r="L546" s="61"/>
    </row>
    <row r="547" spans="1:12" ht="15.75" customHeight="1">
      <c r="A547" s="59"/>
      <c r="D547" s="60"/>
      <c r="E547" s="60"/>
      <c r="K547" s="60"/>
      <c r="L547" s="61"/>
    </row>
    <row r="548" spans="1:12" ht="15.75" customHeight="1">
      <c r="A548" s="59"/>
      <c r="D548" s="60"/>
      <c r="E548" s="60"/>
      <c r="K548" s="60"/>
      <c r="L548" s="61"/>
    </row>
    <row r="549" spans="1:12" ht="15.75" customHeight="1">
      <c r="A549" s="59"/>
      <c r="D549" s="60"/>
      <c r="E549" s="60"/>
      <c r="K549" s="60"/>
      <c r="L549" s="61"/>
    </row>
    <row r="550" spans="1:12" ht="15.75" customHeight="1">
      <c r="A550" s="59"/>
      <c r="D550" s="60"/>
      <c r="E550" s="60"/>
      <c r="K550" s="60"/>
      <c r="L550" s="61"/>
    </row>
    <row r="551" spans="1:12" ht="15.75" customHeight="1">
      <c r="A551" s="59"/>
      <c r="D551" s="60"/>
      <c r="E551" s="60"/>
      <c r="K551" s="60"/>
      <c r="L551" s="61"/>
    </row>
    <row r="552" spans="1:12" ht="15.75" customHeight="1">
      <c r="A552" s="59"/>
      <c r="D552" s="60"/>
      <c r="E552" s="60"/>
      <c r="K552" s="60"/>
      <c r="L552" s="61"/>
    </row>
    <row r="553" spans="1:12" ht="15.75" customHeight="1">
      <c r="A553" s="59"/>
      <c r="D553" s="60"/>
      <c r="E553" s="60"/>
      <c r="K553" s="60"/>
      <c r="L553" s="61"/>
    </row>
    <row r="554" spans="1:12" ht="15.75" customHeight="1">
      <c r="A554" s="59"/>
      <c r="D554" s="60"/>
      <c r="E554" s="60"/>
      <c r="K554" s="60"/>
      <c r="L554" s="61"/>
    </row>
    <row r="555" spans="1:12" ht="15.75" customHeight="1">
      <c r="A555" s="59"/>
      <c r="D555" s="60"/>
      <c r="E555" s="60"/>
      <c r="K555" s="60"/>
      <c r="L555" s="61"/>
    </row>
    <row r="556" spans="1:12" ht="15.75" customHeight="1">
      <c r="A556" s="59"/>
      <c r="D556" s="60"/>
      <c r="E556" s="60"/>
      <c r="K556" s="60"/>
      <c r="L556" s="61"/>
    </row>
    <row r="557" spans="1:12" ht="15.75" customHeight="1">
      <c r="A557" s="59"/>
      <c r="D557" s="60"/>
      <c r="E557" s="60"/>
      <c r="K557" s="60"/>
      <c r="L557" s="61"/>
    </row>
    <row r="558" spans="1:12" ht="15.75" customHeight="1">
      <c r="A558" s="59"/>
      <c r="D558" s="60"/>
      <c r="E558" s="60"/>
      <c r="K558" s="60"/>
      <c r="L558" s="61"/>
    </row>
    <row r="559" spans="1:12" ht="15.75" customHeight="1">
      <c r="A559" s="59"/>
      <c r="D559" s="60"/>
      <c r="E559" s="60"/>
      <c r="K559" s="60"/>
      <c r="L559" s="61"/>
    </row>
    <row r="560" spans="1:12" ht="15.75" customHeight="1">
      <c r="A560" s="59"/>
      <c r="D560" s="60"/>
      <c r="E560" s="60"/>
      <c r="K560" s="60"/>
      <c r="L560" s="61"/>
    </row>
    <row r="561" spans="1:12" ht="15.75" customHeight="1">
      <c r="A561" s="59"/>
      <c r="D561" s="60"/>
      <c r="E561" s="60"/>
      <c r="K561" s="60"/>
      <c r="L561" s="61"/>
    </row>
    <row r="562" spans="1:12" ht="15.75" customHeight="1">
      <c r="A562" s="59"/>
      <c r="D562" s="60"/>
      <c r="E562" s="60"/>
      <c r="K562" s="60"/>
      <c r="L562" s="61"/>
    </row>
    <row r="563" spans="1:12" ht="15.75" customHeight="1">
      <c r="A563" s="59"/>
      <c r="D563" s="60"/>
      <c r="E563" s="60"/>
      <c r="K563" s="60"/>
      <c r="L563" s="61"/>
    </row>
    <row r="564" spans="1:12" ht="15.75" customHeight="1">
      <c r="A564" s="59"/>
      <c r="D564" s="60"/>
      <c r="E564" s="60"/>
      <c r="K564" s="60"/>
      <c r="L564" s="61"/>
    </row>
    <row r="565" spans="1:12" ht="15.75" customHeight="1">
      <c r="A565" s="59"/>
      <c r="D565" s="60"/>
      <c r="E565" s="60"/>
      <c r="K565" s="60"/>
      <c r="L565" s="61"/>
    </row>
    <row r="566" spans="1:12" ht="15.75" customHeight="1">
      <c r="A566" s="59"/>
      <c r="D566" s="60"/>
      <c r="E566" s="60"/>
      <c r="K566" s="60"/>
      <c r="L566" s="61"/>
    </row>
    <row r="567" spans="1:12" ht="15.75" customHeight="1">
      <c r="A567" s="59"/>
      <c r="D567" s="60"/>
      <c r="E567" s="60"/>
      <c r="K567" s="60"/>
      <c r="L567" s="61"/>
    </row>
    <row r="568" spans="1:12" ht="15.75" customHeight="1">
      <c r="A568" s="59"/>
      <c r="D568" s="60"/>
      <c r="E568" s="60"/>
      <c r="K568" s="60"/>
      <c r="L568" s="61"/>
    </row>
    <row r="569" spans="1:12" ht="15.75" customHeight="1">
      <c r="A569" s="59"/>
      <c r="D569" s="60"/>
      <c r="E569" s="60"/>
      <c r="K569" s="60"/>
      <c r="L569" s="61"/>
    </row>
    <row r="570" spans="1:12" ht="15.75" customHeight="1">
      <c r="A570" s="59"/>
      <c r="D570" s="60"/>
      <c r="E570" s="60"/>
      <c r="K570" s="60"/>
      <c r="L570" s="61"/>
    </row>
    <row r="571" spans="1:12" ht="15.75" customHeight="1">
      <c r="A571" s="59"/>
      <c r="D571" s="60"/>
      <c r="E571" s="60"/>
      <c r="K571" s="60"/>
      <c r="L571" s="61"/>
    </row>
    <row r="572" spans="1:12" ht="15.75" customHeight="1">
      <c r="A572" s="59"/>
      <c r="D572" s="60"/>
      <c r="E572" s="60"/>
      <c r="K572" s="60"/>
      <c r="L572" s="61"/>
    </row>
    <row r="573" spans="1:12" ht="15.75" customHeight="1">
      <c r="A573" s="59"/>
      <c r="D573" s="60"/>
      <c r="E573" s="60"/>
      <c r="K573" s="60"/>
      <c r="L573" s="61"/>
    </row>
    <row r="574" spans="1:12" ht="15.75" customHeight="1">
      <c r="A574" s="59"/>
      <c r="D574" s="60"/>
      <c r="E574" s="60"/>
      <c r="K574" s="60"/>
      <c r="L574" s="61"/>
    </row>
    <row r="575" spans="1:12" ht="15.75" customHeight="1">
      <c r="A575" s="59"/>
      <c r="D575" s="60"/>
      <c r="E575" s="60"/>
      <c r="K575" s="60"/>
      <c r="L575" s="61"/>
    </row>
    <row r="576" spans="1:12" ht="15.75" customHeight="1">
      <c r="A576" s="59"/>
      <c r="D576" s="60"/>
      <c r="E576" s="60"/>
      <c r="K576" s="60"/>
      <c r="L576" s="61"/>
    </row>
    <row r="577" spans="1:12" ht="15.75" customHeight="1">
      <c r="A577" s="59"/>
      <c r="D577" s="60"/>
      <c r="E577" s="60"/>
      <c r="K577" s="60"/>
      <c r="L577" s="61"/>
    </row>
    <row r="578" spans="1:12" ht="15.75" customHeight="1">
      <c r="A578" s="59"/>
      <c r="D578" s="60"/>
      <c r="E578" s="60"/>
      <c r="K578" s="60"/>
      <c r="L578" s="61"/>
    </row>
    <row r="579" spans="1:12" ht="15.75" customHeight="1">
      <c r="A579" s="59"/>
      <c r="D579" s="60"/>
      <c r="E579" s="60"/>
      <c r="K579" s="60"/>
      <c r="L579" s="61"/>
    </row>
    <row r="580" spans="1:12" ht="15.75" customHeight="1">
      <c r="A580" s="59"/>
      <c r="D580" s="60"/>
      <c r="E580" s="60"/>
      <c r="K580" s="60"/>
      <c r="L580" s="61"/>
    </row>
    <row r="581" spans="1:12" ht="15.75" customHeight="1">
      <c r="A581" s="59"/>
      <c r="D581" s="60"/>
      <c r="E581" s="60"/>
      <c r="K581" s="60"/>
      <c r="L581" s="61"/>
    </row>
    <row r="582" spans="1:12" ht="15.75" customHeight="1">
      <c r="A582" s="59"/>
      <c r="D582" s="60"/>
      <c r="E582" s="60"/>
      <c r="K582" s="60"/>
      <c r="L582" s="61"/>
    </row>
    <row r="583" spans="1:12" ht="15.75" customHeight="1">
      <c r="A583" s="59"/>
      <c r="D583" s="60"/>
      <c r="E583" s="60"/>
      <c r="K583" s="60"/>
      <c r="L583" s="61"/>
    </row>
    <row r="584" spans="1:12" ht="15.75" customHeight="1">
      <c r="A584" s="59"/>
      <c r="D584" s="60"/>
      <c r="E584" s="60"/>
      <c r="K584" s="60"/>
      <c r="L584" s="61"/>
    </row>
    <row r="585" spans="1:12" ht="15.75" customHeight="1">
      <c r="A585" s="59"/>
      <c r="D585" s="60"/>
      <c r="E585" s="60"/>
      <c r="K585" s="60"/>
      <c r="L585" s="61"/>
    </row>
    <row r="586" spans="1:12" ht="15.75" customHeight="1">
      <c r="A586" s="59"/>
      <c r="D586" s="60"/>
      <c r="E586" s="60"/>
      <c r="K586" s="60"/>
      <c r="L586" s="61"/>
    </row>
    <row r="587" spans="1:12" ht="15.75" customHeight="1">
      <c r="A587" s="59"/>
      <c r="D587" s="60"/>
      <c r="E587" s="60"/>
      <c r="K587" s="60"/>
      <c r="L587" s="61"/>
    </row>
    <row r="588" spans="1:12" ht="15.75" customHeight="1">
      <c r="A588" s="59"/>
      <c r="D588" s="60"/>
      <c r="E588" s="60"/>
      <c r="K588" s="60"/>
      <c r="L588" s="61"/>
    </row>
    <row r="589" spans="1:12" ht="15.75" customHeight="1">
      <c r="A589" s="59"/>
      <c r="D589" s="60"/>
      <c r="E589" s="60"/>
      <c r="K589" s="60"/>
      <c r="L589" s="61"/>
    </row>
    <row r="590" spans="1:12" ht="15.75" customHeight="1">
      <c r="A590" s="59"/>
      <c r="D590" s="60"/>
      <c r="E590" s="60"/>
      <c r="K590" s="60"/>
      <c r="L590" s="61"/>
    </row>
    <row r="591" spans="1:12" ht="15.75" customHeight="1">
      <c r="A591" s="59"/>
      <c r="D591" s="60"/>
      <c r="E591" s="60"/>
      <c r="K591" s="60"/>
      <c r="L591" s="61"/>
    </row>
    <row r="592" spans="1:12" ht="15.75" customHeight="1">
      <c r="A592" s="59"/>
      <c r="D592" s="60"/>
      <c r="E592" s="60"/>
      <c r="K592" s="60"/>
      <c r="L592" s="61"/>
    </row>
    <row r="593" spans="1:12" ht="15.75" customHeight="1">
      <c r="A593" s="59"/>
      <c r="D593" s="60"/>
      <c r="E593" s="60"/>
      <c r="K593" s="60"/>
      <c r="L593" s="61"/>
    </row>
    <row r="594" spans="1:12" ht="15.75" customHeight="1">
      <c r="A594" s="59"/>
      <c r="D594" s="60"/>
      <c r="E594" s="60"/>
      <c r="K594" s="60"/>
      <c r="L594" s="61"/>
    </row>
    <row r="595" spans="1:12" ht="15.75" customHeight="1">
      <c r="A595" s="59"/>
      <c r="D595" s="60"/>
      <c r="E595" s="60"/>
      <c r="K595" s="60"/>
      <c r="L595" s="61"/>
    </row>
    <row r="596" spans="1:12" ht="15.75" customHeight="1">
      <c r="A596" s="59"/>
      <c r="D596" s="60"/>
      <c r="E596" s="60"/>
      <c r="K596" s="60"/>
      <c r="L596" s="61"/>
    </row>
    <row r="597" spans="1:12" ht="15.75" customHeight="1">
      <c r="A597" s="59"/>
      <c r="D597" s="60"/>
      <c r="E597" s="60"/>
      <c r="K597" s="60"/>
      <c r="L597" s="61"/>
    </row>
    <row r="598" spans="1:12" ht="15.75" customHeight="1">
      <c r="A598" s="59"/>
      <c r="D598" s="60"/>
      <c r="E598" s="60"/>
      <c r="K598" s="60"/>
      <c r="L598" s="61"/>
    </row>
    <row r="599" spans="1:12" ht="15.75" customHeight="1">
      <c r="A599" s="59"/>
      <c r="D599" s="60"/>
      <c r="E599" s="60"/>
      <c r="K599" s="60"/>
      <c r="L599" s="61"/>
    </row>
    <row r="600" spans="1:12" ht="15.75" customHeight="1">
      <c r="A600" s="59"/>
      <c r="D600" s="60"/>
      <c r="E600" s="60"/>
      <c r="K600" s="60"/>
      <c r="L600" s="61"/>
    </row>
    <row r="601" spans="1:12" ht="15.75" customHeight="1">
      <c r="A601" s="59"/>
      <c r="D601" s="60"/>
      <c r="E601" s="60"/>
      <c r="K601" s="60"/>
      <c r="L601" s="61"/>
    </row>
    <row r="602" spans="1:12" ht="15.75" customHeight="1">
      <c r="A602" s="59"/>
      <c r="D602" s="60"/>
      <c r="E602" s="60"/>
      <c r="K602" s="60"/>
      <c r="L602" s="61"/>
    </row>
    <row r="603" spans="1:12" ht="15.75" customHeight="1">
      <c r="A603" s="59"/>
      <c r="D603" s="60"/>
      <c r="E603" s="60"/>
      <c r="K603" s="60"/>
      <c r="L603" s="61"/>
    </row>
    <row r="604" spans="1:12" ht="15.75" customHeight="1">
      <c r="A604" s="59"/>
      <c r="D604" s="60"/>
      <c r="E604" s="60"/>
      <c r="K604" s="60"/>
      <c r="L604" s="61"/>
    </row>
    <row r="605" spans="1:12" ht="15.75" customHeight="1">
      <c r="A605" s="59"/>
      <c r="D605" s="60"/>
      <c r="E605" s="60"/>
      <c r="K605" s="60"/>
      <c r="L605" s="61"/>
    </row>
    <row r="606" spans="1:12" ht="15.75" customHeight="1">
      <c r="A606" s="59"/>
      <c r="D606" s="60"/>
      <c r="E606" s="60"/>
      <c r="K606" s="60"/>
      <c r="L606" s="61"/>
    </row>
    <row r="607" spans="1:12" ht="15.75" customHeight="1">
      <c r="A607" s="59"/>
      <c r="D607" s="60"/>
      <c r="E607" s="60"/>
      <c r="K607" s="60"/>
      <c r="L607" s="61"/>
    </row>
    <row r="608" spans="1:12" ht="15.75" customHeight="1">
      <c r="A608" s="59"/>
      <c r="D608" s="60"/>
      <c r="E608" s="60"/>
      <c r="K608" s="60"/>
      <c r="L608" s="61"/>
    </row>
    <row r="609" spans="1:12" ht="15.75" customHeight="1">
      <c r="A609" s="59"/>
      <c r="D609" s="60"/>
      <c r="E609" s="60"/>
      <c r="K609" s="60"/>
      <c r="L609" s="61"/>
    </row>
    <row r="610" spans="1:12" ht="15.75" customHeight="1">
      <c r="A610" s="59"/>
      <c r="D610" s="60"/>
      <c r="E610" s="60"/>
      <c r="K610" s="60"/>
      <c r="L610" s="61"/>
    </row>
    <row r="611" spans="1:12" ht="15.75" customHeight="1">
      <c r="A611" s="59"/>
      <c r="D611" s="60"/>
      <c r="E611" s="60"/>
      <c r="K611" s="60"/>
      <c r="L611" s="61"/>
    </row>
    <row r="612" spans="1:12" ht="15.75" customHeight="1">
      <c r="A612" s="59"/>
      <c r="D612" s="60"/>
      <c r="E612" s="60"/>
      <c r="K612" s="60"/>
      <c r="L612" s="61"/>
    </row>
    <row r="613" spans="1:12" ht="15.75" customHeight="1">
      <c r="A613" s="59"/>
      <c r="D613" s="60"/>
      <c r="E613" s="60"/>
      <c r="K613" s="60"/>
      <c r="L613" s="61"/>
    </row>
    <row r="614" spans="1:12" ht="15.75" customHeight="1">
      <c r="A614" s="59"/>
      <c r="D614" s="60"/>
      <c r="E614" s="60"/>
      <c r="K614" s="60"/>
      <c r="L614" s="61"/>
    </row>
    <row r="615" spans="1:12" ht="15.75" customHeight="1">
      <c r="A615" s="59"/>
      <c r="D615" s="60"/>
      <c r="E615" s="60"/>
      <c r="K615" s="60"/>
      <c r="L615" s="61"/>
    </row>
    <row r="616" spans="1:12" ht="15.75" customHeight="1">
      <c r="A616" s="59"/>
      <c r="D616" s="60"/>
      <c r="E616" s="60"/>
      <c r="K616" s="60"/>
      <c r="L616" s="61"/>
    </row>
    <row r="617" spans="1:12" ht="15.75" customHeight="1">
      <c r="A617" s="59"/>
      <c r="D617" s="60"/>
      <c r="E617" s="60"/>
      <c r="K617" s="60"/>
      <c r="L617" s="61"/>
    </row>
    <row r="618" spans="1:12" ht="15.75" customHeight="1">
      <c r="A618" s="59"/>
      <c r="D618" s="60"/>
      <c r="E618" s="60"/>
      <c r="K618" s="60"/>
      <c r="L618" s="61"/>
    </row>
    <row r="619" spans="1:12" ht="15.75" customHeight="1">
      <c r="A619" s="59"/>
      <c r="D619" s="60"/>
      <c r="E619" s="60"/>
      <c r="K619" s="60"/>
      <c r="L619" s="61"/>
    </row>
    <row r="620" spans="1:12" ht="15.75" customHeight="1">
      <c r="A620" s="59"/>
      <c r="D620" s="60"/>
      <c r="E620" s="60"/>
      <c r="K620" s="60"/>
      <c r="L620" s="61"/>
    </row>
    <row r="621" spans="1:12" ht="15.75" customHeight="1">
      <c r="A621" s="59"/>
      <c r="D621" s="60"/>
      <c r="E621" s="60"/>
      <c r="K621" s="60"/>
      <c r="L621" s="61"/>
    </row>
    <row r="622" spans="1:12" ht="15.75" customHeight="1">
      <c r="A622" s="59"/>
      <c r="D622" s="60"/>
      <c r="E622" s="60"/>
      <c r="K622" s="60"/>
      <c r="L622" s="61"/>
    </row>
    <row r="623" spans="1:12" ht="15.75" customHeight="1">
      <c r="A623" s="59"/>
      <c r="D623" s="60"/>
      <c r="E623" s="60"/>
      <c r="K623" s="60"/>
      <c r="L623" s="61"/>
    </row>
    <row r="624" spans="1:12" ht="15.75" customHeight="1">
      <c r="A624" s="59"/>
      <c r="D624" s="60"/>
      <c r="E624" s="60"/>
      <c r="K624" s="60"/>
      <c r="L624" s="61"/>
    </row>
    <row r="625" spans="1:12" ht="15.75" customHeight="1">
      <c r="A625" s="59"/>
      <c r="D625" s="60"/>
      <c r="E625" s="60"/>
      <c r="K625" s="60"/>
      <c r="L625" s="61"/>
    </row>
    <row r="626" spans="1:12" ht="15.75" customHeight="1">
      <c r="A626" s="59"/>
      <c r="D626" s="60"/>
      <c r="E626" s="60"/>
      <c r="K626" s="60"/>
      <c r="L626" s="61"/>
    </row>
    <row r="627" spans="1:12" ht="15.75" customHeight="1">
      <c r="A627" s="59"/>
      <c r="D627" s="60"/>
      <c r="E627" s="60"/>
      <c r="K627" s="60"/>
      <c r="L627" s="61"/>
    </row>
    <row r="628" spans="1:12" ht="15.75" customHeight="1">
      <c r="A628" s="59"/>
      <c r="D628" s="60"/>
      <c r="E628" s="60"/>
      <c r="K628" s="60"/>
      <c r="L628" s="61"/>
    </row>
    <row r="629" spans="1:12" ht="15.75" customHeight="1">
      <c r="A629" s="59"/>
      <c r="D629" s="60"/>
      <c r="E629" s="60"/>
      <c r="K629" s="60"/>
      <c r="L629" s="61"/>
    </row>
    <row r="630" spans="1:12" ht="15.75" customHeight="1">
      <c r="A630" s="59"/>
      <c r="D630" s="60"/>
      <c r="E630" s="60"/>
      <c r="K630" s="60"/>
      <c r="L630" s="61"/>
    </row>
    <row r="631" spans="1:12" ht="15.75" customHeight="1">
      <c r="A631" s="59"/>
      <c r="D631" s="60"/>
      <c r="E631" s="60"/>
      <c r="K631" s="60"/>
      <c r="L631" s="61"/>
    </row>
    <row r="632" spans="1:12" ht="15.75" customHeight="1">
      <c r="A632" s="59"/>
      <c r="D632" s="60"/>
      <c r="E632" s="60"/>
      <c r="K632" s="60"/>
      <c r="L632" s="61"/>
    </row>
    <row r="633" spans="1:12" ht="15.75" customHeight="1">
      <c r="A633" s="59"/>
      <c r="D633" s="60"/>
      <c r="E633" s="60"/>
      <c r="K633" s="60"/>
      <c r="L633" s="61"/>
    </row>
    <row r="634" spans="1:12" ht="15.75" customHeight="1">
      <c r="A634" s="59"/>
      <c r="D634" s="60"/>
      <c r="E634" s="60"/>
      <c r="K634" s="60"/>
      <c r="L634" s="61"/>
    </row>
    <row r="635" spans="1:12" ht="15.75" customHeight="1">
      <c r="A635" s="59"/>
      <c r="D635" s="60"/>
      <c r="E635" s="60"/>
      <c r="K635" s="60"/>
      <c r="L635" s="61"/>
    </row>
    <row r="636" spans="1:12" ht="15.75" customHeight="1">
      <c r="A636" s="59"/>
      <c r="D636" s="60"/>
      <c r="E636" s="60"/>
      <c r="K636" s="60"/>
      <c r="L636" s="61"/>
    </row>
    <row r="637" spans="1:12" ht="15.75" customHeight="1">
      <c r="A637" s="59"/>
      <c r="D637" s="60"/>
      <c r="E637" s="60"/>
      <c r="K637" s="60"/>
      <c r="L637" s="61"/>
    </row>
    <row r="638" spans="1:12" ht="15.75" customHeight="1">
      <c r="A638" s="59"/>
      <c r="D638" s="60"/>
      <c r="E638" s="60"/>
      <c r="K638" s="60"/>
      <c r="L638" s="61"/>
    </row>
    <row r="639" spans="1:12" ht="15.75" customHeight="1">
      <c r="A639" s="59"/>
      <c r="D639" s="60"/>
      <c r="E639" s="60"/>
      <c r="K639" s="60"/>
      <c r="L639" s="61"/>
    </row>
    <row r="640" spans="1:12" ht="15.75" customHeight="1">
      <c r="A640" s="59"/>
      <c r="D640" s="60"/>
      <c r="E640" s="60"/>
      <c r="K640" s="60"/>
      <c r="L640" s="61"/>
    </row>
    <row r="641" spans="1:12" ht="15.75" customHeight="1">
      <c r="A641" s="59"/>
      <c r="D641" s="60"/>
      <c r="E641" s="60"/>
      <c r="K641" s="60"/>
      <c r="L641" s="61"/>
    </row>
    <row r="642" spans="1:12" ht="15.75" customHeight="1">
      <c r="A642" s="59"/>
      <c r="D642" s="60"/>
      <c r="E642" s="60"/>
      <c r="K642" s="60"/>
      <c r="L642" s="61"/>
    </row>
    <row r="643" spans="1:12" ht="15.75" customHeight="1">
      <c r="A643" s="59"/>
      <c r="D643" s="60"/>
      <c r="E643" s="60"/>
      <c r="K643" s="60"/>
      <c r="L643" s="61"/>
    </row>
    <row r="644" spans="1:12" ht="15.75" customHeight="1">
      <c r="A644" s="59"/>
      <c r="D644" s="60"/>
      <c r="E644" s="60"/>
      <c r="K644" s="60"/>
      <c r="L644" s="61"/>
    </row>
    <row r="645" spans="1:12" ht="15.75" customHeight="1">
      <c r="A645" s="59"/>
      <c r="D645" s="60"/>
      <c r="E645" s="60"/>
      <c r="K645" s="60"/>
      <c r="L645" s="61"/>
    </row>
    <row r="646" spans="1:12" ht="15.75" customHeight="1">
      <c r="A646" s="59"/>
      <c r="D646" s="60"/>
      <c r="E646" s="60"/>
      <c r="K646" s="60"/>
      <c r="L646" s="61"/>
    </row>
    <row r="647" spans="1:12" ht="15.75" customHeight="1">
      <c r="A647" s="59"/>
      <c r="D647" s="60"/>
      <c r="E647" s="60"/>
      <c r="K647" s="60"/>
      <c r="L647" s="61"/>
    </row>
    <row r="648" spans="1:12" ht="15.75" customHeight="1">
      <c r="A648" s="59"/>
      <c r="D648" s="60"/>
      <c r="E648" s="60"/>
      <c r="K648" s="60"/>
      <c r="L648" s="61"/>
    </row>
    <row r="649" spans="1:12" ht="15.75" customHeight="1">
      <c r="A649" s="59"/>
      <c r="D649" s="60"/>
      <c r="E649" s="60"/>
      <c r="K649" s="60"/>
      <c r="L649" s="61"/>
    </row>
    <row r="650" spans="1:12" ht="15.75" customHeight="1">
      <c r="A650" s="59"/>
      <c r="D650" s="60"/>
      <c r="E650" s="60"/>
      <c r="K650" s="60"/>
      <c r="L650" s="61"/>
    </row>
    <row r="651" spans="1:12" ht="15.75" customHeight="1">
      <c r="A651" s="59"/>
      <c r="D651" s="60"/>
      <c r="E651" s="60"/>
      <c r="K651" s="60"/>
      <c r="L651" s="61"/>
    </row>
    <row r="652" spans="1:12" ht="15.75" customHeight="1">
      <c r="A652" s="59"/>
      <c r="D652" s="60"/>
      <c r="E652" s="60"/>
      <c r="K652" s="60"/>
      <c r="L652" s="61"/>
    </row>
    <row r="653" spans="1:12" ht="15.75" customHeight="1">
      <c r="A653" s="59"/>
      <c r="D653" s="60"/>
      <c r="E653" s="60"/>
      <c r="K653" s="60"/>
      <c r="L653" s="61"/>
    </row>
    <row r="654" spans="1:12" ht="15.75" customHeight="1">
      <c r="A654" s="59"/>
      <c r="D654" s="60"/>
      <c r="E654" s="60"/>
      <c r="K654" s="60"/>
      <c r="L654" s="61"/>
    </row>
    <row r="655" spans="1:12" ht="15.75" customHeight="1">
      <c r="A655" s="59"/>
      <c r="D655" s="60"/>
      <c r="E655" s="60"/>
      <c r="K655" s="60"/>
      <c r="L655" s="61"/>
    </row>
    <row r="656" spans="1:12" ht="15.75" customHeight="1">
      <c r="A656" s="59"/>
      <c r="D656" s="60"/>
      <c r="E656" s="60"/>
      <c r="K656" s="60"/>
      <c r="L656" s="61"/>
    </row>
    <row r="657" spans="1:12" ht="15.75" customHeight="1">
      <c r="A657" s="59"/>
      <c r="D657" s="60"/>
      <c r="E657" s="60"/>
      <c r="K657" s="60"/>
      <c r="L657" s="61"/>
    </row>
    <row r="658" spans="1:12" ht="15.75" customHeight="1">
      <c r="A658" s="59"/>
      <c r="D658" s="60"/>
      <c r="E658" s="60"/>
      <c r="K658" s="60"/>
      <c r="L658" s="61"/>
    </row>
    <row r="659" spans="1:12" ht="15.75" customHeight="1">
      <c r="A659" s="59"/>
      <c r="D659" s="60"/>
      <c r="E659" s="60"/>
      <c r="K659" s="60"/>
      <c r="L659" s="61"/>
    </row>
    <row r="660" spans="1:12" ht="15.75" customHeight="1">
      <c r="A660" s="59"/>
      <c r="D660" s="60"/>
      <c r="E660" s="60"/>
      <c r="K660" s="60"/>
      <c r="L660" s="61"/>
    </row>
    <row r="661" spans="1:12" ht="15.75" customHeight="1">
      <c r="A661" s="59"/>
      <c r="D661" s="60"/>
      <c r="E661" s="60"/>
      <c r="K661" s="60"/>
      <c r="L661" s="61"/>
    </row>
    <row r="662" spans="1:12" ht="15.75" customHeight="1">
      <c r="A662" s="59"/>
      <c r="D662" s="60"/>
      <c r="E662" s="60"/>
      <c r="K662" s="60"/>
      <c r="L662" s="61"/>
    </row>
    <row r="663" spans="1:12" ht="15.75" customHeight="1">
      <c r="A663" s="59"/>
      <c r="D663" s="60"/>
      <c r="E663" s="60"/>
      <c r="K663" s="60"/>
      <c r="L663" s="61"/>
    </row>
    <row r="664" spans="1:12" ht="15.75" customHeight="1">
      <c r="A664" s="59"/>
      <c r="D664" s="60"/>
      <c r="E664" s="60"/>
      <c r="K664" s="60"/>
      <c r="L664" s="61"/>
    </row>
    <row r="665" spans="1:12" ht="15.75" customHeight="1">
      <c r="A665" s="59"/>
      <c r="D665" s="60"/>
      <c r="E665" s="60"/>
      <c r="K665" s="60"/>
      <c r="L665" s="61"/>
    </row>
    <row r="666" spans="1:12" ht="15.75" customHeight="1">
      <c r="A666" s="59"/>
      <c r="D666" s="60"/>
      <c r="E666" s="60"/>
      <c r="K666" s="60"/>
      <c r="L666" s="61"/>
    </row>
    <row r="667" spans="1:12" ht="15.75" customHeight="1">
      <c r="A667" s="59"/>
      <c r="D667" s="60"/>
      <c r="E667" s="60"/>
      <c r="K667" s="60"/>
      <c r="L667" s="61"/>
    </row>
    <row r="668" spans="1:12" ht="15.75" customHeight="1">
      <c r="A668" s="59"/>
      <c r="D668" s="60"/>
      <c r="E668" s="60"/>
      <c r="K668" s="60"/>
      <c r="L668" s="61"/>
    </row>
    <row r="669" spans="1:12" ht="15.75" customHeight="1">
      <c r="A669" s="59"/>
      <c r="D669" s="60"/>
      <c r="E669" s="60"/>
      <c r="K669" s="60"/>
      <c r="L669" s="61"/>
    </row>
    <row r="670" spans="1:12" ht="15.75" customHeight="1">
      <c r="A670" s="59"/>
      <c r="D670" s="60"/>
      <c r="E670" s="60"/>
      <c r="K670" s="60"/>
      <c r="L670" s="61"/>
    </row>
    <row r="671" spans="1:12" ht="15.75" customHeight="1">
      <c r="A671" s="59"/>
      <c r="D671" s="60"/>
      <c r="E671" s="60"/>
      <c r="K671" s="60"/>
      <c r="L671" s="61"/>
    </row>
    <row r="672" spans="1:12" ht="15.75" customHeight="1">
      <c r="A672" s="59"/>
      <c r="D672" s="60"/>
      <c r="E672" s="60"/>
      <c r="K672" s="60"/>
      <c r="L672" s="61"/>
    </row>
    <row r="673" spans="1:12" ht="15.75" customHeight="1">
      <c r="A673" s="59"/>
      <c r="D673" s="60"/>
      <c r="E673" s="60"/>
      <c r="K673" s="60"/>
      <c r="L673" s="61"/>
    </row>
    <row r="674" spans="1:12" ht="15.75" customHeight="1">
      <c r="A674" s="59"/>
      <c r="D674" s="60"/>
      <c r="E674" s="60"/>
      <c r="K674" s="60"/>
      <c r="L674" s="61"/>
    </row>
    <row r="675" spans="1:12" ht="15.75" customHeight="1">
      <c r="A675" s="59"/>
      <c r="D675" s="60"/>
      <c r="E675" s="60"/>
      <c r="K675" s="60"/>
      <c r="L675" s="61"/>
    </row>
    <row r="676" spans="1:12" ht="15.75" customHeight="1">
      <c r="A676" s="59"/>
      <c r="D676" s="60"/>
      <c r="E676" s="60"/>
      <c r="K676" s="60"/>
      <c r="L676" s="61"/>
    </row>
    <row r="677" spans="1:12" ht="15.75" customHeight="1">
      <c r="A677" s="59"/>
      <c r="D677" s="60"/>
      <c r="E677" s="60"/>
      <c r="K677" s="60"/>
      <c r="L677" s="61"/>
    </row>
    <row r="678" spans="1:12" ht="15.75" customHeight="1">
      <c r="A678" s="59"/>
      <c r="D678" s="60"/>
      <c r="E678" s="60"/>
      <c r="K678" s="60"/>
      <c r="L678" s="61"/>
    </row>
    <row r="679" spans="1:12" ht="15.75" customHeight="1">
      <c r="A679" s="59"/>
      <c r="D679" s="60"/>
      <c r="E679" s="60"/>
      <c r="K679" s="60"/>
      <c r="L679" s="61"/>
    </row>
    <row r="680" spans="1:12" ht="15.75" customHeight="1">
      <c r="A680" s="59"/>
      <c r="D680" s="60"/>
      <c r="E680" s="60"/>
      <c r="K680" s="60"/>
      <c r="L680" s="61"/>
    </row>
    <row r="681" spans="1:12" ht="15.75" customHeight="1">
      <c r="A681" s="59"/>
      <c r="D681" s="60"/>
      <c r="E681" s="60"/>
      <c r="K681" s="60"/>
      <c r="L681" s="61"/>
    </row>
    <row r="682" spans="1:12" ht="15.75" customHeight="1">
      <c r="A682" s="59"/>
      <c r="D682" s="60"/>
      <c r="E682" s="60"/>
      <c r="K682" s="60"/>
      <c r="L682" s="61"/>
    </row>
    <row r="683" spans="1:12" ht="15.75" customHeight="1">
      <c r="A683" s="59"/>
      <c r="D683" s="60"/>
      <c r="E683" s="60"/>
      <c r="K683" s="60"/>
      <c r="L683" s="61"/>
    </row>
    <row r="684" spans="1:12" ht="15.75" customHeight="1">
      <c r="A684" s="59"/>
      <c r="D684" s="60"/>
      <c r="E684" s="60"/>
      <c r="K684" s="60"/>
      <c r="L684" s="61"/>
    </row>
    <row r="685" spans="1:12" ht="15.75" customHeight="1">
      <c r="A685" s="59"/>
      <c r="D685" s="60"/>
      <c r="E685" s="60"/>
      <c r="K685" s="60"/>
      <c r="L685" s="61"/>
    </row>
    <row r="686" spans="1:12" ht="15.75" customHeight="1">
      <c r="A686" s="59"/>
      <c r="D686" s="60"/>
      <c r="E686" s="60"/>
      <c r="K686" s="60"/>
      <c r="L686" s="61"/>
    </row>
    <row r="687" spans="1:12" ht="15.75" customHeight="1">
      <c r="A687" s="59"/>
      <c r="D687" s="60"/>
      <c r="E687" s="60"/>
      <c r="K687" s="60"/>
      <c r="L687" s="61"/>
    </row>
    <row r="688" spans="1:12" ht="15.75" customHeight="1">
      <c r="A688" s="59"/>
      <c r="D688" s="60"/>
      <c r="E688" s="60"/>
      <c r="K688" s="60"/>
      <c r="L688" s="61"/>
    </row>
    <row r="689" spans="1:12" ht="15.75" customHeight="1">
      <c r="A689" s="59"/>
      <c r="D689" s="60"/>
      <c r="E689" s="60"/>
      <c r="K689" s="60"/>
      <c r="L689" s="61"/>
    </row>
    <row r="690" spans="1:12" ht="15.75" customHeight="1">
      <c r="A690" s="59"/>
      <c r="D690" s="60"/>
      <c r="E690" s="60"/>
      <c r="K690" s="60"/>
      <c r="L690" s="61"/>
    </row>
    <row r="691" spans="1:12" ht="15.75" customHeight="1">
      <c r="A691" s="59"/>
      <c r="D691" s="60"/>
      <c r="E691" s="60"/>
      <c r="K691" s="60"/>
      <c r="L691" s="61"/>
    </row>
    <row r="692" spans="1:12" ht="15.75" customHeight="1">
      <c r="A692" s="59"/>
      <c r="D692" s="60"/>
      <c r="E692" s="60"/>
      <c r="K692" s="60"/>
      <c r="L692" s="61"/>
    </row>
    <row r="693" spans="1:12" ht="15.75" customHeight="1">
      <c r="A693" s="59"/>
      <c r="D693" s="60"/>
      <c r="E693" s="60"/>
      <c r="K693" s="60"/>
      <c r="L693" s="61"/>
    </row>
    <row r="694" spans="1:12" ht="15.75" customHeight="1">
      <c r="A694" s="59"/>
      <c r="D694" s="60"/>
      <c r="E694" s="60"/>
      <c r="K694" s="60"/>
      <c r="L694" s="61"/>
    </row>
    <row r="695" spans="1:12" ht="15.75" customHeight="1">
      <c r="A695" s="59"/>
      <c r="D695" s="60"/>
      <c r="E695" s="60"/>
      <c r="K695" s="60"/>
      <c r="L695" s="61"/>
    </row>
    <row r="696" spans="1:12" ht="15.75" customHeight="1">
      <c r="A696" s="59"/>
      <c r="D696" s="60"/>
      <c r="E696" s="60"/>
      <c r="K696" s="60"/>
      <c r="L696" s="61"/>
    </row>
    <row r="697" spans="1:12" ht="15.75" customHeight="1">
      <c r="A697" s="59"/>
      <c r="D697" s="60"/>
      <c r="E697" s="60"/>
      <c r="K697" s="60"/>
      <c r="L697" s="61"/>
    </row>
    <row r="698" spans="1:12" ht="15.75" customHeight="1">
      <c r="A698" s="59"/>
      <c r="D698" s="60"/>
      <c r="E698" s="60"/>
      <c r="K698" s="60"/>
      <c r="L698" s="61"/>
    </row>
    <row r="699" spans="1:12" ht="15.75" customHeight="1">
      <c r="A699" s="59"/>
      <c r="D699" s="60"/>
      <c r="E699" s="60"/>
      <c r="K699" s="60"/>
      <c r="L699" s="61"/>
    </row>
    <row r="700" spans="1:12" ht="15.75" customHeight="1">
      <c r="A700" s="59"/>
      <c r="D700" s="60"/>
      <c r="E700" s="60"/>
      <c r="K700" s="60"/>
      <c r="L700" s="61"/>
    </row>
    <row r="701" spans="1:12" ht="15.75" customHeight="1">
      <c r="A701" s="59"/>
      <c r="D701" s="60"/>
      <c r="E701" s="60"/>
      <c r="K701" s="60"/>
      <c r="L701" s="61"/>
    </row>
    <row r="702" spans="1:12" ht="15.75" customHeight="1">
      <c r="A702" s="59"/>
      <c r="D702" s="60"/>
      <c r="E702" s="60"/>
      <c r="K702" s="60"/>
      <c r="L702" s="61"/>
    </row>
    <row r="703" spans="1:12" ht="15.75" customHeight="1">
      <c r="A703" s="59"/>
      <c r="D703" s="60"/>
      <c r="E703" s="60"/>
      <c r="K703" s="60"/>
      <c r="L703" s="61"/>
    </row>
    <row r="704" spans="1:12" ht="15.75" customHeight="1">
      <c r="A704" s="59"/>
      <c r="D704" s="60"/>
      <c r="E704" s="60"/>
      <c r="K704" s="60"/>
      <c r="L704" s="61"/>
    </row>
    <row r="705" spans="1:12" ht="15.75" customHeight="1">
      <c r="A705" s="59"/>
      <c r="D705" s="60"/>
      <c r="E705" s="60"/>
      <c r="K705" s="60"/>
      <c r="L705" s="61"/>
    </row>
    <row r="706" spans="1:12" ht="15.75" customHeight="1">
      <c r="A706" s="59"/>
      <c r="D706" s="60"/>
      <c r="E706" s="60"/>
      <c r="K706" s="60"/>
      <c r="L706" s="61"/>
    </row>
    <row r="707" spans="1:12" ht="15.75" customHeight="1">
      <c r="A707" s="59"/>
      <c r="D707" s="60"/>
      <c r="E707" s="60"/>
      <c r="K707" s="60"/>
      <c r="L707" s="61"/>
    </row>
    <row r="708" spans="1:12" ht="15.75" customHeight="1">
      <c r="A708" s="59"/>
      <c r="D708" s="60"/>
      <c r="E708" s="60"/>
      <c r="K708" s="60"/>
      <c r="L708" s="61"/>
    </row>
    <row r="709" spans="1:12" ht="15.75" customHeight="1">
      <c r="A709" s="59"/>
      <c r="D709" s="60"/>
      <c r="E709" s="60"/>
      <c r="K709" s="60"/>
      <c r="L709" s="61"/>
    </row>
    <row r="710" spans="1:12" ht="15.75" customHeight="1">
      <c r="A710" s="59"/>
      <c r="D710" s="60"/>
      <c r="E710" s="60"/>
      <c r="K710" s="60"/>
      <c r="L710" s="61"/>
    </row>
    <row r="711" spans="1:12" ht="15.75" customHeight="1">
      <c r="A711" s="59"/>
      <c r="D711" s="60"/>
      <c r="E711" s="60"/>
      <c r="K711" s="60"/>
      <c r="L711" s="61"/>
    </row>
    <row r="712" spans="1:12" ht="15.75" customHeight="1">
      <c r="A712" s="59"/>
      <c r="D712" s="60"/>
      <c r="E712" s="60"/>
      <c r="K712" s="60"/>
      <c r="L712" s="61"/>
    </row>
    <row r="713" spans="1:12" ht="15.75" customHeight="1">
      <c r="A713" s="59"/>
      <c r="D713" s="60"/>
      <c r="E713" s="60"/>
      <c r="K713" s="60"/>
      <c r="L713" s="61"/>
    </row>
    <row r="714" spans="1:12" ht="15.75" customHeight="1">
      <c r="A714" s="59"/>
      <c r="D714" s="60"/>
      <c r="E714" s="60"/>
      <c r="K714" s="60"/>
      <c r="L714" s="61"/>
    </row>
    <row r="715" spans="1:12" ht="15.75" customHeight="1">
      <c r="A715" s="59"/>
      <c r="D715" s="60"/>
      <c r="E715" s="60"/>
      <c r="K715" s="60"/>
      <c r="L715" s="61"/>
    </row>
    <row r="716" spans="1:12" ht="15.75" customHeight="1">
      <c r="A716" s="59"/>
      <c r="D716" s="60"/>
      <c r="E716" s="60"/>
      <c r="K716" s="60"/>
      <c r="L716" s="61"/>
    </row>
    <row r="717" spans="1:12" ht="15.75" customHeight="1">
      <c r="A717" s="59"/>
      <c r="D717" s="60"/>
      <c r="E717" s="60"/>
      <c r="K717" s="60"/>
      <c r="L717" s="61"/>
    </row>
    <row r="718" spans="1:12" ht="15.75" customHeight="1">
      <c r="A718" s="59"/>
      <c r="D718" s="60"/>
      <c r="E718" s="60"/>
      <c r="K718" s="60"/>
      <c r="L718" s="61"/>
    </row>
    <row r="719" spans="1:12" ht="15.75" customHeight="1">
      <c r="A719" s="59"/>
      <c r="D719" s="60"/>
      <c r="E719" s="60"/>
      <c r="K719" s="60"/>
      <c r="L719" s="61"/>
    </row>
    <row r="720" spans="1:12" ht="15.75" customHeight="1">
      <c r="A720" s="59"/>
      <c r="D720" s="60"/>
      <c r="E720" s="60"/>
      <c r="K720" s="60"/>
      <c r="L720" s="61"/>
    </row>
    <row r="721" spans="1:12" ht="15.75" customHeight="1">
      <c r="A721" s="59"/>
      <c r="D721" s="60"/>
      <c r="E721" s="60"/>
      <c r="K721" s="60"/>
      <c r="L721" s="61"/>
    </row>
    <row r="722" spans="1:12" ht="15.75" customHeight="1">
      <c r="A722" s="59"/>
      <c r="D722" s="60"/>
      <c r="E722" s="60"/>
      <c r="K722" s="60"/>
      <c r="L722" s="61"/>
    </row>
    <row r="723" spans="1:12" ht="15.75" customHeight="1">
      <c r="A723" s="59"/>
      <c r="D723" s="60"/>
      <c r="E723" s="60"/>
      <c r="K723" s="60"/>
      <c r="L723" s="61"/>
    </row>
    <row r="724" spans="1:12" ht="15.75" customHeight="1">
      <c r="A724" s="59"/>
      <c r="D724" s="60"/>
      <c r="E724" s="60"/>
      <c r="K724" s="60"/>
      <c r="L724" s="61"/>
    </row>
    <row r="725" spans="1:12" ht="15.75" customHeight="1">
      <c r="A725" s="59"/>
      <c r="D725" s="60"/>
      <c r="E725" s="60"/>
      <c r="K725" s="60"/>
      <c r="L725" s="61"/>
    </row>
    <row r="726" spans="1:12" ht="15.75" customHeight="1">
      <c r="A726" s="59"/>
      <c r="D726" s="60"/>
      <c r="E726" s="60"/>
      <c r="K726" s="60"/>
      <c r="L726" s="61"/>
    </row>
    <row r="727" spans="1:12" ht="15.75" customHeight="1">
      <c r="A727" s="59"/>
      <c r="D727" s="60"/>
      <c r="E727" s="60"/>
      <c r="K727" s="60"/>
      <c r="L727" s="61"/>
    </row>
    <row r="728" spans="1:12" ht="15.75" customHeight="1">
      <c r="A728" s="59"/>
      <c r="D728" s="60"/>
      <c r="E728" s="60"/>
      <c r="K728" s="60"/>
      <c r="L728" s="61"/>
    </row>
    <row r="729" spans="1:12" ht="15.75" customHeight="1">
      <c r="A729" s="59"/>
      <c r="D729" s="60"/>
      <c r="E729" s="60"/>
      <c r="K729" s="60"/>
      <c r="L729" s="61"/>
    </row>
    <row r="730" spans="1:12" ht="15.75" customHeight="1">
      <c r="A730" s="59"/>
      <c r="D730" s="60"/>
      <c r="E730" s="60"/>
      <c r="K730" s="60"/>
      <c r="L730" s="61"/>
    </row>
    <row r="731" spans="1:12" ht="15.75" customHeight="1">
      <c r="A731" s="59"/>
      <c r="D731" s="60"/>
      <c r="E731" s="60"/>
      <c r="K731" s="60"/>
      <c r="L731" s="61"/>
    </row>
    <row r="732" spans="1:12" ht="15.75" customHeight="1">
      <c r="A732" s="59"/>
      <c r="D732" s="60"/>
      <c r="E732" s="60"/>
      <c r="K732" s="60"/>
      <c r="L732" s="61"/>
    </row>
    <row r="733" spans="1:12" ht="15.75" customHeight="1">
      <c r="A733" s="59"/>
      <c r="D733" s="60"/>
      <c r="E733" s="60"/>
      <c r="K733" s="60"/>
      <c r="L733" s="61"/>
    </row>
    <row r="734" spans="1:12" ht="15.75" customHeight="1">
      <c r="A734" s="59"/>
      <c r="D734" s="60"/>
      <c r="E734" s="60"/>
      <c r="K734" s="60"/>
      <c r="L734" s="61"/>
    </row>
    <row r="735" spans="1:12" ht="15.75" customHeight="1">
      <c r="A735" s="59"/>
      <c r="D735" s="60"/>
      <c r="E735" s="60"/>
      <c r="K735" s="60"/>
      <c r="L735" s="61"/>
    </row>
    <row r="736" spans="1:12" ht="15.75" customHeight="1">
      <c r="A736" s="59"/>
      <c r="D736" s="60"/>
      <c r="E736" s="60"/>
      <c r="K736" s="60"/>
      <c r="L736" s="61"/>
    </row>
    <row r="737" spans="1:12" ht="15.75" customHeight="1">
      <c r="A737" s="59"/>
      <c r="D737" s="60"/>
      <c r="E737" s="60"/>
      <c r="K737" s="60"/>
      <c r="L737" s="61"/>
    </row>
    <row r="738" spans="1:12" ht="15.75" customHeight="1">
      <c r="A738" s="59"/>
      <c r="D738" s="60"/>
      <c r="E738" s="60"/>
      <c r="K738" s="60"/>
      <c r="L738" s="61"/>
    </row>
    <row r="739" spans="1:12" ht="15.75" customHeight="1">
      <c r="A739" s="59"/>
      <c r="D739" s="60"/>
      <c r="E739" s="60"/>
      <c r="K739" s="60"/>
      <c r="L739" s="61"/>
    </row>
    <row r="740" spans="1:12" ht="15.75" customHeight="1">
      <c r="A740" s="59"/>
      <c r="D740" s="60"/>
      <c r="E740" s="60"/>
      <c r="K740" s="60"/>
      <c r="L740" s="61"/>
    </row>
    <row r="741" spans="1:12" ht="15.75" customHeight="1">
      <c r="A741" s="59"/>
      <c r="D741" s="60"/>
      <c r="E741" s="60"/>
      <c r="K741" s="60"/>
      <c r="L741" s="61"/>
    </row>
    <row r="742" spans="1:12" ht="15.75" customHeight="1">
      <c r="A742" s="59"/>
      <c r="D742" s="60"/>
      <c r="E742" s="60"/>
      <c r="K742" s="60"/>
      <c r="L742" s="61"/>
    </row>
    <row r="743" spans="1:12" ht="15.75" customHeight="1">
      <c r="A743" s="59"/>
      <c r="D743" s="60"/>
      <c r="E743" s="60"/>
      <c r="K743" s="60"/>
      <c r="L743" s="61"/>
    </row>
    <row r="744" spans="1:12" ht="15.75" customHeight="1">
      <c r="A744" s="59"/>
      <c r="D744" s="60"/>
      <c r="E744" s="60"/>
      <c r="K744" s="60"/>
      <c r="L744" s="61"/>
    </row>
    <row r="745" spans="1:12" ht="15.75" customHeight="1">
      <c r="A745" s="59"/>
      <c r="D745" s="60"/>
      <c r="E745" s="60"/>
      <c r="K745" s="60"/>
      <c r="L745" s="61"/>
    </row>
    <row r="746" spans="1:12" ht="15.75" customHeight="1">
      <c r="A746" s="59"/>
      <c r="D746" s="60"/>
      <c r="E746" s="60"/>
      <c r="K746" s="60"/>
      <c r="L746" s="61"/>
    </row>
    <row r="747" spans="1:12" ht="15.75" customHeight="1">
      <c r="A747" s="59"/>
      <c r="D747" s="60"/>
      <c r="E747" s="60"/>
      <c r="K747" s="60"/>
      <c r="L747" s="61"/>
    </row>
    <row r="748" spans="1:12" ht="15.75" customHeight="1">
      <c r="A748" s="59"/>
      <c r="D748" s="60"/>
      <c r="E748" s="60"/>
      <c r="K748" s="60"/>
      <c r="L748" s="61"/>
    </row>
    <row r="749" spans="1:12" ht="15.75" customHeight="1">
      <c r="A749" s="59"/>
      <c r="D749" s="60"/>
      <c r="E749" s="60"/>
      <c r="K749" s="60"/>
      <c r="L749" s="61"/>
    </row>
    <row r="750" spans="1:12" ht="15.75" customHeight="1">
      <c r="A750" s="59"/>
      <c r="D750" s="60"/>
      <c r="E750" s="60"/>
      <c r="K750" s="60"/>
      <c r="L750" s="61"/>
    </row>
    <row r="751" spans="1:12" ht="15.75" customHeight="1">
      <c r="A751" s="59"/>
      <c r="D751" s="60"/>
      <c r="E751" s="60"/>
      <c r="K751" s="60"/>
      <c r="L751" s="61"/>
    </row>
    <row r="752" spans="1:12" ht="15.75" customHeight="1">
      <c r="A752" s="59"/>
      <c r="D752" s="60"/>
      <c r="E752" s="60"/>
      <c r="K752" s="60"/>
      <c r="L752" s="61"/>
    </row>
    <row r="753" spans="1:12" ht="15.75" customHeight="1">
      <c r="A753" s="59"/>
      <c r="D753" s="60"/>
      <c r="E753" s="60"/>
      <c r="K753" s="60"/>
      <c r="L753" s="61"/>
    </row>
    <row r="754" spans="1:12" ht="15.75" customHeight="1">
      <c r="A754" s="59"/>
      <c r="D754" s="60"/>
      <c r="E754" s="60"/>
      <c r="K754" s="60"/>
      <c r="L754" s="61"/>
    </row>
    <row r="755" spans="1:12" ht="15.75" customHeight="1">
      <c r="A755" s="59"/>
      <c r="D755" s="60"/>
      <c r="E755" s="60"/>
      <c r="K755" s="60"/>
      <c r="L755" s="61"/>
    </row>
    <row r="756" spans="1:12" ht="15.75" customHeight="1">
      <c r="A756" s="59"/>
      <c r="D756" s="60"/>
      <c r="E756" s="60"/>
      <c r="K756" s="60"/>
      <c r="L756" s="61"/>
    </row>
    <row r="757" spans="1:12" ht="15.75" customHeight="1">
      <c r="A757" s="59"/>
      <c r="D757" s="60"/>
      <c r="E757" s="60"/>
      <c r="K757" s="60"/>
      <c r="L757" s="61"/>
    </row>
    <row r="758" spans="1:12" ht="15.75" customHeight="1">
      <c r="A758" s="59"/>
      <c r="D758" s="60"/>
      <c r="E758" s="60"/>
      <c r="K758" s="60"/>
      <c r="L758" s="61"/>
    </row>
    <row r="759" spans="1:12" ht="15.75" customHeight="1">
      <c r="A759" s="59"/>
      <c r="D759" s="60"/>
      <c r="E759" s="60"/>
      <c r="K759" s="60"/>
      <c r="L759" s="61"/>
    </row>
    <row r="760" spans="1:12" ht="15.75" customHeight="1">
      <c r="A760" s="59"/>
      <c r="D760" s="60"/>
      <c r="E760" s="60"/>
      <c r="K760" s="60"/>
      <c r="L760" s="61"/>
    </row>
    <row r="761" spans="1:12" ht="15.75" customHeight="1">
      <c r="A761" s="59"/>
      <c r="D761" s="60"/>
      <c r="E761" s="60"/>
      <c r="K761" s="60"/>
      <c r="L761" s="61"/>
    </row>
    <row r="762" spans="1:12" ht="15.75" customHeight="1">
      <c r="A762" s="59"/>
      <c r="D762" s="60"/>
      <c r="E762" s="60"/>
      <c r="K762" s="60"/>
      <c r="L762" s="61"/>
    </row>
    <row r="763" spans="1:12" ht="15.75" customHeight="1">
      <c r="A763" s="59"/>
      <c r="D763" s="60"/>
      <c r="E763" s="60"/>
      <c r="K763" s="60"/>
      <c r="L763" s="61"/>
    </row>
    <row r="764" spans="1:12" ht="15.75" customHeight="1">
      <c r="A764" s="59"/>
      <c r="D764" s="60"/>
      <c r="E764" s="60"/>
      <c r="K764" s="60"/>
      <c r="L764" s="61"/>
    </row>
    <row r="765" spans="1:12" ht="15.75" customHeight="1">
      <c r="A765" s="59"/>
      <c r="D765" s="60"/>
      <c r="E765" s="60"/>
      <c r="K765" s="60"/>
      <c r="L765" s="61"/>
    </row>
    <row r="766" spans="1:12" ht="15.75" customHeight="1">
      <c r="A766" s="59"/>
      <c r="D766" s="60"/>
      <c r="E766" s="60"/>
      <c r="K766" s="60"/>
      <c r="L766" s="61"/>
    </row>
    <row r="767" spans="1:12" ht="15.75" customHeight="1">
      <c r="A767" s="59"/>
      <c r="D767" s="60"/>
      <c r="E767" s="60"/>
      <c r="K767" s="60"/>
      <c r="L767" s="61"/>
    </row>
    <row r="768" spans="1:12" ht="15.75" customHeight="1">
      <c r="A768" s="59"/>
      <c r="D768" s="60"/>
      <c r="E768" s="60"/>
      <c r="K768" s="60"/>
      <c r="L768" s="61"/>
    </row>
    <row r="769" spans="1:12" ht="15.75" customHeight="1">
      <c r="A769" s="59"/>
      <c r="D769" s="60"/>
      <c r="E769" s="60"/>
      <c r="K769" s="60"/>
      <c r="L769" s="61"/>
    </row>
    <row r="770" spans="1:12" ht="15.75" customHeight="1">
      <c r="A770" s="59"/>
      <c r="D770" s="60"/>
      <c r="E770" s="60"/>
      <c r="K770" s="60"/>
      <c r="L770" s="61"/>
    </row>
    <row r="771" spans="1:12" ht="15.75" customHeight="1">
      <c r="A771" s="59"/>
      <c r="D771" s="60"/>
      <c r="E771" s="60"/>
      <c r="K771" s="60"/>
      <c r="L771" s="61"/>
    </row>
    <row r="772" spans="1:12" ht="15.75" customHeight="1">
      <c r="A772" s="59"/>
      <c r="D772" s="60"/>
      <c r="E772" s="60"/>
      <c r="K772" s="60"/>
      <c r="L772" s="61"/>
    </row>
    <row r="773" spans="1:12" ht="15.75" customHeight="1">
      <c r="A773" s="59"/>
      <c r="D773" s="60"/>
      <c r="E773" s="60"/>
      <c r="K773" s="60"/>
      <c r="L773" s="61"/>
    </row>
    <row r="774" spans="1:12" ht="15.75" customHeight="1">
      <c r="A774" s="59"/>
      <c r="D774" s="60"/>
      <c r="E774" s="60"/>
      <c r="K774" s="60"/>
      <c r="L774" s="61"/>
    </row>
    <row r="775" spans="1:12" ht="15.75" customHeight="1">
      <c r="A775" s="59"/>
      <c r="D775" s="60"/>
      <c r="E775" s="60"/>
      <c r="K775" s="60"/>
      <c r="L775" s="61"/>
    </row>
    <row r="776" spans="1:12" ht="15.75" customHeight="1">
      <c r="A776" s="59"/>
      <c r="D776" s="60"/>
      <c r="E776" s="60"/>
      <c r="K776" s="60"/>
      <c r="L776" s="61"/>
    </row>
    <row r="777" spans="1:12" ht="15.75" customHeight="1">
      <c r="A777" s="59"/>
      <c r="D777" s="60"/>
      <c r="E777" s="60"/>
      <c r="K777" s="60"/>
      <c r="L777" s="61"/>
    </row>
    <row r="778" spans="1:12" ht="15.75" customHeight="1">
      <c r="A778" s="59"/>
      <c r="D778" s="60"/>
      <c r="E778" s="60"/>
      <c r="K778" s="60"/>
      <c r="L778" s="61"/>
    </row>
    <row r="779" spans="1:12" ht="15.75" customHeight="1">
      <c r="A779" s="59"/>
      <c r="D779" s="60"/>
      <c r="E779" s="60"/>
      <c r="K779" s="60"/>
      <c r="L779" s="61"/>
    </row>
    <row r="780" spans="1:12" ht="15.75" customHeight="1">
      <c r="A780" s="59"/>
      <c r="D780" s="60"/>
      <c r="E780" s="60"/>
      <c r="K780" s="60"/>
      <c r="L780" s="61"/>
    </row>
    <row r="781" spans="1:12" ht="15.75" customHeight="1">
      <c r="A781" s="59"/>
      <c r="D781" s="60"/>
      <c r="E781" s="60"/>
      <c r="K781" s="60"/>
      <c r="L781" s="61"/>
    </row>
    <row r="782" spans="1:12" ht="15.75" customHeight="1">
      <c r="A782" s="59"/>
      <c r="D782" s="60"/>
      <c r="E782" s="60"/>
      <c r="K782" s="60"/>
      <c r="L782" s="61"/>
    </row>
    <row r="783" spans="1:12" ht="15.75" customHeight="1">
      <c r="A783" s="59"/>
      <c r="D783" s="60"/>
      <c r="E783" s="60"/>
      <c r="K783" s="60"/>
      <c r="L783" s="61"/>
    </row>
    <row r="784" spans="1:12" ht="15.75" customHeight="1">
      <c r="A784" s="59"/>
      <c r="D784" s="60"/>
      <c r="E784" s="60"/>
      <c r="K784" s="60"/>
      <c r="L784" s="61"/>
    </row>
    <row r="785" spans="1:12" ht="15.75" customHeight="1">
      <c r="A785" s="59"/>
      <c r="D785" s="60"/>
      <c r="E785" s="60"/>
      <c r="K785" s="60"/>
      <c r="L785" s="61"/>
    </row>
    <row r="786" spans="1:12" ht="15.75" customHeight="1">
      <c r="A786" s="59"/>
      <c r="D786" s="60"/>
      <c r="E786" s="60"/>
      <c r="K786" s="60"/>
      <c r="L786" s="61"/>
    </row>
    <row r="787" spans="1:12" ht="15.75" customHeight="1">
      <c r="A787" s="59"/>
      <c r="D787" s="60"/>
      <c r="E787" s="60"/>
      <c r="K787" s="60"/>
      <c r="L787" s="61"/>
    </row>
    <row r="788" spans="1:12" ht="15.75" customHeight="1">
      <c r="A788" s="59"/>
      <c r="D788" s="60"/>
      <c r="E788" s="60"/>
      <c r="K788" s="60"/>
      <c r="L788" s="61"/>
    </row>
    <row r="789" spans="1:12" ht="15.75" customHeight="1">
      <c r="A789" s="59"/>
      <c r="D789" s="60"/>
      <c r="E789" s="60"/>
      <c r="K789" s="60"/>
      <c r="L789" s="61"/>
    </row>
    <row r="790" spans="1:12" ht="15.75" customHeight="1">
      <c r="A790" s="59"/>
      <c r="D790" s="60"/>
      <c r="E790" s="60"/>
      <c r="K790" s="60"/>
      <c r="L790" s="61"/>
    </row>
    <row r="791" spans="1:12" ht="15.75" customHeight="1">
      <c r="A791" s="59"/>
      <c r="D791" s="60"/>
      <c r="E791" s="60"/>
      <c r="K791" s="60"/>
      <c r="L791" s="61"/>
    </row>
    <row r="792" spans="1:12" ht="15.75" customHeight="1">
      <c r="A792" s="59"/>
      <c r="D792" s="60"/>
      <c r="E792" s="60"/>
      <c r="K792" s="60"/>
      <c r="L792" s="61"/>
    </row>
    <row r="793" spans="1:12" ht="15.75" customHeight="1">
      <c r="A793" s="59"/>
      <c r="D793" s="60"/>
      <c r="E793" s="60"/>
      <c r="K793" s="60"/>
      <c r="L793" s="61"/>
    </row>
    <row r="794" spans="1:12" ht="15.75" customHeight="1">
      <c r="A794" s="59"/>
      <c r="D794" s="60"/>
      <c r="E794" s="60"/>
      <c r="K794" s="60"/>
      <c r="L794" s="61"/>
    </row>
    <row r="795" spans="1:12" ht="15.75" customHeight="1">
      <c r="A795" s="59"/>
      <c r="D795" s="60"/>
      <c r="E795" s="60"/>
      <c r="K795" s="60"/>
      <c r="L795" s="61"/>
    </row>
    <row r="796" spans="1:12" ht="15.75" customHeight="1">
      <c r="A796" s="59"/>
      <c r="D796" s="60"/>
      <c r="E796" s="60"/>
      <c r="K796" s="60"/>
      <c r="L796" s="61"/>
    </row>
    <row r="797" spans="1:12" ht="15.75" customHeight="1">
      <c r="A797" s="59"/>
      <c r="D797" s="60"/>
      <c r="E797" s="60"/>
      <c r="K797" s="60"/>
      <c r="L797" s="61"/>
    </row>
    <row r="798" spans="1:12" ht="15.75" customHeight="1">
      <c r="A798" s="59"/>
      <c r="D798" s="60"/>
      <c r="E798" s="60"/>
      <c r="K798" s="60"/>
      <c r="L798" s="61"/>
    </row>
    <row r="799" spans="1:12" ht="15.75" customHeight="1">
      <c r="A799" s="59"/>
      <c r="D799" s="60"/>
      <c r="E799" s="60"/>
      <c r="K799" s="60"/>
      <c r="L799" s="61"/>
    </row>
    <row r="800" spans="1:12" ht="15.75" customHeight="1">
      <c r="A800" s="59"/>
      <c r="D800" s="60"/>
      <c r="E800" s="60"/>
      <c r="K800" s="60"/>
      <c r="L800" s="61"/>
    </row>
    <row r="801" spans="1:12" ht="15.75" customHeight="1">
      <c r="A801" s="59"/>
      <c r="D801" s="60"/>
      <c r="E801" s="60"/>
      <c r="K801" s="60"/>
      <c r="L801" s="61"/>
    </row>
    <row r="802" spans="1:12" ht="15.75" customHeight="1">
      <c r="A802" s="59"/>
      <c r="D802" s="60"/>
      <c r="E802" s="60"/>
      <c r="K802" s="60"/>
      <c r="L802" s="61"/>
    </row>
    <row r="803" spans="1:12" ht="15.75" customHeight="1">
      <c r="A803" s="59"/>
      <c r="D803" s="60"/>
      <c r="E803" s="60"/>
      <c r="K803" s="60"/>
      <c r="L803" s="61"/>
    </row>
    <row r="804" spans="1:12" ht="15.75" customHeight="1">
      <c r="A804" s="59"/>
      <c r="D804" s="60"/>
      <c r="E804" s="60"/>
      <c r="K804" s="60"/>
      <c r="L804" s="61"/>
    </row>
    <row r="805" spans="1:12" ht="15.75" customHeight="1">
      <c r="A805" s="59"/>
      <c r="D805" s="60"/>
      <c r="E805" s="60"/>
      <c r="K805" s="60"/>
      <c r="L805" s="61"/>
    </row>
    <row r="806" spans="1:12" ht="15.75" customHeight="1">
      <c r="A806" s="59"/>
      <c r="D806" s="60"/>
      <c r="E806" s="60"/>
      <c r="K806" s="60"/>
      <c r="L806" s="61"/>
    </row>
    <row r="807" spans="1:12" ht="15.75" customHeight="1">
      <c r="A807" s="59"/>
      <c r="D807" s="60"/>
      <c r="E807" s="60"/>
      <c r="K807" s="60"/>
      <c r="L807" s="61"/>
    </row>
    <row r="808" spans="1:12" ht="15.75" customHeight="1">
      <c r="A808" s="59"/>
      <c r="D808" s="60"/>
      <c r="E808" s="60"/>
      <c r="K808" s="60"/>
      <c r="L808" s="61"/>
    </row>
    <row r="809" spans="1:12" ht="15.75" customHeight="1">
      <c r="A809" s="59"/>
      <c r="D809" s="60"/>
      <c r="E809" s="60"/>
      <c r="K809" s="60"/>
      <c r="L809" s="61"/>
    </row>
    <row r="810" spans="1:12" ht="15.75" customHeight="1">
      <c r="A810" s="59"/>
      <c r="D810" s="60"/>
      <c r="E810" s="60"/>
      <c r="K810" s="60"/>
      <c r="L810" s="61"/>
    </row>
    <row r="811" spans="1:12" ht="15.75" customHeight="1">
      <c r="A811" s="59"/>
      <c r="D811" s="60"/>
      <c r="E811" s="60"/>
      <c r="K811" s="60"/>
      <c r="L811" s="61"/>
    </row>
    <row r="812" spans="1:12" ht="15.75" customHeight="1">
      <c r="A812" s="59"/>
      <c r="D812" s="60"/>
      <c r="E812" s="60"/>
      <c r="K812" s="60"/>
      <c r="L812" s="61"/>
    </row>
    <row r="813" spans="1:12" ht="15.75" customHeight="1">
      <c r="A813" s="59"/>
      <c r="D813" s="60"/>
      <c r="E813" s="60"/>
      <c r="K813" s="60"/>
      <c r="L813" s="61"/>
    </row>
    <row r="814" spans="1:12" ht="15.75" customHeight="1">
      <c r="A814" s="59"/>
      <c r="D814" s="60"/>
      <c r="E814" s="60"/>
      <c r="K814" s="60"/>
      <c r="L814" s="61"/>
    </row>
    <row r="815" spans="1:12" ht="15.75" customHeight="1">
      <c r="A815" s="59"/>
      <c r="D815" s="60"/>
      <c r="E815" s="60"/>
      <c r="K815" s="60"/>
      <c r="L815" s="61"/>
    </row>
    <row r="816" spans="1:12" ht="15.75" customHeight="1">
      <c r="A816" s="59"/>
      <c r="D816" s="60"/>
      <c r="E816" s="60"/>
      <c r="K816" s="60"/>
      <c r="L816" s="61"/>
    </row>
    <row r="817" spans="1:12" ht="15.75" customHeight="1">
      <c r="A817" s="59"/>
      <c r="D817" s="60"/>
      <c r="E817" s="60"/>
      <c r="K817" s="60"/>
      <c r="L817" s="61"/>
    </row>
    <row r="818" spans="1:12" ht="15.75" customHeight="1">
      <c r="A818" s="59"/>
      <c r="D818" s="60"/>
      <c r="E818" s="60"/>
      <c r="K818" s="60"/>
      <c r="L818" s="61"/>
    </row>
    <row r="819" spans="1:12" ht="15.75" customHeight="1">
      <c r="A819" s="59"/>
      <c r="D819" s="60"/>
      <c r="E819" s="60"/>
      <c r="K819" s="60"/>
      <c r="L819" s="61"/>
    </row>
    <row r="820" spans="1:12" ht="15.75" customHeight="1">
      <c r="A820" s="59"/>
      <c r="D820" s="60"/>
      <c r="E820" s="60"/>
      <c r="K820" s="60"/>
      <c r="L820" s="61"/>
    </row>
    <row r="821" spans="1:12" ht="15.75" customHeight="1">
      <c r="A821" s="59"/>
      <c r="D821" s="60"/>
      <c r="E821" s="60"/>
      <c r="K821" s="60"/>
      <c r="L821" s="61"/>
    </row>
    <row r="822" spans="1:12" ht="15.75" customHeight="1">
      <c r="A822" s="59"/>
      <c r="D822" s="60"/>
      <c r="E822" s="60"/>
      <c r="K822" s="60"/>
      <c r="L822" s="61"/>
    </row>
    <row r="823" spans="1:12" ht="15.75" customHeight="1">
      <c r="A823" s="59"/>
      <c r="D823" s="60"/>
      <c r="E823" s="60"/>
      <c r="K823" s="60"/>
      <c r="L823" s="61"/>
    </row>
    <row r="824" spans="1:12" ht="15.75" customHeight="1">
      <c r="A824" s="59"/>
      <c r="D824" s="60"/>
      <c r="E824" s="60"/>
      <c r="K824" s="60"/>
      <c r="L824" s="61"/>
    </row>
    <row r="825" spans="1:12" ht="15.75" customHeight="1">
      <c r="A825" s="59"/>
      <c r="D825" s="60"/>
      <c r="E825" s="60"/>
      <c r="K825" s="60"/>
      <c r="L825" s="61"/>
    </row>
    <row r="826" spans="1:12" ht="15.75" customHeight="1">
      <c r="A826" s="59"/>
      <c r="D826" s="60"/>
      <c r="E826" s="60"/>
      <c r="K826" s="60"/>
      <c r="L826" s="61"/>
    </row>
    <row r="827" spans="1:12" ht="15.75" customHeight="1">
      <c r="A827" s="59"/>
      <c r="D827" s="60"/>
      <c r="E827" s="60"/>
      <c r="K827" s="60"/>
      <c r="L827" s="61"/>
    </row>
    <row r="828" spans="1:12" ht="15.75" customHeight="1">
      <c r="A828" s="59"/>
      <c r="D828" s="60"/>
      <c r="E828" s="60"/>
      <c r="K828" s="60"/>
      <c r="L828" s="61"/>
    </row>
    <row r="829" spans="1:12" ht="15.75" customHeight="1">
      <c r="A829" s="59"/>
      <c r="D829" s="60"/>
      <c r="E829" s="60"/>
      <c r="K829" s="60"/>
      <c r="L829" s="61"/>
    </row>
    <row r="830" spans="1:12" ht="15.75" customHeight="1">
      <c r="A830" s="59"/>
      <c r="D830" s="60"/>
      <c r="E830" s="60"/>
      <c r="K830" s="60"/>
      <c r="L830" s="61"/>
    </row>
    <row r="831" spans="1:12" ht="15.75" customHeight="1">
      <c r="A831" s="59"/>
      <c r="D831" s="60"/>
      <c r="E831" s="60"/>
      <c r="K831" s="60"/>
      <c r="L831" s="61"/>
    </row>
    <row r="832" spans="1:12" ht="15.75" customHeight="1">
      <c r="A832" s="59"/>
      <c r="D832" s="60"/>
      <c r="E832" s="60"/>
      <c r="K832" s="60"/>
      <c r="L832" s="61"/>
    </row>
    <row r="833" spans="1:12" ht="15.75" customHeight="1">
      <c r="A833" s="59"/>
      <c r="D833" s="60"/>
      <c r="E833" s="60"/>
      <c r="K833" s="60"/>
      <c r="L833" s="61"/>
    </row>
    <row r="834" spans="1:12" ht="15.75" customHeight="1">
      <c r="A834" s="59"/>
      <c r="D834" s="60"/>
      <c r="E834" s="60"/>
      <c r="K834" s="60"/>
      <c r="L834" s="61"/>
    </row>
    <row r="835" spans="1:12" ht="15.75" customHeight="1">
      <c r="A835" s="59"/>
      <c r="D835" s="60"/>
      <c r="E835" s="60"/>
      <c r="K835" s="60"/>
      <c r="L835" s="61"/>
    </row>
    <row r="836" spans="1:12" ht="15.75" customHeight="1">
      <c r="A836" s="59"/>
      <c r="D836" s="60"/>
      <c r="E836" s="60"/>
      <c r="K836" s="60"/>
      <c r="L836" s="61"/>
    </row>
    <row r="837" spans="1:12" ht="15.75" customHeight="1">
      <c r="A837" s="59"/>
      <c r="D837" s="60"/>
      <c r="E837" s="60"/>
      <c r="K837" s="60"/>
      <c r="L837" s="61"/>
    </row>
    <row r="838" spans="1:12" ht="15.75" customHeight="1">
      <c r="A838" s="59"/>
      <c r="D838" s="60"/>
      <c r="E838" s="60"/>
      <c r="K838" s="60"/>
      <c r="L838" s="61"/>
    </row>
    <row r="839" spans="1:12" ht="15.75" customHeight="1">
      <c r="A839" s="59"/>
      <c r="D839" s="60"/>
      <c r="E839" s="60"/>
      <c r="K839" s="60"/>
      <c r="L839" s="61"/>
    </row>
    <row r="840" spans="1:12" ht="15.75" customHeight="1">
      <c r="A840" s="59"/>
      <c r="D840" s="60"/>
      <c r="E840" s="60"/>
      <c r="K840" s="60"/>
      <c r="L840" s="61"/>
    </row>
    <row r="841" spans="1:12" ht="15.75" customHeight="1">
      <c r="A841" s="59"/>
      <c r="D841" s="60"/>
      <c r="E841" s="60"/>
      <c r="K841" s="60"/>
      <c r="L841" s="61"/>
    </row>
    <row r="842" spans="1:12" ht="15.75" customHeight="1">
      <c r="A842" s="59"/>
      <c r="D842" s="60"/>
      <c r="E842" s="60"/>
      <c r="K842" s="60"/>
      <c r="L842" s="61"/>
    </row>
    <row r="843" spans="1:12" ht="15.75" customHeight="1">
      <c r="A843" s="59"/>
      <c r="D843" s="60"/>
      <c r="E843" s="60"/>
      <c r="K843" s="60"/>
      <c r="L843" s="61"/>
    </row>
    <row r="844" spans="1:12" ht="15.75" customHeight="1">
      <c r="A844" s="59"/>
      <c r="D844" s="60"/>
      <c r="E844" s="60"/>
      <c r="K844" s="60"/>
      <c r="L844" s="61"/>
    </row>
    <row r="845" spans="1:12" ht="15.75" customHeight="1">
      <c r="A845" s="59"/>
      <c r="D845" s="60"/>
      <c r="E845" s="60"/>
      <c r="K845" s="60"/>
      <c r="L845" s="61"/>
    </row>
    <row r="846" spans="1:12" ht="15.75" customHeight="1">
      <c r="A846" s="59"/>
      <c r="D846" s="60"/>
      <c r="E846" s="60"/>
      <c r="K846" s="60"/>
      <c r="L846" s="61"/>
    </row>
    <row r="847" spans="1:12" ht="15.75" customHeight="1">
      <c r="A847" s="59"/>
      <c r="D847" s="60"/>
      <c r="E847" s="60"/>
      <c r="K847" s="60"/>
      <c r="L847" s="61"/>
    </row>
    <row r="848" spans="1:12" ht="15.75" customHeight="1">
      <c r="A848" s="59"/>
      <c r="D848" s="60"/>
      <c r="E848" s="60"/>
      <c r="K848" s="60"/>
      <c r="L848" s="61"/>
    </row>
    <row r="849" spans="1:12" ht="15.75" customHeight="1">
      <c r="A849" s="59"/>
      <c r="D849" s="60"/>
      <c r="E849" s="60"/>
      <c r="K849" s="60"/>
      <c r="L849" s="61"/>
    </row>
    <row r="850" spans="1:12" ht="15.75" customHeight="1">
      <c r="A850" s="59"/>
      <c r="D850" s="60"/>
      <c r="E850" s="60"/>
      <c r="K850" s="60"/>
      <c r="L850" s="61"/>
    </row>
    <row r="851" spans="1:12" ht="15.75" customHeight="1">
      <c r="A851" s="59"/>
      <c r="D851" s="60"/>
      <c r="E851" s="60"/>
      <c r="K851" s="60"/>
      <c r="L851" s="61"/>
    </row>
    <row r="852" spans="1:12" ht="15.75" customHeight="1">
      <c r="A852" s="59"/>
      <c r="D852" s="60"/>
      <c r="E852" s="60"/>
      <c r="K852" s="60"/>
      <c r="L852" s="61"/>
    </row>
    <row r="853" spans="1:12" ht="15.75" customHeight="1">
      <c r="A853" s="59"/>
      <c r="D853" s="60"/>
      <c r="E853" s="60"/>
      <c r="K853" s="60"/>
      <c r="L853" s="61"/>
    </row>
    <row r="854" spans="1:12" ht="15.75" customHeight="1">
      <c r="A854" s="59"/>
      <c r="D854" s="60"/>
      <c r="E854" s="60"/>
      <c r="K854" s="60"/>
      <c r="L854" s="61"/>
    </row>
    <row r="855" spans="1:12" ht="15.75" customHeight="1">
      <c r="A855" s="59"/>
      <c r="D855" s="60"/>
      <c r="E855" s="60"/>
      <c r="K855" s="60"/>
      <c r="L855" s="61"/>
    </row>
    <row r="856" spans="1:12" ht="15.75" customHeight="1">
      <c r="A856" s="59"/>
      <c r="D856" s="60"/>
      <c r="E856" s="60"/>
      <c r="K856" s="60"/>
      <c r="L856" s="61"/>
    </row>
    <row r="857" spans="1:12" ht="15.75" customHeight="1">
      <c r="A857" s="59"/>
      <c r="D857" s="60"/>
      <c r="E857" s="60"/>
      <c r="K857" s="60"/>
      <c r="L857" s="61"/>
    </row>
    <row r="858" spans="1:12" ht="15.75" customHeight="1">
      <c r="A858" s="59"/>
      <c r="D858" s="60"/>
      <c r="E858" s="60"/>
      <c r="K858" s="60"/>
      <c r="L858" s="61"/>
    </row>
    <row r="859" spans="1:12" ht="15.75" customHeight="1">
      <c r="A859" s="59"/>
      <c r="D859" s="60"/>
      <c r="E859" s="60"/>
      <c r="K859" s="60"/>
      <c r="L859" s="61"/>
    </row>
    <row r="860" spans="1:12" ht="15.75" customHeight="1">
      <c r="A860" s="59"/>
      <c r="D860" s="60"/>
      <c r="E860" s="60"/>
      <c r="K860" s="60"/>
      <c r="L860" s="61"/>
    </row>
    <row r="861" spans="1:12" ht="15.75" customHeight="1">
      <c r="A861" s="59"/>
      <c r="D861" s="60"/>
      <c r="E861" s="60"/>
      <c r="K861" s="60"/>
      <c r="L861" s="61"/>
    </row>
    <row r="862" spans="1:12" ht="15.75" customHeight="1">
      <c r="A862" s="59"/>
      <c r="D862" s="60"/>
      <c r="E862" s="60"/>
      <c r="K862" s="60"/>
      <c r="L862" s="61"/>
    </row>
    <row r="863" spans="1:12" ht="15.75" customHeight="1">
      <c r="A863" s="59"/>
      <c r="D863" s="60"/>
      <c r="E863" s="60"/>
      <c r="K863" s="60"/>
      <c r="L863" s="61"/>
    </row>
    <row r="864" spans="1:12" ht="15.75" customHeight="1">
      <c r="A864" s="59"/>
      <c r="D864" s="60"/>
      <c r="E864" s="60"/>
      <c r="K864" s="60"/>
      <c r="L864" s="61"/>
    </row>
    <row r="865" spans="1:12" ht="15.75" customHeight="1">
      <c r="A865" s="59"/>
      <c r="D865" s="60"/>
      <c r="E865" s="60"/>
      <c r="K865" s="60"/>
      <c r="L865" s="61"/>
    </row>
    <row r="866" spans="1:12" ht="15.75" customHeight="1">
      <c r="A866" s="59"/>
      <c r="D866" s="60"/>
      <c r="E866" s="60"/>
      <c r="K866" s="60"/>
      <c r="L866" s="61"/>
    </row>
    <row r="867" spans="1:12" ht="15.75" customHeight="1">
      <c r="A867" s="59"/>
      <c r="D867" s="60"/>
      <c r="E867" s="60"/>
      <c r="K867" s="60"/>
      <c r="L867" s="61"/>
    </row>
    <row r="868" spans="1:12" ht="15.75" customHeight="1">
      <c r="A868" s="59"/>
      <c r="D868" s="60"/>
      <c r="E868" s="60"/>
      <c r="K868" s="60"/>
      <c r="L868" s="61"/>
    </row>
    <row r="869" spans="1:12" ht="15.75" customHeight="1">
      <c r="A869" s="59"/>
      <c r="D869" s="60"/>
      <c r="E869" s="60"/>
      <c r="K869" s="60"/>
      <c r="L869" s="61"/>
    </row>
    <row r="870" spans="1:12" ht="15.75" customHeight="1">
      <c r="A870" s="59"/>
      <c r="D870" s="60"/>
      <c r="E870" s="60"/>
      <c r="K870" s="60"/>
      <c r="L870" s="61"/>
    </row>
    <row r="871" spans="1:12" ht="15.75" customHeight="1">
      <c r="A871" s="59"/>
      <c r="D871" s="60"/>
      <c r="E871" s="60"/>
      <c r="K871" s="60"/>
      <c r="L871" s="61"/>
    </row>
    <row r="872" spans="1:12" ht="15.75" customHeight="1">
      <c r="A872" s="59"/>
      <c r="D872" s="60"/>
      <c r="E872" s="60"/>
      <c r="K872" s="60"/>
      <c r="L872" s="61"/>
    </row>
    <row r="873" spans="1:12" ht="15.75" customHeight="1">
      <c r="A873" s="59"/>
      <c r="D873" s="60"/>
      <c r="E873" s="60"/>
      <c r="K873" s="60"/>
      <c r="L873" s="61"/>
    </row>
    <row r="874" spans="1:12" ht="15.75" customHeight="1">
      <c r="A874" s="59"/>
      <c r="D874" s="60"/>
      <c r="E874" s="60"/>
      <c r="K874" s="60"/>
      <c r="L874" s="61"/>
    </row>
    <row r="875" spans="1:12" ht="15.75" customHeight="1">
      <c r="A875" s="59"/>
      <c r="D875" s="60"/>
      <c r="E875" s="60"/>
      <c r="K875" s="60"/>
      <c r="L875" s="61"/>
    </row>
    <row r="876" spans="1:12" ht="15.75" customHeight="1">
      <c r="A876" s="59"/>
      <c r="D876" s="60"/>
      <c r="E876" s="60"/>
      <c r="K876" s="60"/>
      <c r="L876" s="61"/>
    </row>
    <row r="877" spans="1:12" ht="15.75" customHeight="1">
      <c r="A877" s="59"/>
      <c r="D877" s="60"/>
      <c r="E877" s="60"/>
      <c r="K877" s="60"/>
      <c r="L877" s="61"/>
    </row>
    <row r="878" spans="1:12" ht="15.75" customHeight="1">
      <c r="A878" s="59"/>
      <c r="D878" s="60"/>
      <c r="E878" s="60"/>
      <c r="K878" s="60"/>
      <c r="L878" s="61"/>
    </row>
    <row r="879" spans="1:12" ht="15.75" customHeight="1">
      <c r="A879" s="59"/>
      <c r="D879" s="60"/>
      <c r="E879" s="60"/>
      <c r="K879" s="60"/>
      <c r="L879" s="61"/>
    </row>
    <row r="880" spans="1:12" ht="15.75" customHeight="1">
      <c r="A880" s="59"/>
      <c r="D880" s="60"/>
      <c r="E880" s="60"/>
      <c r="K880" s="60"/>
      <c r="L880" s="61"/>
    </row>
    <row r="881" spans="1:12" ht="15.75" customHeight="1">
      <c r="A881" s="59"/>
      <c r="D881" s="60"/>
      <c r="E881" s="60"/>
      <c r="K881" s="60"/>
      <c r="L881" s="61"/>
    </row>
    <row r="882" spans="1:12" ht="15.75" customHeight="1">
      <c r="A882" s="59"/>
      <c r="D882" s="60"/>
      <c r="E882" s="60"/>
      <c r="K882" s="60"/>
      <c r="L882" s="61"/>
    </row>
    <row r="883" spans="1:12" ht="15.75" customHeight="1">
      <c r="A883" s="59"/>
      <c r="D883" s="60"/>
      <c r="E883" s="60"/>
      <c r="K883" s="60"/>
      <c r="L883" s="61"/>
    </row>
    <row r="884" spans="1:12" ht="15.75" customHeight="1">
      <c r="A884" s="59"/>
      <c r="D884" s="60"/>
      <c r="E884" s="60"/>
      <c r="K884" s="60"/>
      <c r="L884" s="61"/>
    </row>
    <row r="885" spans="1:12" ht="15.75" customHeight="1">
      <c r="A885" s="59"/>
      <c r="D885" s="60"/>
      <c r="E885" s="60"/>
      <c r="K885" s="60"/>
      <c r="L885" s="61"/>
    </row>
    <row r="886" spans="1:12" ht="15.75" customHeight="1">
      <c r="A886" s="59"/>
      <c r="D886" s="60"/>
      <c r="E886" s="60"/>
      <c r="K886" s="60"/>
      <c r="L886" s="61"/>
    </row>
    <row r="887" spans="1:12" ht="15.75" customHeight="1">
      <c r="A887" s="59"/>
      <c r="D887" s="60"/>
      <c r="E887" s="60"/>
      <c r="K887" s="60"/>
      <c r="L887" s="61"/>
    </row>
    <row r="888" spans="1:12" ht="15.75" customHeight="1">
      <c r="A888" s="59"/>
      <c r="D888" s="60"/>
      <c r="E888" s="60"/>
      <c r="K888" s="60"/>
      <c r="L888" s="61"/>
    </row>
    <row r="889" spans="1:12" ht="15.75" customHeight="1">
      <c r="A889" s="59"/>
      <c r="D889" s="60"/>
      <c r="E889" s="60"/>
      <c r="K889" s="60"/>
      <c r="L889" s="61"/>
    </row>
    <row r="890" spans="1:12" ht="15.75" customHeight="1">
      <c r="A890" s="59"/>
      <c r="D890" s="60"/>
      <c r="E890" s="60"/>
      <c r="K890" s="60"/>
      <c r="L890" s="61"/>
    </row>
    <row r="891" spans="1:12" ht="15.75" customHeight="1">
      <c r="A891" s="59"/>
      <c r="D891" s="60"/>
      <c r="E891" s="60"/>
      <c r="K891" s="60"/>
      <c r="L891" s="61"/>
    </row>
    <row r="892" spans="1:12" ht="15.75" customHeight="1">
      <c r="A892" s="59"/>
      <c r="D892" s="60"/>
      <c r="E892" s="60"/>
      <c r="K892" s="60"/>
      <c r="L892" s="61"/>
    </row>
    <row r="893" spans="1:12" ht="15.75" customHeight="1">
      <c r="A893" s="59"/>
      <c r="D893" s="60"/>
      <c r="E893" s="60"/>
      <c r="K893" s="60"/>
      <c r="L893" s="61"/>
    </row>
    <row r="894" spans="1:12" ht="15.75" customHeight="1">
      <c r="A894" s="59"/>
      <c r="D894" s="60"/>
      <c r="E894" s="60"/>
      <c r="K894" s="60"/>
      <c r="L894" s="61"/>
    </row>
    <row r="895" spans="1:12" ht="15.75" customHeight="1">
      <c r="A895" s="59"/>
      <c r="D895" s="60"/>
      <c r="E895" s="60"/>
      <c r="K895" s="60"/>
      <c r="L895" s="61"/>
    </row>
    <row r="896" spans="1:12" ht="15.75" customHeight="1">
      <c r="A896" s="59"/>
      <c r="D896" s="60"/>
      <c r="E896" s="60"/>
      <c r="K896" s="60"/>
      <c r="L896" s="61"/>
    </row>
    <row r="897" spans="1:12" ht="15.75" customHeight="1">
      <c r="A897" s="59"/>
      <c r="D897" s="60"/>
      <c r="E897" s="60"/>
      <c r="K897" s="60"/>
      <c r="L897" s="61"/>
    </row>
    <row r="898" spans="1:12" ht="15.75" customHeight="1">
      <c r="A898" s="59"/>
      <c r="D898" s="60"/>
      <c r="E898" s="60"/>
      <c r="K898" s="60"/>
      <c r="L898" s="61"/>
    </row>
    <row r="899" spans="1:12" ht="15.75" customHeight="1">
      <c r="A899" s="59"/>
      <c r="D899" s="60"/>
      <c r="E899" s="60"/>
      <c r="K899" s="60"/>
      <c r="L899" s="61"/>
    </row>
    <row r="900" spans="1:12" ht="15.75" customHeight="1">
      <c r="A900" s="59"/>
      <c r="D900" s="60"/>
      <c r="E900" s="60"/>
      <c r="K900" s="60"/>
      <c r="L900" s="61"/>
    </row>
    <row r="901" spans="1:12" ht="15.75" customHeight="1">
      <c r="A901" s="59"/>
      <c r="D901" s="60"/>
      <c r="E901" s="60"/>
      <c r="K901" s="60"/>
      <c r="L901" s="61"/>
    </row>
    <row r="902" spans="1:12" ht="15.75" customHeight="1">
      <c r="A902" s="59"/>
      <c r="D902" s="60"/>
      <c r="E902" s="60"/>
      <c r="K902" s="60"/>
      <c r="L902" s="61"/>
    </row>
    <row r="903" spans="1:12" ht="15.75" customHeight="1">
      <c r="A903" s="59"/>
      <c r="D903" s="60"/>
      <c r="E903" s="60"/>
      <c r="K903" s="60"/>
      <c r="L903" s="61"/>
    </row>
    <row r="904" spans="1:12" ht="15.75" customHeight="1">
      <c r="A904" s="59"/>
      <c r="D904" s="60"/>
      <c r="E904" s="60"/>
      <c r="K904" s="60"/>
      <c r="L904" s="61"/>
    </row>
    <row r="905" spans="1:12" ht="15.75" customHeight="1">
      <c r="A905" s="59"/>
      <c r="D905" s="60"/>
      <c r="E905" s="60"/>
      <c r="K905" s="60"/>
      <c r="L905" s="61"/>
    </row>
    <row r="906" spans="1:12" ht="15.75" customHeight="1">
      <c r="A906" s="59"/>
      <c r="D906" s="60"/>
      <c r="E906" s="60"/>
      <c r="K906" s="60"/>
      <c r="L906" s="61"/>
    </row>
    <row r="907" spans="1:12" ht="15.75" customHeight="1">
      <c r="A907" s="59"/>
      <c r="D907" s="60"/>
      <c r="E907" s="60"/>
      <c r="K907" s="60"/>
      <c r="L907" s="61"/>
    </row>
    <row r="908" spans="1:12" ht="15.75" customHeight="1">
      <c r="A908" s="59"/>
      <c r="D908" s="60"/>
      <c r="E908" s="60"/>
      <c r="K908" s="60"/>
      <c r="L908" s="61"/>
    </row>
    <row r="909" spans="1:12" ht="15.75" customHeight="1">
      <c r="A909" s="59"/>
      <c r="D909" s="60"/>
      <c r="E909" s="60"/>
      <c r="K909" s="60"/>
      <c r="L909" s="61"/>
    </row>
    <row r="910" spans="1:12" ht="15.75" customHeight="1">
      <c r="A910" s="59"/>
      <c r="D910" s="60"/>
      <c r="E910" s="60"/>
      <c r="K910" s="60"/>
      <c r="L910" s="61"/>
    </row>
    <row r="911" spans="1:12" ht="15.75" customHeight="1">
      <c r="A911" s="59"/>
      <c r="D911" s="60"/>
      <c r="E911" s="60"/>
      <c r="K911" s="60"/>
      <c r="L911" s="61"/>
    </row>
    <row r="912" spans="1:12" ht="15.75" customHeight="1">
      <c r="A912" s="59"/>
      <c r="D912" s="60"/>
      <c r="E912" s="60"/>
      <c r="K912" s="60"/>
      <c r="L912" s="61"/>
    </row>
    <row r="913" spans="1:12" ht="15.75" customHeight="1">
      <c r="A913" s="59"/>
      <c r="D913" s="60"/>
      <c r="E913" s="60"/>
      <c r="K913" s="60"/>
      <c r="L913" s="61"/>
    </row>
    <row r="914" spans="1:12" ht="15.75" customHeight="1">
      <c r="A914" s="59"/>
      <c r="D914" s="60"/>
      <c r="E914" s="60"/>
      <c r="K914" s="60"/>
      <c r="L914" s="61"/>
    </row>
    <row r="915" spans="1:12" ht="15.75" customHeight="1">
      <c r="A915" s="59"/>
      <c r="D915" s="60"/>
      <c r="E915" s="60"/>
      <c r="K915" s="60"/>
      <c r="L915" s="61"/>
    </row>
    <row r="916" spans="1:12" ht="15.75" customHeight="1">
      <c r="A916" s="59"/>
      <c r="D916" s="60"/>
      <c r="E916" s="60"/>
      <c r="K916" s="60"/>
      <c r="L916" s="61"/>
    </row>
    <row r="917" spans="1:12" ht="15.75" customHeight="1">
      <c r="A917" s="59"/>
      <c r="D917" s="60"/>
      <c r="E917" s="60"/>
      <c r="K917" s="60"/>
      <c r="L917" s="61"/>
    </row>
    <row r="918" spans="1:12" ht="15.75" customHeight="1">
      <c r="A918" s="59"/>
      <c r="D918" s="60"/>
      <c r="E918" s="60"/>
      <c r="K918" s="60"/>
      <c r="L918" s="61"/>
    </row>
    <row r="919" spans="1:12" ht="15.75" customHeight="1">
      <c r="A919" s="59"/>
      <c r="D919" s="60"/>
      <c r="E919" s="60"/>
      <c r="K919" s="60"/>
      <c r="L919" s="61"/>
    </row>
    <row r="920" spans="1:12" ht="15.75" customHeight="1">
      <c r="A920" s="59"/>
      <c r="D920" s="60"/>
      <c r="E920" s="60"/>
      <c r="K920" s="60"/>
      <c r="L920" s="61"/>
    </row>
    <row r="921" spans="1:12" ht="15.75" customHeight="1">
      <c r="A921" s="59"/>
      <c r="D921" s="60"/>
      <c r="E921" s="60"/>
      <c r="K921" s="60"/>
      <c r="L921" s="61"/>
    </row>
    <row r="922" spans="1:12" ht="15.75" customHeight="1">
      <c r="A922" s="59"/>
      <c r="D922" s="60"/>
      <c r="E922" s="60"/>
      <c r="K922" s="60"/>
      <c r="L922" s="61"/>
    </row>
    <row r="923" spans="1:12" ht="15.75" customHeight="1">
      <c r="A923" s="59"/>
      <c r="D923" s="60"/>
      <c r="E923" s="60"/>
      <c r="K923" s="60"/>
      <c r="L923" s="61"/>
    </row>
    <row r="924" spans="1:12" ht="15.75" customHeight="1">
      <c r="A924" s="59"/>
      <c r="D924" s="60"/>
      <c r="E924" s="60"/>
      <c r="K924" s="60"/>
      <c r="L924" s="61"/>
    </row>
    <row r="925" spans="1:12" ht="15.75" customHeight="1">
      <c r="A925" s="59"/>
      <c r="D925" s="60"/>
      <c r="E925" s="60"/>
      <c r="K925" s="60"/>
      <c r="L925" s="61"/>
    </row>
    <row r="926" spans="1:12" ht="15.75" customHeight="1">
      <c r="A926" s="59"/>
      <c r="D926" s="60"/>
      <c r="E926" s="60"/>
      <c r="K926" s="60"/>
      <c r="L926" s="61"/>
    </row>
    <row r="927" spans="1:12" ht="15.75" customHeight="1">
      <c r="A927" s="59"/>
      <c r="D927" s="60"/>
      <c r="E927" s="60"/>
      <c r="K927" s="60"/>
      <c r="L927" s="61"/>
    </row>
    <row r="928" spans="1:12" ht="15.75" customHeight="1">
      <c r="A928" s="59"/>
      <c r="D928" s="60"/>
      <c r="E928" s="60"/>
      <c r="K928" s="60"/>
      <c r="L928" s="61"/>
    </row>
    <row r="929" spans="1:12" ht="15.75" customHeight="1">
      <c r="A929" s="59"/>
      <c r="D929" s="60"/>
      <c r="E929" s="60"/>
      <c r="K929" s="60"/>
      <c r="L929" s="61"/>
    </row>
    <row r="930" spans="1:12" ht="15.75" customHeight="1">
      <c r="A930" s="59"/>
      <c r="D930" s="60"/>
      <c r="E930" s="60"/>
      <c r="K930" s="60"/>
      <c r="L930" s="61"/>
    </row>
    <row r="931" spans="1:12" ht="15.75" customHeight="1">
      <c r="A931" s="59"/>
      <c r="D931" s="60"/>
      <c r="E931" s="60"/>
      <c r="K931" s="60"/>
      <c r="L931" s="61"/>
    </row>
    <row r="932" spans="1:12" ht="15.75" customHeight="1">
      <c r="A932" s="59"/>
      <c r="D932" s="60"/>
      <c r="E932" s="60"/>
      <c r="K932" s="60"/>
      <c r="L932" s="61"/>
    </row>
    <row r="933" spans="1:12" ht="15.75" customHeight="1">
      <c r="A933" s="59"/>
      <c r="D933" s="60"/>
      <c r="E933" s="60"/>
      <c r="K933" s="60"/>
      <c r="L933" s="61"/>
    </row>
    <row r="934" spans="1:12" ht="15.75" customHeight="1">
      <c r="A934" s="59"/>
      <c r="D934" s="60"/>
      <c r="E934" s="60"/>
      <c r="K934" s="60"/>
      <c r="L934" s="61"/>
    </row>
    <row r="935" spans="1:12" ht="15.75" customHeight="1">
      <c r="A935" s="59"/>
      <c r="D935" s="60"/>
      <c r="E935" s="60"/>
      <c r="K935" s="60"/>
      <c r="L935" s="61"/>
    </row>
    <row r="936" spans="1:12" ht="15.75" customHeight="1">
      <c r="A936" s="59"/>
      <c r="D936" s="60"/>
      <c r="E936" s="60"/>
      <c r="K936" s="60"/>
      <c r="L936" s="61"/>
    </row>
    <row r="937" spans="1:12" ht="15.75" customHeight="1">
      <c r="A937" s="59"/>
      <c r="D937" s="60"/>
      <c r="E937" s="60"/>
      <c r="K937" s="60"/>
      <c r="L937" s="61"/>
    </row>
    <row r="938" spans="1:12" ht="15.75" customHeight="1">
      <c r="A938" s="59"/>
      <c r="D938" s="60"/>
      <c r="E938" s="60"/>
      <c r="K938" s="60"/>
      <c r="L938" s="61"/>
    </row>
    <row r="939" spans="1:12" ht="15.75" customHeight="1">
      <c r="A939" s="59"/>
      <c r="D939" s="60"/>
      <c r="E939" s="60"/>
      <c r="K939" s="60"/>
      <c r="L939" s="61"/>
    </row>
    <row r="940" spans="1:12" ht="15.75" customHeight="1">
      <c r="A940" s="59"/>
      <c r="D940" s="60"/>
      <c r="E940" s="60"/>
      <c r="K940" s="60"/>
      <c r="L940" s="61"/>
    </row>
    <row r="941" spans="1:12" ht="15.75" customHeight="1">
      <c r="A941" s="59"/>
      <c r="D941" s="60"/>
      <c r="E941" s="60"/>
      <c r="K941" s="60"/>
      <c r="L941" s="61"/>
    </row>
    <row r="942" spans="1:12" ht="15.75" customHeight="1">
      <c r="A942" s="59"/>
      <c r="D942" s="60"/>
      <c r="E942" s="60"/>
      <c r="K942" s="60"/>
      <c r="L942" s="61"/>
    </row>
    <row r="943" spans="1:12" ht="15.75" customHeight="1">
      <c r="A943" s="59"/>
      <c r="D943" s="60"/>
      <c r="E943" s="60"/>
      <c r="K943" s="60"/>
      <c r="L943" s="61"/>
    </row>
    <row r="944" spans="1:12" ht="15.75" customHeight="1">
      <c r="A944" s="59"/>
      <c r="D944" s="60"/>
      <c r="E944" s="60"/>
      <c r="K944" s="60"/>
      <c r="L944" s="61"/>
    </row>
    <row r="945" spans="1:12" ht="15.75" customHeight="1">
      <c r="A945" s="59"/>
      <c r="D945" s="60"/>
      <c r="E945" s="60"/>
      <c r="K945" s="60"/>
      <c r="L945" s="61"/>
    </row>
    <row r="946" spans="1:12" ht="15.75" customHeight="1">
      <c r="A946" s="59"/>
      <c r="D946" s="60"/>
      <c r="E946" s="60"/>
      <c r="K946" s="60"/>
      <c r="L946" s="61"/>
    </row>
    <row r="947" spans="1:12" ht="15.75" customHeight="1">
      <c r="A947" s="59"/>
      <c r="D947" s="60"/>
      <c r="E947" s="60"/>
      <c r="K947" s="60"/>
      <c r="L947" s="61"/>
    </row>
    <row r="948" spans="1:12" ht="15.75" customHeight="1">
      <c r="A948" s="59"/>
      <c r="D948" s="60"/>
      <c r="E948" s="60"/>
      <c r="K948" s="60"/>
      <c r="L948" s="61"/>
    </row>
    <row r="949" spans="1:12" ht="15.75" customHeight="1">
      <c r="A949" s="59"/>
      <c r="D949" s="60"/>
      <c r="E949" s="60"/>
      <c r="K949" s="60"/>
      <c r="L949" s="61"/>
    </row>
    <row r="950" spans="1:12" ht="15.75" customHeight="1">
      <c r="A950" s="59"/>
      <c r="D950" s="60"/>
      <c r="E950" s="60"/>
      <c r="K950" s="60"/>
      <c r="L950" s="61"/>
    </row>
    <row r="951" spans="1:12" ht="15.75" customHeight="1">
      <c r="A951" s="59"/>
      <c r="D951" s="60"/>
      <c r="E951" s="60"/>
      <c r="K951" s="60"/>
      <c r="L951" s="61"/>
    </row>
    <row r="952" spans="1:12" ht="15.75" customHeight="1">
      <c r="A952" s="59"/>
      <c r="D952" s="60"/>
      <c r="E952" s="60"/>
      <c r="K952" s="60"/>
      <c r="L952" s="61"/>
    </row>
    <row r="953" spans="1:12" ht="15.75" customHeight="1">
      <c r="A953" s="59"/>
      <c r="D953" s="60"/>
      <c r="E953" s="60"/>
      <c r="K953" s="60"/>
      <c r="L953" s="61"/>
    </row>
    <row r="954" spans="1:12" ht="15.75" customHeight="1">
      <c r="A954" s="59"/>
      <c r="D954" s="60"/>
      <c r="E954" s="60"/>
      <c r="K954" s="60"/>
      <c r="L954" s="61"/>
    </row>
    <row r="955" spans="1:12" ht="15.75" customHeight="1">
      <c r="A955" s="59"/>
      <c r="D955" s="60"/>
      <c r="E955" s="60"/>
      <c r="K955" s="60"/>
      <c r="L955" s="61"/>
    </row>
    <row r="956" spans="1:12" ht="15.75" customHeight="1">
      <c r="A956" s="59"/>
      <c r="D956" s="60"/>
      <c r="E956" s="60"/>
      <c r="K956" s="60"/>
      <c r="L956" s="61"/>
    </row>
    <row r="957" spans="1:12" ht="15.75" customHeight="1">
      <c r="A957" s="59"/>
      <c r="D957" s="60"/>
      <c r="E957" s="60"/>
      <c r="K957" s="60"/>
      <c r="L957" s="61"/>
    </row>
    <row r="958" spans="1:12" ht="15.75" customHeight="1">
      <c r="A958" s="59"/>
      <c r="D958" s="60"/>
      <c r="E958" s="60"/>
      <c r="K958" s="60"/>
      <c r="L958" s="61"/>
    </row>
    <row r="959" spans="1:12" ht="15.75" customHeight="1">
      <c r="A959" s="59"/>
      <c r="D959" s="60"/>
      <c r="E959" s="60"/>
      <c r="K959" s="60"/>
      <c r="L959" s="61"/>
    </row>
    <row r="960" spans="1:12" ht="15.75" customHeight="1">
      <c r="A960" s="59"/>
      <c r="D960" s="60"/>
      <c r="E960" s="60"/>
      <c r="K960" s="60"/>
      <c r="L960" s="61"/>
    </row>
    <row r="961" spans="1:12" ht="15.75" customHeight="1">
      <c r="A961" s="59"/>
      <c r="D961" s="60"/>
      <c r="E961" s="60"/>
      <c r="K961" s="60"/>
      <c r="L961" s="61"/>
    </row>
    <row r="962" spans="1:12" ht="15.75" customHeight="1">
      <c r="A962" s="59"/>
      <c r="D962" s="60"/>
      <c r="E962" s="60"/>
      <c r="K962" s="60"/>
      <c r="L962" s="61"/>
    </row>
    <row r="963" spans="1:12" ht="15.75" customHeight="1">
      <c r="A963" s="59"/>
      <c r="D963" s="60"/>
      <c r="E963" s="60"/>
      <c r="K963" s="60"/>
      <c r="L963" s="61"/>
    </row>
    <row r="964" spans="1:12" ht="15.75" customHeight="1">
      <c r="A964" s="59"/>
      <c r="D964" s="60"/>
      <c r="E964" s="60"/>
      <c r="K964" s="60"/>
      <c r="L964" s="61"/>
    </row>
    <row r="965" spans="1:12" ht="15.75" customHeight="1">
      <c r="A965" s="59"/>
      <c r="D965" s="60"/>
      <c r="E965" s="60"/>
      <c r="K965" s="60"/>
      <c r="L965" s="61"/>
    </row>
    <row r="966" spans="1:12" ht="15.75" customHeight="1">
      <c r="A966" s="59"/>
      <c r="D966" s="60"/>
      <c r="E966" s="60"/>
      <c r="K966" s="60"/>
      <c r="L966" s="61"/>
    </row>
    <row r="967" spans="1:12" ht="15.75" customHeight="1">
      <c r="A967" s="59"/>
      <c r="D967" s="60"/>
      <c r="E967" s="60"/>
      <c r="K967" s="60"/>
      <c r="L967" s="61"/>
    </row>
    <row r="968" spans="1:12" ht="15.75" customHeight="1">
      <c r="A968" s="59"/>
      <c r="D968" s="60"/>
      <c r="E968" s="60"/>
      <c r="K968" s="60"/>
      <c r="L968" s="61"/>
    </row>
    <row r="969" spans="1:12" ht="15.75" customHeight="1">
      <c r="A969" s="59"/>
      <c r="D969" s="60"/>
      <c r="E969" s="60"/>
      <c r="K969" s="60"/>
      <c r="L969" s="61"/>
    </row>
    <row r="970" spans="1:12" ht="15.75" customHeight="1">
      <c r="A970" s="59"/>
      <c r="D970" s="60"/>
      <c r="E970" s="60"/>
      <c r="K970" s="60"/>
      <c r="L970" s="61"/>
    </row>
    <row r="971" spans="1:12" ht="15.75" customHeight="1">
      <c r="A971" s="59"/>
      <c r="D971" s="60"/>
      <c r="E971" s="60"/>
      <c r="K971" s="60"/>
      <c r="L971" s="61"/>
    </row>
    <row r="972" spans="1:12" ht="15.75" customHeight="1">
      <c r="A972" s="59"/>
      <c r="D972" s="60"/>
      <c r="E972" s="60"/>
      <c r="K972" s="60"/>
      <c r="L972" s="61"/>
    </row>
    <row r="973" spans="1:12" ht="15.75" customHeight="1">
      <c r="A973" s="59"/>
      <c r="D973" s="60"/>
      <c r="E973" s="60"/>
      <c r="K973" s="60"/>
      <c r="L973" s="61"/>
    </row>
    <row r="974" spans="1:12" ht="15.75" customHeight="1">
      <c r="A974" s="59"/>
      <c r="D974" s="60"/>
      <c r="E974" s="60"/>
      <c r="K974" s="60"/>
      <c r="L974" s="61"/>
    </row>
    <row r="975" spans="1:12" ht="15.75" customHeight="1">
      <c r="A975" s="59"/>
      <c r="D975" s="60"/>
      <c r="E975" s="60"/>
      <c r="K975" s="60"/>
      <c r="L975" s="61"/>
    </row>
    <row r="976" spans="1:12" ht="15.75" customHeight="1">
      <c r="A976" s="59"/>
      <c r="D976" s="60"/>
      <c r="E976" s="60"/>
      <c r="K976" s="60"/>
      <c r="L976" s="61"/>
    </row>
    <row r="977" spans="1:12" ht="15.75" customHeight="1">
      <c r="A977" s="59"/>
      <c r="D977" s="60"/>
      <c r="E977" s="60"/>
      <c r="K977" s="60"/>
      <c r="L977" s="61"/>
    </row>
    <row r="978" spans="1:12" ht="15.75" customHeight="1">
      <c r="A978" s="59"/>
      <c r="D978" s="60"/>
      <c r="E978" s="60"/>
      <c r="K978" s="60"/>
      <c r="L978" s="61"/>
    </row>
    <row r="979" spans="1:12" ht="15.75" customHeight="1">
      <c r="A979" s="59"/>
      <c r="D979" s="60"/>
      <c r="E979" s="60"/>
      <c r="K979" s="60"/>
      <c r="L979" s="61"/>
    </row>
    <row r="980" spans="1:12" ht="15.75" customHeight="1">
      <c r="A980" s="59"/>
      <c r="D980" s="60"/>
      <c r="E980" s="60"/>
      <c r="K980" s="60"/>
      <c r="L980" s="61"/>
    </row>
    <row r="981" spans="1:12" ht="15.75" customHeight="1">
      <c r="A981" s="59"/>
      <c r="D981" s="60"/>
      <c r="E981" s="60"/>
      <c r="K981" s="60"/>
      <c r="L981" s="61"/>
    </row>
    <row r="982" spans="1:12" ht="15.75" customHeight="1">
      <c r="A982" s="59"/>
      <c r="D982" s="60"/>
      <c r="E982" s="60"/>
      <c r="K982" s="60"/>
      <c r="L982" s="61"/>
    </row>
    <row r="983" spans="1:12" ht="15.75" customHeight="1">
      <c r="A983" s="59"/>
      <c r="D983" s="60"/>
      <c r="E983" s="60"/>
      <c r="K983" s="60"/>
      <c r="L983" s="61"/>
    </row>
    <row r="984" spans="1:12" ht="15.75" customHeight="1">
      <c r="A984" s="59"/>
      <c r="D984" s="60"/>
      <c r="E984" s="60"/>
      <c r="K984" s="60"/>
      <c r="L984" s="61"/>
    </row>
    <row r="985" spans="1:12" ht="15.75" customHeight="1">
      <c r="A985" s="59"/>
      <c r="D985" s="60"/>
      <c r="E985" s="60"/>
      <c r="K985" s="60"/>
      <c r="L985" s="61"/>
    </row>
    <row r="986" spans="1:12" ht="15.75" customHeight="1">
      <c r="A986" s="59"/>
      <c r="D986" s="60"/>
      <c r="E986" s="60"/>
      <c r="K986" s="60"/>
      <c r="L986" s="61"/>
    </row>
    <row r="987" spans="1:12" ht="15.75" customHeight="1">
      <c r="A987" s="59"/>
      <c r="D987" s="60"/>
      <c r="E987" s="60"/>
      <c r="K987" s="60"/>
      <c r="L987" s="61"/>
    </row>
    <row r="988" spans="1:12" ht="15.75" customHeight="1">
      <c r="A988" s="59"/>
      <c r="D988" s="60"/>
      <c r="E988" s="60"/>
      <c r="K988" s="60"/>
      <c r="L988" s="61"/>
    </row>
    <row r="989" spans="1:12" ht="15.75" customHeight="1">
      <c r="A989" s="59"/>
      <c r="D989" s="60"/>
      <c r="E989" s="60"/>
      <c r="K989" s="60"/>
      <c r="L989" s="61"/>
    </row>
    <row r="990" spans="1:12" ht="15.75" customHeight="1">
      <c r="A990" s="59"/>
      <c r="D990" s="60"/>
      <c r="E990" s="60"/>
      <c r="K990" s="60"/>
      <c r="L990" s="61"/>
    </row>
    <row r="991" spans="1:12" ht="15.75" customHeight="1">
      <c r="A991" s="59"/>
      <c r="D991" s="60"/>
      <c r="E991" s="60"/>
      <c r="K991" s="60"/>
      <c r="L991" s="61"/>
    </row>
    <row r="992" spans="1:12" ht="15.75" customHeight="1">
      <c r="A992" s="59"/>
      <c r="D992" s="60"/>
      <c r="E992" s="60"/>
      <c r="K992" s="60"/>
      <c r="L992" s="61"/>
    </row>
    <row r="993" spans="1:12" ht="15.75" customHeight="1">
      <c r="A993" s="59"/>
      <c r="D993" s="60"/>
      <c r="E993" s="60"/>
      <c r="K993" s="60"/>
      <c r="L993" s="61"/>
    </row>
    <row r="994" spans="1:12" ht="15.75" customHeight="1">
      <c r="A994" s="59"/>
      <c r="D994" s="60"/>
      <c r="E994" s="60"/>
      <c r="K994" s="60"/>
      <c r="L994" s="61"/>
    </row>
    <row r="995" spans="1:12" ht="15.75" customHeight="1">
      <c r="A995" s="59"/>
      <c r="D995" s="60"/>
      <c r="E995" s="60"/>
      <c r="K995" s="60"/>
      <c r="L995" s="61"/>
    </row>
    <row r="996" spans="1:12" ht="15.75" customHeight="1">
      <c r="A996" s="59"/>
      <c r="D996" s="60"/>
      <c r="E996" s="60"/>
      <c r="K996" s="60"/>
      <c r="L996" s="61"/>
    </row>
    <row r="997" spans="1:12" ht="15.75" customHeight="1">
      <c r="A997" s="59"/>
      <c r="D997" s="60"/>
      <c r="E997" s="60"/>
      <c r="K997" s="60"/>
      <c r="L997" s="61"/>
    </row>
    <row r="998" spans="1:12" ht="15.75" customHeight="1">
      <c r="A998" s="59"/>
      <c r="D998" s="60"/>
      <c r="E998" s="60"/>
      <c r="K998" s="60"/>
      <c r="L998" s="61"/>
    </row>
    <row r="999" spans="1:12" ht="15.75" customHeight="1">
      <c r="A999" s="59"/>
      <c r="D999" s="60"/>
      <c r="E999" s="60"/>
      <c r="K999" s="60"/>
      <c r="L999" s="61"/>
    </row>
    <row r="1000" spans="1:12" ht="15.75" customHeight="1">
      <c r="A1000" s="59"/>
      <c r="D1000" s="60"/>
      <c r="E1000" s="60"/>
      <c r="K1000" s="60"/>
      <c r="L1000" s="61"/>
    </row>
    <row r="1001" spans="1:12" ht="15.75" customHeight="1">
      <c r="A1001" s="59"/>
      <c r="D1001" s="60"/>
      <c r="E1001" s="60"/>
      <c r="K1001" s="60"/>
      <c r="L1001" s="61"/>
    </row>
    <row r="1002" spans="1:12" ht="15.75" customHeight="1">
      <c r="A1002" s="59"/>
      <c r="D1002" s="60"/>
      <c r="E1002" s="60"/>
      <c r="K1002" s="60"/>
      <c r="L1002" s="61"/>
    </row>
    <row r="1003" spans="1:12" ht="15.75" customHeight="1">
      <c r="A1003" s="59"/>
      <c r="D1003" s="60"/>
      <c r="E1003" s="60"/>
      <c r="K1003" s="60"/>
      <c r="L1003" s="61"/>
    </row>
    <row r="1004" spans="1:12" ht="15.75" customHeight="1">
      <c r="A1004" s="59"/>
      <c r="D1004" s="60"/>
      <c r="E1004" s="60"/>
      <c r="K1004" s="60"/>
      <c r="L1004" s="61"/>
    </row>
    <row r="1005" spans="1:12" ht="15.75" customHeight="1">
      <c r="A1005" s="59"/>
      <c r="D1005" s="60"/>
      <c r="E1005" s="60"/>
      <c r="K1005" s="60"/>
      <c r="L1005" s="61"/>
    </row>
    <row r="1006" spans="1:12" ht="15.75" customHeight="1">
      <c r="A1006" s="59"/>
      <c r="D1006" s="60"/>
      <c r="E1006" s="60"/>
      <c r="K1006" s="60"/>
      <c r="L1006" s="61"/>
    </row>
    <row r="1007" spans="1:12" ht="15.75" customHeight="1">
      <c r="A1007" s="59"/>
      <c r="D1007" s="60"/>
      <c r="E1007" s="60"/>
      <c r="K1007" s="60"/>
      <c r="L1007" s="61"/>
    </row>
    <row r="1008" spans="1:12" ht="15.75" customHeight="1">
      <c r="A1008" s="59"/>
      <c r="D1008" s="60"/>
      <c r="E1008" s="60"/>
      <c r="K1008" s="60"/>
      <c r="L1008" s="61"/>
    </row>
    <row r="1009" spans="1:12" ht="15.75" customHeight="1">
      <c r="A1009" s="59"/>
      <c r="D1009" s="60"/>
      <c r="E1009" s="60"/>
      <c r="K1009" s="60"/>
      <c r="L1009" s="61"/>
    </row>
    <row r="1010" spans="1:12" ht="15.75" customHeight="1">
      <c r="A1010" s="59"/>
      <c r="D1010" s="60"/>
      <c r="E1010" s="60"/>
      <c r="K1010" s="60"/>
      <c r="L1010" s="61"/>
    </row>
    <row r="1011" spans="1:12" ht="15.75" customHeight="1">
      <c r="A1011" s="59"/>
      <c r="D1011" s="60"/>
      <c r="E1011" s="60"/>
      <c r="K1011" s="60"/>
      <c r="L1011" s="61"/>
    </row>
    <row r="1012" spans="1:12" ht="15.75" customHeight="1">
      <c r="A1012" s="59"/>
      <c r="D1012" s="60"/>
      <c r="E1012" s="60"/>
      <c r="K1012" s="60"/>
      <c r="L1012" s="61"/>
    </row>
    <row r="1013" spans="1:12" ht="15.75" customHeight="1">
      <c r="A1013" s="59"/>
      <c r="D1013" s="60"/>
      <c r="E1013" s="60"/>
      <c r="K1013" s="60"/>
      <c r="L1013" s="61"/>
    </row>
    <row r="1014" spans="1:12" ht="15.75" customHeight="1">
      <c r="A1014" s="59"/>
      <c r="D1014" s="60"/>
      <c r="E1014" s="60"/>
      <c r="K1014" s="60"/>
      <c r="L1014" s="61"/>
    </row>
    <row r="1015" spans="1:12" ht="15.75" customHeight="1">
      <c r="A1015" s="59"/>
      <c r="D1015" s="60"/>
      <c r="E1015" s="60"/>
      <c r="K1015" s="60"/>
      <c r="L1015" s="61"/>
    </row>
    <row r="1016" spans="1:12" ht="15.75" customHeight="1">
      <c r="A1016" s="59"/>
      <c r="D1016" s="60"/>
      <c r="E1016" s="60"/>
      <c r="K1016" s="60"/>
      <c r="L1016" s="61"/>
    </row>
    <row r="1017" spans="1:12" ht="15.75" customHeight="1">
      <c r="A1017" s="59"/>
      <c r="D1017" s="60"/>
      <c r="E1017" s="60"/>
      <c r="K1017" s="60"/>
      <c r="L1017" s="61"/>
    </row>
    <row r="1018" spans="1:12" ht="15.75" customHeight="1">
      <c r="A1018" s="59"/>
      <c r="D1018" s="60"/>
      <c r="E1018" s="60"/>
      <c r="K1018" s="60"/>
      <c r="L1018" s="61"/>
    </row>
    <row r="1019" spans="1:12" ht="15.75" customHeight="1">
      <c r="A1019" s="59"/>
      <c r="D1019" s="60"/>
      <c r="E1019" s="60"/>
      <c r="K1019" s="60"/>
      <c r="L1019" s="61"/>
    </row>
    <row r="1020" spans="1:12" ht="15.75" customHeight="1">
      <c r="A1020" s="59"/>
      <c r="D1020" s="60"/>
      <c r="E1020" s="60"/>
      <c r="K1020" s="60"/>
      <c r="L1020" s="61"/>
    </row>
    <row r="1021" spans="1:12" ht="15.75" customHeight="1">
      <c r="A1021" s="59"/>
      <c r="D1021" s="60"/>
      <c r="E1021" s="60"/>
      <c r="K1021" s="60"/>
      <c r="L1021" s="61"/>
    </row>
    <row r="1022" spans="1:12" ht="15.75" customHeight="1">
      <c r="A1022" s="59"/>
      <c r="D1022" s="60"/>
      <c r="E1022" s="60"/>
      <c r="K1022" s="60"/>
      <c r="L1022" s="61"/>
    </row>
    <row r="1023" spans="1:12" ht="15.75" customHeight="1">
      <c r="A1023" s="59"/>
      <c r="D1023" s="60"/>
      <c r="E1023" s="60"/>
      <c r="K1023" s="60"/>
      <c r="L1023" s="61"/>
    </row>
    <row r="1024" spans="1:12" ht="15.75" customHeight="1">
      <c r="A1024" s="59"/>
      <c r="D1024" s="60"/>
      <c r="E1024" s="60"/>
      <c r="K1024" s="60"/>
      <c r="L1024" s="61"/>
    </row>
    <row r="1025" spans="1:12" ht="15.75" customHeight="1">
      <c r="A1025" s="59"/>
      <c r="D1025" s="60"/>
      <c r="E1025" s="60"/>
      <c r="K1025" s="60"/>
      <c r="L1025" s="61"/>
    </row>
    <row r="1026" spans="1:12" ht="15.75" customHeight="1">
      <c r="A1026" s="59"/>
      <c r="D1026" s="60"/>
      <c r="E1026" s="60"/>
      <c r="K1026" s="60"/>
      <c r="L1026" s="61"/>
    </row>
    <row r="1027" spans="1:12" ht="15.75" customHeight="1">
      <c r="A1027" s="59"/>
      <c r="D1027" s="60"/>
      <c r="E1027" s="60"/>
      <c r="K1027" s="60"/>
      <c r="L1027" s="61"/>
    </row>
    <row r="1028" spans="1:12" ht="15.75" customHeight="1">
      <c r="A1028" s="59"/>
      <c r="D1028" s="60"/>
      <c r="E1028" s="60"/>
      <c r="K1028" s="60"/>
      <c r="L1028" s="61"/>
    </row>
    <row r="1029" spans="1:12" ht="15.75" customHeight="1">
      <c r="A1029" s="59"/>
      <c r="D1029" s="60"/>
      <c r="E1029" s="60"/>
      <c r="K1029" s="60"/>
      <c r="L1029" s="61"/>
    </row>
    <row r="1030" spans="1:12" ht="15.75" customHeight="1">
      <c r="A1030" s="59"/>
      <c r="D1030" s="60"/>
      <c r="E1030" s="60"/>
      <c r="K1030" s="60"/>
      <c r="L1030" s="61"/>
    </row>
    <row r="1031" spans="1:12" ht="15.75" customHeight="1">
      <c r="A1031" s="59"/>
      <c r="D1031" s="60"/>
      <c r="E1031" s="60"/>
      <c r="K1031" s="60"/>
      <c r="L1031" s="61"/>
    </row>
    <row r="1032" spans="1:12" ht="15.75" customHeight="1">
      <c r="A1032" s="59"/>
      <c r="D1032" s="60"/>
      <c r="E1032" s="60"/>
      <c r="K1032" s="60"/>
      <c r="L1032" s="61"/>
    </row>
    <row r="1033" spans="1:12" ht="15.75" customHeight="1">
      <c r="A1033" s="59"/>
      <c r="D1033" s="60"/>
      <c r="E1033" s="60"/>
      <c r="K1033" s="60"/>
      <c r="L1033" s="61"/>
    </row>
    <row r="1034" spans="1:12" ht="15.75" customHeight="1">
      <c r="A1034" s="59"/>
      <c r="D1034" s="60"/>
      <c r="E1034" s="60"/>
      <c r="K1034" s="60"/>
      <c r="L1034" s="61"/>
    </row>
    <row r="1035" spans="1:12" ht="15.75" customHeight="1">
      <c r="A1035" s="59"/>
      <c r="D1035" s="60"/>
      <c r="E1035" s="60"/>
      <c r="K1035" s="60"/>
      <c r="L1035" s="61"/>
    </row>
    <row r="1036" spans="1:12" ht="15.75" customHeight="1">
      <c r="A1036" s="59"/>
      <c r="D1036" s="60"/>
      <c r="E1036" s="60"/>
      <c r="K1036" s="60"/>
      <c r="L1036" s="61"/>
    </row>
    <row r="1037" spans="1:12" ht="15.75" customHeight="1">
      <c r="A1037" s="59"/>
      <c r="D1037" s="60"/>
      <c r="E1037" s="60"/>
      <c r="K1037" s="60"/>
      <c r="L1037" s="61"/>
    </row>
    <row r="1038" spans="1:12" ht="15.75" customHeight="1">
      <c r="A1038" s="59"/>
      <c r="D1038" s="60"/>
      <c r="E1038" s="60"/>
      <c r="K1038" s="60"/>
      <c r="L1038" s="61"/>
    </row>
    <row r="1039" spans="1:12" ht="15.75" customHeight="1">
      <c r="A1039" s="59"/>
      <c r="D1039" s="60"/>
      <c r="E1039" s="60"/>
      <c r="K1039" s="60"/>
      <c r="L1039" s="61"/>
    </row>
    <row r="1040" spans="1:12" ht="15.75" customHeight="1">
      <c r="A1040" s="59"/>
      <c r="D1040" s="60"/>
      <c r="E1040" s="60"/>
      <c r="K1040" s="60"/>
      <c r="L1040" s="61"/>
    </row>
    <row r="1041" spans="1:12" ht="15.75" customHeight="1">
      <c r="A1041" s="59"/>
      <c r="D1041" s="60"/>
      <c r="E1041" s="60"/>
      <c r="K1041" s="60"/>
      <c r="L1041" s="61"/>
    </row>
    <row r="1042" spans="1:12" ht="15.75" customHeight="1">
      <c r="A1042" s="59"/>
      <c r="D1042" s="60"/>
      <c r="E1042" s="60"/>
      <c r="K1042" s="60"/>
      <c r="L1042" s="61"/>
    </row>
    <row r="1043" spans="1:12" ht="15.75" customHeight="1">
      <c r="A1043" s="59"/>
      <c r="D1043" s="60"/>
      <c r="E1043" s="60"/>
      <c r="K1043" s="60"/>
      <c r="L1043" s="61"/>
    </row>
    <row r="1044" spans="1:12" ht="15.75" customHeight="1">
      <c r="A1044" s="59"/>
      <c r="D1044" s="60"/>
      <c r="E1044" s="60"/>
      <c r="K1044" s="60"/>
      <c r="L1044" s="61"/>
    </row>
    <row r="1045" spans="1:12" ht="15.75" customHeight="1">
      <c r="A1045" s="59"/>
      <c r="D1045" s="60"/>
      <c r="E1045" s="60"/>
      <c r="K1045" s="60"/>
      <c r="L1045" s="61"/>
    </row>
    <row r="1046" spans="1:12" ht="15.75" customHeight="1">
      <c r="A1046" s="59"/>
      <c r="D1046" s="60"/>
      <c r="E1046" s="60"/>
      <c r="K1046" s="60"/>
      <c r="L1046" s="61"/>
    </row>
    <row r="1047" spans="1:12" ht="15.75" customHeight="1">
      <c r="A1047" s="59"/>
      <c r="D1047" s="60"/>
      <c r="E1047" s="60"/>
      <c r="K1047" s="60"/>
      <c r="L1047" s="61"/>
    </row>
    <row r="1048" spans="1:12" ht="15.75" customHeight="1">
      <c r="A1048" s="59"/>
      <c r="D1048" s="60"/>
      <c r="E1048" s="60"/>
      <c r="K1048" s="60"/>
      <c r="L1048" s="61"/>
    </row>
    <row r="1049" spans="1:12" ht="15.75" customHeight="1">
      <c r="A1049" s="59"/>
      <c r="D1049" s="60"/>
      <c r="E1049" s="60"/>
      <c r="K1049" s="60"/>
      <c r="L1049" s="61"/>
    </row>
    <row r="1050" spans="1:12" ht="15.75" customHeight="1">
      <c r="A1050" s="59"/>
      <c r="D1050" s="60"/>
      <c r="E1050" s="60"/>
      <c r="K1050" s="60"/>
      <c r="L1050" s="61"/>
    </row>
    <row r="1051" spans="1:12" ht="15.75" customHeight="1">
      <c r="A1051" s="59"/>
      <c r="D1051" s="60"/>
      <c r="E1051" s="60"/>
      <c r="K1051" s="60"/>
      <c r="L1051" s="61"/>
    </row>
    <row r="1052" spans="1:12" ht="15.75" customHeight="1">
      <c r="A1052" s="59"/>
      <c r="D1052" s="60"/>
      <c r="E1052" s="60"/>
      <c r="K1052" s="60"/>
      <c r="L1052" s="61"/>
    </row>
    <row r="1053" spans="1:12" ht="15.75" customHeight="1">
      <c r="A1053" s="59"/>
      <c r="D1053" s="60"/>
      <c r="E1053" s="60"/>
      <c r="K1053" s="60"/>
      <c r="L1053" s="61"/>
    </row>
    <row r="1054" spans="1:12" ht="15.75" customHeight="1">
      <c r="A1054" s="59"/>
      <c r="D1054" s="60"/>
      <c r="E1054" s="60"/>
      <c r="K1054" s="60"/>
      <c r="L1054" s="61"/>
    </row>
    <row r="1055" spans="1:12" ht="15.75" customHeight="1">
      <c r="A1055" s="59"/>
      <c r="D1055" s="60"/>
      <c r="E1055" s="60"/>
      <c r="K1055" s="60"/>
      <c r="L1055" s="61"/>
    </row>
    <row r="1056" spans="1:12" ht="15.75" customHeight="1">
      <c r="A1056" s="59"/>
      <c r="D1056" s="60"/>
      <c r="E1056" s="60"/>
      <c r="K1056" s="60"/>
      <c r="L1056" s="61"/>
    </row>
    <row r="1057" spans="1:12" ht="15.75" customHeight="1">
      <c r="A1057" s="59"/>
      <c r="D1057" s="60"/>
      <c r="E1057" s="60"/>
      <c r="K1057" s="60"/>
      <c r="L1057" s="61"/>
    </row>
    <row r="1058" spans="1:12" ht="15.75" customHeight="1">
      <c r="A1058" s="59"/>
      <c r="D1058" s="60"/>
      <c r="E1058" s="60"/>
      <c r="K1058" s="60"/>
      <c r="L1058" s="61"/>
    </row>
    <row r="1059" spans="1:12" ht="15.75" customHeight="1">
      <c r="A1059" s="59"/>
      <c r="D1059" s="60"/>
      <c r="E1059" s="60"/>
      <c r="K1059" s="60"/>
      <c r="L1059" s="61"/>
    </row>
    <row r="1060" spans="1:12" ht="15.75" customHeight="1">
      <c r="A1060" s="59"/>
      <c r="D1060" s="60"/>
      <c r="E1060" s="60"/>
      <c r="K1060" s="60"/>
      <c r="L1060" s="61"/>
    </row>
    <row r="1061" spans="1:12" ht="15.75" customHeight="1">
      <c r="A1061" s="59"/>
      <c r="D1061" s="60"/>
      <c r="E1061" s="60"/>
      <c r="K1061" s="60"/>
      <c r="L1061" s="61"/>
    </row>
    <row r="1062" spans="1:12" ht="15.75" customHeight="1">
      <c r="A1062" s="59"/>
      <c r="D1062" s="60"/>
      <c r="E1062" s="60"/>
      <c r="K1062" s="60"/>
      <c r="L1062" s="61"/>
    </row>
    <row r="1063" spans="1:12" ht="15.75" customHeight="1">
      <c r="A1063" s="59"/>
      <c r="D1063" s="60"/>
      <c r="E1063" s="60"/>
      <c r="K1063" s="60"/>
      <c r="L1063" s="61"/>
    </row>
    <row r="1064" spans="1:12" ht="15.75" customHeight="1">
      <c r="A1064" s="59"/>
      <c r="D1064" s="60"/>
      <c r="E1064" s="60"/>
      <c r="K1064" s="60"/>
      <c r="L1064" s="61"/>
    </row>
    <row r="1065" spans="1:12" ht="15.75" customHeight="1">
      <c r="A1065" s="59"/>
      <c r="D1065" s="60"/>
      <c r="E1065" s="60"/>
      <c r="K1065" s="60"/>
      <c r="L1065" s="61"/>
    </row>
    <row r="1066" spans="1:12" ht="15.75" customHeight="1">
      <c r="A1066" s="59"/>
      <c r="D1066" s="60"/>
      <c r="E1066" s="60"/>
      <c r="K1066" s="60"/>
      <c r="L1066" s="61"/>
    </row>
    <row r="1067" spans="1:12" ht="15.75" customHeight="1">
      <c r="A1067" s="59"/>
      <c r="D1067" s="60"/>
      <c r="E1067" s="60"/>
      <c r="K1067" s="60"/>
      <c r="L1067" s="61"/>
    </row>
    <row r="1068" spans="1:12" ht="15.75" customHeight="1">
      <c r="A1068" s="59"/>
      <c r="D1068" s="60"/>
      <c r="E1068" s="60"/>
      <c r="K1068" s="60"/>
      <c r="L1068" s="61"/>
    </row>
    <row r="1069" spans="1:12" ht="15.75" customHeight="1">
      <c r="A1069" s="59"/>
      <c r="D1069" s="60"/>
      <c r="E1069" s="60"/>
      <c r="K1069" s="60"/>
      <c r="L1069" s="61"/>
    </row>
    <row r="1070" spans="1:12" ht="15.75" customHeight="1">
      <c r="A1070" s="59"/>
      <c r="D1070" s="60"/>
      <c r="E1070" s="60"/>
      <c r="K1070" s="60"/>
      <c r="L1070" s="61"/>
    </row>
    <row r="1071" spans="1:12" ht="15.75" customHeight="1">
      <c r="A1071" s="59"/>
      <c r="D1071" s="60"/>
      <c r="E1071" s="60"/>
      <c r="K1071" s="60"/>
      <c r="L1071" s="61"/>
    </row>
    <row r="1072" spans="1:12" ht="15.75" customHeight="1">
      <c r="A1072" s="59"/>
      <c r="D1072" s="60"/>
      <c r="E1072" s="60"/>
      <c r="K1072" s="60"/>
      <c r="L1072" s="61"/>
    </row>
    <row r="1073" spans="1:12" ht="15.75" customHeight="1">
      <c r="A1073" s="59"/>
      <c r="D1073" s="60"/>
      <c r="E1073" s="60"/>
      <c r="K1073" s="60"/>
      <c r="L1073" s="61"/>
    </row>
    <row r="1074" spans="1:12" ht="15.75" customHeight="1">
      <c r="A1074" s="59"/>
      <c r="D1074" s="60"/>
      <c r="E1074" s="60"/>
      <c r="K1074" s="60"/>
      <c r="L1074" s="61"/>
    </row>
    <row r="1075" spans="1:12" ht="15.75" customHeight="1">
      <c r="A1075" s="59"/>
      <c r="D1075" s="60"/>
      <c r="E1075" s="60"/>
      <c r="K1075" s="60"/>
      <c r="L1075" s="61"/>
    </row>
    <row r="1076" spans="1:12" ht="15.75" customHeight="1">
      <c r="A1076" s="59"/>
      <c r="D1076" s="60"/>
      <c r="E1076" s="60"/>
      <c r="K1076" s="60"/>
      <c r="L1076" s="61"/>
    </row>
    <row r="1077" spans="1:12" ht="15.75" customHeight="1">
      <c r="A1077" s="59"/>
      <c r="D1077" s="60"/>
      <c r="E1077" s="60"/>
      <c r="K1077" s="60"/>
      <c r="L1077" s="61"/>
    </row>
    <row r="1078" spans="1:12" ht="15.75" customHeight="1">
      <c r="A1078" s="59"/>
      <c r="D1078" s="60"/>
      <c r="E1078" s="60"/>
      <c r="K1078" s="60"/>
      <c r="L1078" s="61"/>
    </row>
    <row r="1079" spans="1:12" ht="15.75" customHeight="1">
      <c r="A1079" s="59"/>
      <c r="D1079" s="60"/>
      <c r="E1079" s="60"/>
      <c r="K1079" s="60"/>
      <c r="L1079" s="61"/>
    </row>
    <row r="1080" spans="1:12" ht="15.75" customHeight="1">
      <c r="A1080" s="59"/>
      <c r="D1080" s="60"/>
      <c r="E1080" s="60"/>
      <c r="K1080" s="60"/>
      <c r="L1080" s="61"/>
    </row>
    <row r="1081" spans="1:12" ht="15.75" customHeight="1">
      <c r="A1081" s="59"/>
      <c r="D1081" s="60"/>
      <c r="E1081" s="60"/>
      <c r="K1081" s="60"/>
      <c r="L1081" s="61"/>
    </row>
    <row r="1082" spans="1:12" ht="15.75" customHeight="1">
      <c r="A1082" s="59"/>
      <c r="D1082" s="60"/>
      <c r="E1082" s="60"/>
      <c r="K1082" s="60"/>
      <c r="L1082" s="61"/>
    </row>
    <row r="1083" spans="1:12" ht="15.75" customHeight="1">
      <c r="A1083" s="59"/>
      <c r="D1083" s="60"/>
      <c r="E1083" s="60"/>
      <c r="K1083" s="60"/>
      <c r="L1083" s="61"/>
    </row>
    <row r="1084" spans="1:12" ht="15.75" customHeight="1">
      <c r="A1084" s="59"/>
      <c r="D1084" s="60"/>
      <c r="E1084" s="60"/>
      <c r="K1084" s="60"/>
      <c r="L1084" s="61"/>
    </row>
    <row r="1085" spans="1:12" ht="15.75" customHeight="1">
      <c r="A1085" s="59"/>
      <c r="D1085" s="60"/>
      <c r="E1085" s="60"/>
      <c r="K1085" s="60"/>
      <c r="L1085" s="61"/>
    </row>
    <row r="1086" spans="1:12" ht="15.75" customHeight="1">
      <c r="A1086" s="59"/>
      <c r="D1086" s="60"/>
      <c r="E1086" s="60"/>
      <c r="K1086" s="60"/>
      <c r="L1086" s="61"/>
    </row>
    <row r="1087" spans="1:12" ht="15.75" customHeight="1">
      <c r="A1087" s="59"/>
      <c r="D1087" s="60"/>
      <c r="E1087" s="60"/>
      <c r="K1087" s="60"/>
      <c r="L1087" s="61"/>
    </row>
    <row r="1088" spans="1:12" ht="15.75" customHeight="1">
      <c r="A1088" s="59"/>
      <c r="D1088" s="60"/>
      <c r="E1088" s="60"/>
      <c r="K1088" s="60"/>
      <c r="L1088" s="61"/>
    </row>
    <row r="1089" spans="1:12" ht="15.75" customHeight="1">
      <c r="A1089" s="59"/>
      <c r="D1089" s="60"/>
      <c r="E1089" s="60"/>
      <c r="K1089" s="60"/>
      <c r="L1089" s="61"/>
    </row>
    <row r="1090" spans="1:12" ht="15.75" customHeight="1">
      <c r="A1090" s="59"/>
      <c r="D1090" s="60"/>
      <c r="E1090" s="60"/>
      <c r="K1090" s="60"/>
      <c r="L1090" s="61"/>
    </row>
    <row r="1091" spans="1:12" ht="15.75" customHeight="1">
      <c r="A1091" s="59"/>
      <c r="D1091" s="60"/>
      <c r="E1091" s="60"/>
      <c r="K1091" s="60"/>
      <c r="L1091" s="61"/>
    </row>
    <row r="1092" spans="1:12" ht="15.75" customHeight="1">
      <c r="A1092" s="59"/>
      <c r="D1092" s="60"/>
      <c r="E1092" s="60"/>
      <c r="K1092" s="60"/>
      <c r="L1092" s="61"/>
    </row>
    <row r="1093" spans="1:12" ht="15.75" customHeight="1">
      <c r="A1093" s="59"/>
      <c r="D1093" s="60"/>
      <c r="E1093" s="60"/>
      <c r="K1093" s="60"/>
      <c r="L1093" s="61"/>
    </row>
    <row r="1094" spans="1:12" ht="15.75" customHeight="1">
      <c r="A1094" s="59"/>
      <c r="D1094" s="60"/>
      <c r="E1094" s="60"/>
      <c r="K1094" s="60"/>
      <c r="L1094" s="61"/>
    </row>
    <row r="1095" spans="1:12" ht="15.75" customHeight="1">
      <c r="A1095" s="59"/>
      <c r="D1095" s="60"/>
      <c r="E1095" s="60"/>
      <c r="K1095" s="60"/>
      <c r="L1095" s="61"/>
    </row>
    <row r="1096" spans="1:12" ht="15.75" customHeight="1">
      <c r="A1096" s="59"/>
      <c r="D1096" s="60"/>
      <c r="E1096" s="60"/>
      <c r="K1096" s="60"/>
      <c r="L1096" s="61"/>
    </row>
    <row r="1097" spans="1:12" ht="15.75" customHeight="1">
      <c r="A1097" s="59"/>
      <c r="D1097" s="60"/>
      <c r="E1097" s="60"/>
      <c r="K1097" s="60"/>
      <c r="L1097" s="61"/>
    </row>
    <row r="1098" spans="1:12" ht="15.75" customHeight="1">
      <c r="A1098" s="59"/>
      <c r="D1098" s="60"/>
      <c r="E1098" s="60"/>
      <c r="K1098" s="60"/>
      <c r="L1098" s="61"/>
    </row>
    <row r="1099" spans="1:12" ht="15.75" customHeight="1">
      <c r="A1099" s="59"/>
      <c r="D1099" s="60"/>
      <c r="E1099" s="60"/>
      <c r="K1099" s="60"/>
      <c r="L1099" s="61"/>
    </row>
    <row r="1100" spans="1:12" ht="15.75" customHeight="1">
      <c r="A1100" s="59"/>
      <c r="D1100" s="60"/>
      <c r="E1100" s="60"/>
      <c r="K1100" s="60"/>
      <c r="L1100" s="61"/>
    </row>
    <row r="1101" spans="1:12" ht="15.75" customHeight="1">
      <c r="A1101" s="59"/>
      <c r="D1101" s="60"/>
      <c r="E1101" s="60"/>
      <c r="K1101" s="60"/>
      <c r="L1101" s="61"/>
    </row>
    <row r="1102" spans="1:12" ht="15.75" customHeight="1">
      <c r="A1102" s="59"/>
      <c r="D1102" s="60"/>
      <c r="E1102" s="60"/>
      <c r="K1102" s="60"/>
      <c r="L1102" s="61"/>
    </row>
    <row r="1103" spans="1:12" ht="15.75" customHeight="1">
      <c r="A1103" s="59"/>
      <c r="D1103" s="60"/>
      <c r="E1103" s="60"/>
      <c r="K1103" s="60"/>
      <c r="L1103" s="61"/>
    </row>
    <row r="1104" spans="1:12" ht="15.75" customHeight="1">
      <c r="A1104" s="59"/>
      <c r="D1104" s="60"/>
      <c r="E1104" s="60"/>
      <c r="K1104" s="60"/>
      <c r="L1104" s="61"/>
    </row>
    <row r="1105" spans="1:12" ht="15.75" customHeight="1">
      <c r="A1105" s="59"/>
      <c r="D1105" s="60"/>
      <c r="E1105" s="60"/>
      <c r="K1105" s="60"/>
      <c r="L1105" s="61"/>
    </row>
    <row r="1106" spans="1:12" ht="15.75" customHeight="1">
      <c r="A1106" s="59"/>
      <c r="D1106" s="60"/>
      <c r="E1106" s="60"/>
      <c r="K1106" s="60"/>
      <c r="L1106" s="61"/>
    </row>
    <row r="1107" spans="1:12" ht="15.75" customHeight="1">
      <c r="A1107" s="59"/>
      <c r="D1107" s="60"/>
      <c r="E1107" s="60"/>
      <c r="K1107" s="60"/>
      <c r="L1107" s="61"/>
    </row>
    <row r="1108" spans="1:12" ht="15.75" customHeight="1">
      <c r="A1108" s="59"/>
      <c r="D1108" s="60"/>
      <c r="E1108" s="60"/>
      <c r="K1108" s="60"/>
      <c r="L1108" s="61"/>
    </row>
    <row r="1109" spans="1:12" ht="15.75" customHeight="1">
      <c r="A1109" s="59"/>
      <c r="D1109" s="60"/>
      <c r="E1109" s="60"/>
      <c r="K1109" s="60"/>
      <c r="L1109" s="61"/>
    </row>
    <row r="1110" spans="1:12" ht="15.75" customHeight="1">
      <c r="A1110" s="59"/>
      <c r="D1110" s="60"/>
      <c r="E1110" s="60"/>
      <c r="K1110" s="60"/>
      <c r="L1110" s="61"/>
    </row>
    <row r="1111" spans="1:12" ht="15.75" customHeight="1">
      <c r="A1111" s="59"/>
      <c r="D1111" s="60"/>
      <c r="E1111" s="60"/>
      <c r="K1111" s="60"/>
      <c r="L1111" s="61"/>
    </row>
    <row r="1112" spans="1:12" ht="15.75" customHeight="1">
      <c r="A1112" s="59"/>
      <c r="D1112" s="60"/>
      <c r="E1112" s="60"/>
      <c r="K1112" s="60"/>
      <c r="L1112" s="61"/>
    </row>
    <row r="1113" spans="1:12" ht="15.75" customHeight="1">
      <c r="A1113" s="59"/>
      <c r="D1113" s="60"/>
      <c r="E1113" s="60"/>
      <c r="K1113" s="60"/>
      <c r="L1113" s="61"/>
    </row>
    <row r="1114" spans="1:12" ht="15.75" customHeight="1">
      <c r="A1114" s="59"/>
      <c r="D1114" s="60"/>
      <c r="E1114" s="60"/>
      <c r="K1114" s="60"/>
      <c r="L1114" s="61"/>
    </row>
    <row r="1115" spans="1:12" ht="15.75" customHeight="1">
      <c r="A1115" s="59"/>
      <c r="D1115" s="60"/>
      <c r="E1115" s="60"/>
      <c r="K1115" s="60"/>
      <c r="L1115" s="61"/>
    </row>
    <row r="1116" spans="1:12" ht="15.75" customHeight="1">
      <c r="A1116" s="59"/>
      <c r="D1116" s="60"/>
      <c r="E1116" s="60"/>
      <c r="K1116" s="60"/>
      <c r="L1116" s="61"/>
    </row>
    <row r="1117" spans="1:12" ht="15.75" customHeight="1">
      <c r="A1117" s="59"/>
      <c r="D1117" s="60"/>
      <c r="E1117" s="60"/>
      <c r="K1117" s="60"/>
      <c r="L1117" s="61"/>
    </row>
    <row r="1118" spans="1:12" ht="15.75" customHeight="1">
      <c r="A1118" s="59"/>
      <c r="D1118" s="60"/>
      <c r="E1118" s="60"/>
      <c r="K1118" s="60"/>
      <c r="L1118" s="61"/>
    </row>
    <row r="1119" spans="1:12" ht="15.75" customHeight="1">
      <c r="A1119" s="59"/>
      <c r="D1119" s="60"/>
      <c r="E1119" s="60"/>
      <c r="K1119" s="60"/>
      <c r="L1119" s="61"/>
    </row>
    <row r="1120" spans="1:12" ht="15.75" customHeight="1">
      <c r="A1120" s="59"/>
      <c r="D1120" s="60"/>
      <c r="E1120" s="60"/>
      <c r="K1120" s="60"/>
      <c r="L1120" s="61"/>
    </row>
    <row r="1121" spans="1:12" ht="15.75" customHeight="1">
      <c r="A1121" s="59"/>
      <c r="D1121" s="60"/>
      <c r="E1121" s="60"/>
      <c r="K1121" s="60"/>
      <c r="L1121" s="61"/>
    </row>
    <row r="1122" spans="1:12" ht="15.75" customHeight="1">
      <c r="A1122" s="59"/>
      <c r="D1122" s="60"/>
      <c r="E1122" s="60"/>
      <c r="K1122" s="60"/>
      <c r="L1122" s="61"/>
    </row>
    <row r="1123" spans="1:12" ht="15.75" customHeight="1">
      <c r="A1123" s="59"/>
      <c r="D1123" s="60"/>
      <c r="E1123" s="60"/>
      <c r="K1123" s="60"/>
      <c r="L1123" s="61"/>
    </row>
    <row r="1124" spans="1:12" ht="15.75" customHeight="1">
      <c r="A1124" s="59"/>
      <c r="D1124" s="60"/>
      <c r="E1124" s="60"/>
      <c r="K1124" s="60"/>
      <c r="L1124" s="61"/>
    </row>
    <row r="1125" spans="1:12" ht="15.75" customHeight="1">
      <c r="A1125" s="59"/>
      <c r="D1125" s="60"/>
      <c r="E1125" s="60"/>
      <c r="K1125" s="60"/>
      <c r="L1125" s="61"/>
    </row>
    <row r="1126" spans="1:12" ht="15.75" customHeight="1">
      <c r="A1126" s="59"/>
      <c r="D1126" s="60"/>
      <c r="E1126" s="60"/>
      <c r="K1126" s="60"/>
      <c r="L1126" s="61"/>
    </row>
    <row r="1127" spans="1:12" ht="15.75" customHeight="1">
      <c r="A1127" s="59"/>
      <c r="D1127" s="60"/>
      <c r="E1127" s="60"/>
      <c r="K1127" s="60"/>
      <c r="L1127" s="61"/>
    </row>
    <row r="1128" spans="1:12" ht="15.75" customHeight="1">
      <c r="A1128" s="59"/>
      <c r="D1128" s="60"/>
      <c r="E1128" s="60"/>
      <c r="K1128" s="60"/>
      <c r="L1128" s="61"/>
    </row>
    <row r="1129" spans="1:12" ht="15.75" customHeight="1">
      <c r="A1129" s="59"/>
      <c r="D1129" s="60"/>
      <c r="E1129" s="60"/>
      <c r="K1129" s="60"/>
      <c r="L1129" s="61"/>
    </row>
    <row r="1130" spans="1:12" ht="15.75" customHeight="1">
      <c r="A1130" s="59"/>
      <c r="D1130" s="60"/>
      <c r="E1130" s="60"/>
      <c r="K1130" s="60"/>
      <c r="L1130" s="61"/>
    </row>
    <row r="1131" spans="1:12" ht="15.75" customHeight="1">
      <c r="A1131" s="59"/>
      <c r="D1131" s="60"/>
      <c r="E1131" s="60"/>
      <c r="K1131" s="60"/>
      <c r="L1131" s="61"/>
    </row>
    <row r="1132" spans="1:12" ht="15.75" customHeight="1">
      <c r="A1132" s="59"/>
      <c r="D1132" s="60"/>
      <c r="E1132" s="60"/>
      <c r="K1132" s="60"/>
      <c r="L1132" s="61"/>
    </row>
    <row r="1133" spans="1:12" ht="15.75" customHeight="1">
      <c r="A1133" s="59"/>
      <c r="D1133" s="60"/>
      <c r="E1133" s="60"/>
      <c r="K1133" s="60"/>
      <c r="L1133" s="61"/>
    </row>
    <row r="1134" spans="1:12" ht="15.75" customHeight="1">
      <c r="A1134" s="59"/>
      <c r="D1134" s="60"/>
      <c r="E1134" s="60"/>
      <c r="K1134" s="60"/>
      <c r="L1134" s="61"/>
    </row>
    <row r="1135" spans="1:12" ht="15.75" customHeight="1">
      <c r="A1135" s="59"/>
      <c r="D1135" s="60"/>
      <c r="E1135" s="60"/>
      <c r="K1135" s="60"/>
      <c r="L1135" s="61"/>
    </row>
  </sheetData>
  <protectedRanges>
    <protectedRange sqref="B69:M69 B68:H68 K68:M68" name="Rango1"/>
  </protectedRanges>
  <mergeCells count="5">
    <mergeCell ref="A2:B5"/>
    <mergeCell ref="M3:M4"/>
    <mergeCell ref="A10:M10"/>
    <mergeCell ref="C2:L5"/>
    <mergeCell ref="B6:K6"/>
  </mergeCells>
  <phoneticPr fontId="35" type="noConversion"/>
  <conditionalFormatting sqref="K59">
    <cfRule type="cellIs" dxfId="3" priority="5" operator="equal">
      <formula>0</formula>
    </cfRule>
  </conditionalFormatting>
  <conditionalFormatting sqref="K63:K64">
    <cfRule type="cellIs" dxfId="2" priority="3" operator="equal">
      <formula>0</formula>
    </cfRule>
  </conditionalFormatting>
  <conditionalFormatting sqref="K98:K99">
    <cfRule type="cellIs" dxfId="1" priority="2" operator="equal">
      <formula>0</formula>
    </cfRule>
  </conditionalFormatting>
  <conditionalFormatting sqref="K110:K112">
    <cfRule type="cellIs" dxfId="0" priority="1" operator="equal">
      <formula>0</formula>
    </cfRule>
  </conditionalFormatting>
  <dataValidations count="4">
    <dataValidation type="decimal" allowBlank="1" showErrorMessage="1" sqref="K12:K19 K21:K35 K107:L108 K59 L109 K113:L211" xr:uid="{00000000-0002-0000-0200-000000000000}">
      <formula1>0</formula1>
      <formula2>1E+21</formula2>
    </dataValidation>
    <dataValidation type="custom" allowBlank="1" showErrorMessage="1" sqref="M107:M108 M13:M17 M113:M211 L31:L35 K109" xr:uid="{00000000-0002-0000-0200-000002000000}">
      <formula1>LT(LEN(K13),(450))</formula1>
    </dataValidation>
    <dataValidation type="textLength" operator="lessThan" allowBlank="1" showInputMessage="1" showErrorMessage="1" sqref="M68:M69" xr:uid="{F9DE8EA5-940F-4822-86A5-606E23CAA774}">
      <formula1>450</formula1>
    </dataValidation>
    <dataValidation type="decimal" allowBlank="1" showInputMessage="1" showErrorMessage="1" sqref="K68:L69" xr:uid="{0E80398A-542E-46D7-BF40-FDA791B301AE}">
      <formula1>0</formula1>
      <formula2>1E+21</formula2>
    </dataValidation>
  </dataValidations>
  <hyperlinks>
    <hyperlink ref="N12" r:id="rId1" xr:uid="{00000000-0004-0000-0200-000000000000}"/>
    <hyperlink ref="N13" r:id="rId2" xr:uid="{00000000-0004-0000-0200-000001000000}"/>
    <hyperlink ref="N14" r:id="rId3" xr:uid="{00000000-0004-0000-0200-000002000000}"/>
    <hyperlink ref="N15" r:id="rId4" xr:uid="{00000000-0004-0000-0200-000003000000}"/>
    <hyperlink ref="N16" r:id="rId5" xr:uid="{00000000-0004-0000-0200-000004000000}"/>
    <hyperlink ref="N17" r:id="rId6" xr:uid="{00000000-0004-0000-0200-000005000000}"/>
    <hyperlink ref="N18" r:id="rId7" xr:uid="{00000000-0004-0000-0200-000006000000}"/>
    <hyperlink ref="N19" r:id="rId8" xr:uid="{00000000-0004-0000-0200-000007000000}"/>
    <hyperlink ref="N20" r:id="rId9" xr:uid="{00000000-0004-0000-0200-000008000000}"/>
    <hyperlink ref="N21" r:id="rId10" xr:uid="{00000000-0004-0000-0200-000009000000}"/>
    <hyperlink ref="N22" r:id="rId11" xr:uid="{00000000-0004-0000-0200-00000A000000}"/>
    <hyperlink ref="N23" r:id="rId12" xr:uid="{00000000-0004-0000-0200-00000B000000}"/>
    <hyperlink ref="N24" r:id="rId13" xr:uid="{00000000-0004-0000-0200-00000C000000}"/>
    <hyperlink ref="N25" r:id="rId14" xr:uid="{00000000-0004-0000-0200-00000D000000}"/>
    <hyperlink ref="N26" r:id="rId15" xr:uid="{00000000-0004-0000-0200-00000E000000}"/>
    <hyperlink ref="N27" r:id="rId16" xr:uid="{00000000-0004-0000-0200-00000F000000}"/>
    <hyperlink ref="N28" r:id="rId17" xr:uid="{00000000-0004-0000-0200-000010000000}"/>
    <hyperlink ref="N29" r:id="rId18" xr:uid="{00000000-0004-0000-0200-000011000000}"/>
    <hyperlink ref="O29" r:id="rId19" xr:uid="{00000000-0004-0000-0200-000012000000}"/>
    <hyperlink ref="N30" r:id="rId20" xr:uid="{00000000-0004-0000-0200-000013000000}"/>
    <hyperlink ref="O30" r:id="rId21" xr:uid="{00000000-0004-0000-0200-000014000000}"/>
    <hyperlink ref="N31" r:id="rId22" xr:uid="{00000000-0004-0000-0200-000015000000}"/>
    <hyperlink ref="N32" r:id="rId23" xr:uid="{00000000-0004-0000-0200-000016000000}"/>
    <hyperlink ref="N33" r:id="rId24" xr:uid="{00000000-0004-0000-0200-000017000000}"/>
    <hyperlink ref="N35" r:id="rId25" xr:uid="{00000000-0004-0000-0200-000018000000}"/>
    <hyperlink ref="N36" r:id="rId26" xr:uid="{00000000-0004-0000-0200-000019000000}"/>
    <hyperlink ref="N37" r:id="rId27" xr:uid="{00000000-0004-0000-0200-00001A000000}"/>
    <hyperlink ref="N38" r:id="rId28" xr:uid="{00000000-0004-0000-0200-00001B000000}"/>
    <hyperlink ref="N39" r:id="rId29" xr:uid="{00000000-0004-0000-0200-00001C000000}"/>
    <hyperlink ref="N40" r:id="rId30" xr:uid="{00000000-0004-0000-0200-00001D000000}"/>
    <hyperlink ref="N41" r:id="rId31" xr:uid="{00000000-0004-0000-0200-00001E000000}"/>
    <hyperlink ref="N42" r:id="rId32" xr:uid="{00000000-0004-0000-0200-00001F000000}"/>
    <hyperlink ref="N43" r:id="rId33" xr:uid="{00000000-0004-0000-0200-000020000000}"/>
    <hyperlink ref="N44" r:id="rId34" xr:uid="{00000000-0004-0000-0200-000021000000}"/>
    <hyperlink ref="N45" r:id="rId35" xr:uid="{00000000-0004-0000-0200-000022000000}"/>
    <hyperlink ref="N46" r:id="rId36" xr:uid="{00000000-0004-0000-0200-000023000000}"/>
    <hyperlink ref="N47" r:id="rId37" xr:uid="{00000000-0004-0000-0200-000024000000}"/>
    <hyperlink ref="N48" r:id="rId38" xr:uid="{00000000-0004-0000-0200-000025000000}"/>
    <hyperlink ref="N49" r:id="rId39" xr:uid="{00000000-0004-0000-0200-000026000000}"/>
    <hyperlink ref="N50" r:id="rId40" xr:uid="{00000000-0004-0000-0200-000027000000}"/>
    <hyperlink ref="N51" r:id="rId41" xr:uid="{00000000-0004-0000-0200-000028000000}"/>
    <hyperlink ref="N52" r:id="rId42" xr:uid="{00000000-0004-0000-0200-000029000000}"/>
    <hyperlink ref="N53" r:id="rId43" xr:uid="{00000000-0004-0000-0200-00002A000000}"/>
    <hyperlink ref="N54" r:id="rId44" xr:uid="{00000000-0004-0000-0200-00002B000000}"/>
    <hyperlink ref="N55" r:id="rId45" xr:uid="{00000000-0004-0000-0200-00002C000000}"/>
    <hyperlink ref="N56" r:id="rId46" xr:uid="{00000000-0004-0000-0200-00002D000000}"/>
    <hyperlink ref="N58" r:id="rId47" xr:uid="{00000000-0004-0000-0200-00002E000000}"/>
    <hyperlink ref="N60" r:id="rId48" xr:uid="{00000000-0004-0000-0200-000030000000}"/>
    <hyperlink ref="N61" r:id="rId49" xr:uid="{00000000-0004-0000-0200-000031000000}"/>
    <hyperlink ref="N62" r:id="rId50" xr:uid="{00000000-0004-0000-0200-000032000000}"/>
    <hyperlink ref="N65" r:id="rId51" xr:uid="{00000000-0004-0000-0200-000033000000}"/>
    <hyperlink ref="N66" r:id="rId52" xr:uid="{00000000-0004-0000-0200-000034000000}"/>
    <hyperlink ref="N70" r:id="rId53" xr:uid="{00000000-0004-0000-0200-000035000000}"/>
    <hyperlink ref="N71" r:id="rId54" xr:uid="{00000000-0004-0000-0200-000036000000}"/>
    <hyperlink ref="N72" r:id="rId55" xr:uid="{00000000-0004-0000-0200-000037000000}"/>
    <hyperlink ref="N73" r:id="rId56" xr:uid="{00000000-0004-0000-0200-000038000000}"/>
    <hyperlink ref="N74" r:id="rId57" xr:uid="{00000000-0004-0000-0200-000039000000}"/>
    <hyperlink ref="N75" r:id="rId58" xr:uid="{00000000-0004-0000-0200-00003A000000}"/>
    <hyperlink ref="N76" r:id="rId59" xr:uid="{00000000-0004-0000-0200-00003B000000}"/>
    <hyperlink ref="N77" r:id="rId60" xr:uid="{00000000-0004-0000-0200-00003C000000}"/>
    <hyperlink ref="N78" r:id="rId61" xr:uid="{00000000-0004-0000-0200-00003D000000}"/>
    <hyperlink ref="N79" r:id="rId62" xr:uid="{00000000-0004-0000-0200-00003E000000}"/>
    <hyperlink ref="N80" r:id="rId63" xr:uid="{00000000-0004-0000-0200-00003F000000}"/>
    <hyperlink ref="N81" r:id="rId64" xr:uid="{00000000-0004-0000-0200-000040000000}"/>
    <hyperlink ref="N88" r:id="rId65" xr:uid="{00000000-0004-0000-0200-000041000000}"/>
    <hyperlink ref="N89" r:id="rId66" xr:uid="{00000000-0004-0000-0200-000042000000}"/>
    <hyperlink ref="N90" r:id="rId67" xr:uid="{00000000-0004-0000-0200-000043000000}"/>
    <hyperlink ref="N91" r:id="rId68" xr:uid="{00000000-0004-0000-0200-000044000000}"/>
    <hyperlink ref="N92" r:id="rId69" xr:uid="{00000000-0004-0000-0200-000045000000}"/>
    <hyperlink ref="N93" r:id="rId70" xr:uid="{00000000-0004-0000-0200-000046000000}"/>
    <hyperlink ref="N94" r:id="rId71" xr:uid="{00000000-0004-0000-0200-000047000000}"/>
    <hyperlink ref="N95" r:id="rId72" xr:uid="{00000000-0004-0000-0200-000048000000}"/>
    <hyperlink ref="N96" r:id="rId73" xr:uid="{00000000-0004-0000-0200-00004A000000}"/>
    <hyperlink ref="N97" r:id="rId74" xr:uid="{00000000-0004-0000-0200-00004B000000}"/>
    <hyperlink ref="N100" r:id="rId75" xr:uid="{00000000-0004-0000-0200-00004C000000}"/>
    <hyperlink ref="N101" r:id="rId76" xr:uid="{00000000-0004-0000-0200-00004D000000}"/>
    <hyperlink ref="N102" r:id="rId77" xr:uid="{00000000-0004-0000-0200-00004E000000}"/>
    <hyperlink ref="N103" r:id="rId78" xr:uid="{00000000-0004-0000-0200-00004F000000}"/>
    <hyperlink ref="N104" r:id="rId79" xr:uid="{00000000-0004-0000-0200-000050000000}"/>
    <hyperlink ref="N105" r:id="rId80" xr:uid="{00000000-0004-0000-0200-000051000000}"/>
    <hyperlink ref="N106" r:id="rId81" xr:uid="{00000000-0004-0000-0200-000052000000}"/>
    <hyperlink ref="N67" r:id="rId82" xr:uid="{47ECCB66-8C48-4F84-8C9D-200DB9ED49F5}"/>
    <hyperlink ref="N57" r:id="rId83" xr:uid="{B0325201-2D00-4A60-9B04-210B55B9CB6B}"/>
    <hyperlink ref="N107" r:id="rId84" xr:uid="{C746423F-3BA3-4511-B0DE-8D2BC202CE9C}"/>
    <hyperlink ref="N108" r:id="rId85" xr:uid="{A41FE612-1656-484A-B5D7-EBEF3EC80B02}"/>
    <hyperlink ref="N34" r:id="rId86" xr:uid="{40992DAA-F90F-41A9-9906-4DC783129888}"/>
    <hyperlink ref="N110" r:id="rId87" xr:uid="{D77F41EC-6AF5-4AAF-AFEB-C2F6671BCDA8}"/>
    <hyperlink ref="N112" r:id="rId88" xr:uid="{0C6117B0-DFC6-4A0A-8702-E2E6A105767A}"/>
    <hyperlink ref="N111" r:id="rId89" xr:uid="{401722B6-2BE6-4347-826A-79A333C47C9E}"/>
    <hyperlink ref="N109" r:id="rId90" xr:uid="{E8176AD5-2021-4842-8E73-449E02A13FA1}"/>
    <hyperlink ref="O68" r:id="rId91" xr:uid="{F2F4837D-9C6A-473E-9B80-4EA385153723}"/>
  </hyperlinks>
  <pageMargins left="0.70866141732283505" right="0.70866141732283505" top="1.1811023622047201" bottom="1.1811023622047201" header="0" footer="0"/>
  <pageSetup fitToHeight="0" orientation="landscape"/>
  <headerFooter>
    <oddFooter>&amp;LF-DE-012 V3&amp;R 15/07/2024</oddFooter>
  </headerFooter>
  <drawing r:id="rId92"/>
  <extLst>
    <ext xmlns:x14="http://schemas.microsoft.com/office/spreadsheetml/2009/9/main" uri="{CCE6A557-97BC-4b89-ADB6-D9C93CAAB3DF}">
      <x14:dataValidations xmlns:xm="http://schemas.microsoft.com/office/excel/2006/main" count="4">
        <x14:dataValidation type="list" allowBlank="1" showErrorMessage="1" xr:uid="{00000000-0002-0000-0200-000001000000}">
          <x14:formula1>
            <xm:f>Listas2!$D$37:$D$41</xm:f>
          </x14:formula1>
          <xm:sqref>E21:E35 E113:E211</xm:sqref>
        </x14:dataValidation>
        <x14:dataValidation type="list" allowBlank="1" showErrorMessage="1" xr:uid="{00000000-0002-0000-0200-000003000000}">
          <x14:formula1>
            <xm:f>INDIRECT(Bienes!$A$1)</xm:f>
          </x14:formula1>
          <xm:sqref>B14:B15 B21:B35 B113:B211</xm:sqref>
        </x14:dataValidation>
        <x14:dataValidation type="list" allowBlank="1" showInputMessage="1" showErrorMessage="1" xr:uid="{156E34EC-7A26-456D-B93B-3D99CF1B3CDE}">
          <x14:formula1>
            <xm:f>INDIRECT('G:\.shortcut-targets-by-id\1Yel3u3vQe47YNUfn-FnuDApv-8Xunsop\04_GP\02_PPA\02098_Ladrillera del Meta\06_Financial\03_Tax benefits\01.Principal\[LadrilleradelMeta-BT.xlsm]Bienes'!#REF!)</xm:f>
          </x14:formula1>
          <xm:sqref>B68:B69</xm:sqref>
        </x14:dataValidation>
        <x14:dataValidation type="list" allowBlank="1" showInputMessage="1" showErrorMessage="1" xr:uid="{98175A13-6945-47AE-AC86-3374A45DC603}">
          <x14:formula1>
            <xm:f>'G:\.shortcut-targets-by-id\1Yel3u3vQe47YNUfn-FnuDApv-8Xunsop\04_GP\02_PPA\02098_Ladrillera del Meta\06_Financial\03_Tax benefits\01.Principal\[LadrilleradelMeta-BT.xlsm]Listas2'!#REF!</xm:f>
          </x14:formula1>
          <xm:sqref>E68:E69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998"/>
  <sheetViews>
    <sheetView showGridLines="0" workbookViewId="0"/>
  </sheetViews>
  <sheetFormatPr defaultColWidth="14.453125" defaultRowHeight="15" customHeight="1"/>
  <cols>
    <col min="1" max="1" width="9" customWidth="1"/>
    <col min="2" max="2" width="33" customWidth="1"/>
    <col min="3" max="3" width="23.81640625" customWidth="1"/>
    <col min="4" max="4" width="70.453125" customWidth="1"/>
    <col min="5" max="5" width="29.453125" customWidth="1"/>
    <col min="6" max="6" width="30.1796875" customWidth="1"/>
    <col min="7" max="26" width="11.45312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20.25" customHeight="1">
      <c r="A2" s="211"/>
      <c r="B2" s="157"/>
      <c r="C2" s="270" t="s">
        <v>0</v>
      </c>
      <c r="D2" s="168"/>
      <c r="E2" s="168"/>
      <c r="F2" s="62" t="s">
        <v>67</v>
      </c>
      <c r="G2" s="21"/>
      <c r="H2" s="21"/>
      <c r="I2" s="21"/>
      <c r="J2" s="21"/>
      <c r="K2" s="21"/>
      <c r="L2" s="21"/>
      <c r="M2" s="21"/>
      <c r="N2" s="21"/>
      <c r="O2" s="21"/>
      <c r="P2" s="21"/>
      <c r="Q2" s="21"/>
      <c r="R2" s="21"/>
      <c r="S2" s="21"/>
      <c r="T2" s="21"/>
      <c r="U2" s="2"/>
      <c r="V2" s="22"/>
      <c r="W2" s="22"/>
      <c r="X2" s="22"/>
      <c r="Y2" s="2"/>
      <c r="Z2" s="1"/>
    </row>
    <row r="3" spans="1:26" ht="14.25" customHeight="1">
      <c r="A3" s="158"/>
      <c r="B3" s="159"/>
      <c r="C3" s="158"/>
      <c r="D3" s="169"/>
      <c r="E3" s="169"/>
      <c r="F3" s="162" t="s">
        <v>68</v>
      </c>
      <c r="G3" s="21"/>
      <c r="H3" s="21"/>
      <c r="I3" s="21"/>
      <c r="J3" s="21"/>
      <c r="K3" s="21"/>
      <c r="L3" s="21"/>
      <c r="M3" s="21"/>
      <c r="N3" s="21"/>
      <c r="O3" s="21"/>
      <c r="P3" s="21"/>
      <c r="Q3" s="21"/>
      <c r="R3" s="21"/>
      <c r="S3" s="21"/>
      <c r="T3" s="21"/>
      <c r="U3" s="2"/>
      <c r="V3" s="22"/>
      <c r="W3" s="22"/>
      <c r="X3" s="22"/>
      <c r="Y3" s="2"/>
      <c r="Z3" s="1"/>
    </row>
    <row r="4" spans="1:26" ht="10.5" customHeight="1">
      <c r="A4" s="158"/>
      <c r="B4" s="159"/>
      <c r="C4" s="158"/>
      <c r="D4" s="169"/>
      <c r="E4" s="169"/>
      <c r="F4" s="163"/>
      <c r="G4" s="21"/>
      <c r="H4" s="21"/>
      <c r="I4" s="21"/>
      <c r="J4" s="21"/>
      <c r="K4" s="21"/>
      <c r="L4" s="21"/>
      <c r="M4" s="21"/>
      <c r="N4" s="21"/>
      <c r="O4" s="21"/>
      <c r="P4" s="21"/>
      <c r="Q4" s="21"/>
      <c r="R4" s="21"/>
      <c r="S4" s="21"/>
      <c r="T4" s="21"/>
      <c r="U4" s="2"/>
      <c r="V4" s="22"/>
      <c r="W4" s="22"/>
      <c r="X4" s="22"/>
      <c r="Y4" s="2"/>
      <c r="Z4" s="1"/>
    </row>
    <row r="5" spans="1:26" ht="21" customHeight="1">
      <c r="A5" s="160"/>
      <c r="B5" s="161"/>
      <c r="C5" s="160"/>
      <c r="D5" s="170"/>
      <c r="E5" s="170"/>
      <c r="F5" s="62" t="s">
        <v>3</v>
      </c>
      <c r="G5" s="21"/>
      <c r="H5" s="21"/>
      <c r="I5" s="21"/>
      <c r="J5" s="21"/>
      <c r="K5" s="21"/>
      <c r="L5" s="21"/>
      <c r="M5" s="21"/>
      <c r="N5" s="21"/>
      <c r="O5" s="21"/>
      <c r="P5" s="21"/>
      <c r="Q5" s="21"/>
      <c r="R5" s="21"/>
      <c r="S5" s="21"/>
      <c r="T5" s="21"/>
      <c r="U5" s="2"/>
      <c r="V5" s="22"/>
      <c r="W5" s="22"/>
      <c r="X5" s="22"/>
      <c r="Y5" s="2"/>
      <c r="Z5" s="1"/>
    </row>
    <row r="6" spans="1:26" ht="14.25" customHeight="1">
      <c r="A6" s="1"/>
      <c r="B6" s="171"/>
      <c r="C6" s="169"/>
      <c r="D6" s="169"/>
      <c r="E6" s="169"/>
      <c r="F6" s="169"/>
      <c r="G6" s="169"/>
      <c r="H6" s="169"/>
      <c r="I6" s="169"/>
      <c r="J6" s="169"/>
      <c r="K6" s="1"/>
      <c r="L6" s="1"/>
      <c r="M6" s="1"/>
      <c r="N6" s="1"/>
      <c r="O6" s="1"/>
      <c r="P6" s="1"/>
      <c r="Q6" s="1"/>
      <c r="R6" s="1"/>
      <c r="S6" s="1"/>
      <c r="T6" s="1"/>
      <c r="U6" s="1"/>
      <c r="V6" s="1"/>
      <c r="W6" s="1"/>
      <c r="X6" s="1"/>
      <c r="Y6" s="1"/>
      <c r="Z6" s="1"/>
    </row>
    <row r="7" spans="1:26" ht="14.25" customHeight="1">
      <c r="A7" s="2"/>
      <c r="B7" s="2"/>
      <c r="C7" s="2"/>
      <c r="D7" s="2"/>
      <c r="E7" s="2"/>
      <c r="F7" s="2"/>
      <c r="G7" s="2"/>
      <c r="H7" s="2"/>
      <c r="I7" s="2"/>
      <c r="J7" s="2"/>
      <c r="K7" s="2"/>
      <c r="L7" s="2"/>
      <c r="M7" s="2"/>
      <c r="N7" s="2"/>
      <c r="O7" s="2"/>
      <c r="P7" s="2"/>
      <c r="Q7" s="2"/>
      <c r="R7" s="2"/>
      <c r="S7" s="2"/>
      <c r="T7" s="2"/>
      <c r="U7" s="2"/>
      <c r="V7" s="2"/>
      <c r="W7" s="2"/>
      <c r="X7" s="2"/>
      <c r="Y7" s="2"/>
      <c r="Z7" s="2"/>
    </row>
    <row r="8" spans="1:26" ht="14.25" customHeight="1">
      <c r="A8" s="2"/>
      <c r="B8" s="2"/>
      <c r="C8" s="2"/>
      <c r="D8" s="2"/>
      <c r="E8" s="2"/>
      <c r="F8" s="2"/>
      <c r="G8" s="2"/>
      <c r="H8" s="2"/>
      <c r="I8" s="2"/>
      <c r="J8" s="2"/>
      <c r="K8" s="2"/>
      <c r="L8" s="2"/>
      <c r="M8" s="2"/>
      <c r="N8" s="2"/>
      <c r="O8" s="2"/>
      <c r="P8" s="2"/>
      <c r="Q8" s="2"/>
      <c r="R8" s="2"/>
      <c r="S8" s="2"/>
      <c r="T8" s="2"/>
      <c r="U8" s="2"/>
      <c r="V8" s="2"/>
      <c r="W8" s="2"/>
      <c r="X8" s="2"/>
      <c r="Y8" s="2"/>
      <c r="Z8" s="2"/>
    </row>
    <row r="9" spans="1:26" ht="14.25" customHeight="1">
      <c r="A9" s="2"/>
      <c r="B9" s="2"/>
      <c r="C9" s="2"/>
      <c r="D9" s="2"/>
      <c r="E9" s="2"/>
      <c r="F9" s="2"/>
      <c r="G9" s="2"/>
      <c r="H9" s="2"/>
      <c r="I9" s="2"/>
      <c r="J9" s="2"/>
      <c r="K9" s="2"/>
      <c r="L9" s="2"/>
      <c r="M9" s="2"/>
      <c r="N9" s="2"/>
      <c r="O9" s="2"/>
      <c r="P9" s="2"/>
      <c r="Q9" s="2"/>
      <c r="R9" s="2"/>
      <c r="S9" s="2"/>
      <c r="T9" s="2"/>
      <c r="U9" s="2"/>
      <c r="V9" s="2"/>
      <c r="W9" s="2"/>
      <c r="X9" s="2"/>
      <c r="Y9" s="2"/>
      <c r="Z9" s="2"/>
    </row>
    <row r="10" spans="1:26" ht="30"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59.25" customHeight="1">
      <c r="A11" s="208" t="s">
        <v>489</v>
      </c>
      <c r="B11" s="180"/>
      <c r="C11" s="180"/>
      <c r="D11" s="180"/>
      <c r="E11" s="180"/>
      <c r="F11" s="195"/>
      <c r="G11" s="2"/>
      <c r="H11" s="2"/>
      <c r="I11" s="2"/>
      <c r="J11" s="2"/>
      <c r="K11" s="2"/>
      <c r="L11" s="2"/>
      <c r="M11" s="2"/>
      <c r="N11" s="2"/>
      <c r="O11" s="2"/>
      <c r="P11" s="2"/>
      <c r="Q11" s="2"/>
      <c r="R11" s="2"/>
      <c r="S11" s="2"/>
      <c r="T11" s="2"/>
      <c r="U11" s="2"/>
      <c r="V11" s="2"/>
      <c r="W11" s="2"/>
      <c r="X11" s="2"/>
      <c r="Y11" s="2"/>
      <c r="Z11" s="2"/>
    </row>
    <row r="12" spans="1:26" ht="14.25" customHeight="1">
      <c r="A12" s="63" t="s">
        <v>112</v>
      </c>
      <c r="B12" s="63" t="s">
        <v>490</v>
      </c>
      <c r="C12" s="64" t="s">
        <v>121</v>
      </c>
      <c r="D12" s="64" t="s">
        <v>491</v>
      </c>
      <c r="E12" s="65" t="s">
        <v>122</v>
      </c>
      <c r="F12" s="66" t="s">
        <v>123</v>
      </c>
      <c r="G12" s="2"/>
      <c r="H12" s="2"/>
      <c r="I12" s="2"/>
      <c r="J12" s="2"/>
      <c r="K12" s="2"/>
      <c r="L12" s="2"/>
      <c r="M12" s="2"/>
      <c r="N12" s="2"/>
      <c r="O12" s="2"/>
      <c r="P12" s="2"/>
      <c r="Q12" s="2"/>
      <c r="R12" s="2"/>
      <c r="S12" s="2"/>
      <c r="T12" s="2"/>
      <c r="U12" s="2"/>
      <c r="V12" s="2"/>
      <c r="W12" s="2"/>
      <c r="X12" s="2"/>
      <c r="Y12" s="2"/>
      <c r="Z12" s="2"/>
    </row>
    <row r="13" spans="1:26" ht="171" customHeight="1">
      <c r="A13" s="67">
        <v>1</v>
      </c>
      <c r="B13" s="68" t="s">
        <v>492</v>
      </c>
      <c r="C13" s="68" t="s">
        <v>493</v>
      </c>
      <c r="D13" s="69" t="s">
        <v>494</v>
      </c>
      <c r="E13" s="70"/>
      <c r="F13" s="71">
        <f>E13*0.19</f>
        <v>0</v>
      </c>
      <c r="G13" s="5"/>
      <c r="H13" s="2"/>
      <c r="I13" s="2"/>
      <c r="J13" s="2"/>
      <c r="K13" s="2"/>
      <c r="L13" s="2"/>
      <c r="M13" s="2"/>
      <c r="N13" s="2"/>
      <c r="O13" s="2"/>
      <c r="P13" s="2"/>
      <c r="Q13" s="2"/>
      <c r="R13" s="2"/>
      <c r="S13" s="2"/>
      <c r="T13" s="2"/>
      <c r="U13" s="2"/>
      <c r="V13" s="2"/>
      <c r="W13" s="2"/>
      <c r="X13" s="2"/>
      <c r="Y13" s="2"/>
      <c r="Z13" s="2"/>
    </row>
    <row r="14" spans="1:26" ht="48" customHeight="1">
      <c r="A14" s="72">
        <v>2</v>
      </c>
      <c r="B14" s="37" t="s">
        <v>495</v>
      </c>
      <c r="C14" s="37" t="s">
        <v>10</v>
      </c>
      <c r="D14" s="3" t="s">
        <v>496</v>
      </c>
      <c r="E14" s="70"/>
      <c r="F14" s="71"/>
      <c r="G14" s="5"/>
      <c r="H14" s="2"/>
      <c r="I14" s="2"/>
      <c r="J14" s="2"/>
      <c r="K14" s="2"/>
      <c r="L14" s="2"/>
      <c r="M14" s="2"/>
      <c r="N14" s="2"/>
      <c r="O14" s="2"/>
      <c r="P14" s="2"/>
      <c r="Q14" s="2"/>
      <c r="R14" s="2"/>
      <c r="S14" s="2"/>
      <c r="T14" s="2"/>
      <c r="U14" s="2"/>
      <c r="V14" s="2"/>
      <c r="W14" s="2"/>
      <c r="X14" s="2"/>
      <c r="Y14" s="2"/>
      <c r="Z14" s="2"/>
    </row>
    <row r="15" spans="1:26" ht="75" customHeight="1">
      <c r="A15" s="72">
        <v>3</v>
      </c>
      <c r="B15" s="37" t="s">
        <v>495</v>
      </c>
      <c r="C15" s="37" t="s">
        <v>10</v>
      </c>
      <c r="D15" s="3" t="s">
        <v>497</v>
      </c>
      <c r="E15" s="70"/>
      <c r="F15" s="71">
        <f>E15*0.19</f>
        <v>0</v>
      </c>
      <c r="G15" s="5"/>
      <c r="H15" s="2"/>
      <c r="I15" s="2"/>
      <c r="J15" s="2"/>
      <c r="K15" s="2"/>
      <c r="L15" s="2"/>
      <c r="M15" s="2"/>
      <c r="N15" s="2"/>
      <c r="O15" s="2"/>
      <c r="P15" s="2"/>
      <c r="Q15" s="2"/>
      <c r="R15" s="2"/>
      <c r="S15" s="2"/>
      <c r="T15" s="2"/>
      <c r="U15" s="2"/>
      <c r="V15" s="2"/>
      <c r="W15" s="2"/>
      <c r="X15" s="2"/>
      <c r="Y15" s="2"/>
      <c r="Z15" s="2"/>
    </row>
    <row r="16" spans="1:26" ht="48" customHeight="1">
      <c r="A16" s="72">
        <v>4</v>
      </c>
      <c r="B16" s="37" t="s">
        <v>498</v>
      </c>
      <c r="C16" s="37" t="s">
        <v>10</v>
      </c>
      <c r="D16" s="3" t="s">
        <v>499</v>
      </c>
      <c r="E16" s="70"/>
      <c r="F16" s="71">
        <f>E16*0.19</f>
        <v>0</v>
      </c>
      <c r="G16" s="5"/>
      <c r="H16" s="2"/>
      <c r="I16" s="2"/>
      <c r="J16" s="2"/>
      <c r="K16" s="2"/>
      <c r="L16" s="2"/>
      <c r="M16" s="2"/>
      <c r="N16" s="2"/>
      <c r="O16" s="2"/>
      <c r="P16" s="2"/>
      <c r="Q16" s="2"/>
      <c r="R16" s="2"/>
      <c r="S16" s="2"/>
      <c r="T16" s="2"/>
      <c r="U16" s="2"/>
      <c r="V16" s="2"/>
      <c r="W16" s="2"/>
      <c r="X16" s="2"/>
      <c r="Y16" s="2"/>
      <c r="Z16" s="2"/>
    </row>
    <row r="17" spans="1:26" ht="62.25" customHeight="1">
      <c r="A17" s="72">
        <v>5</v>
      </c>
      <c r="B17" s="37" t="s">
        <v>500</v>
      </c>
      <c r="C17" s="37" t="s">
        <v>10</v>
      </c>
      <c r="D17" s="3" t="s">
        <v>501</v>
      </c>
      <c r="E17" s="70"/>
      <c r="F17" s="71">
        <f>E17*0.19</f>
        <v>0</v>
      </c>
      <c r="G17" s="5"/>
      <c r="H17" s="2"/>
      <c r="I17" s="2"/>
      <c r="J17" s="2"/>
      <c r="K17" s="2"/>
      <c r="L17" s="2"/>
      <c r="M17" s="2"/>
      <c r="N17" s="2"/>
      <c r="O17" s="2"/>
      <c r="P17" s="2"/>
      <c r="Q17" s="2"/>
      <c r="R17" s="2"/>
      <c r="S17" s="2"/>
      <c r="T17" s="2"/>
      <c r="U17" s="2"/>
      <c r="V17" s="2"/>
      <c r="W17" s="2"/>
      <c r="X17" s="2"/>
      <c r="Y17" s="2"/>
      <c r="Z17" s="2"/>
    </row>
    <row r="18" spans="1:26" ht="111.75" customHeight="1">
      <c r="A18" s="73">
        <v>6</v>
      </c>
      <c r="B18" s="74" t="s">
        <v>502</v>
      </c>
      <c r="C18" s="74" t="s">
        <v>503</v>
      </c>
      <c r="D18" s="75" t="s">
        <v>504</v>
      </c>
      <c r="E18" s="76" t="s">
        <v>505</v>
      </c>
      <c r="F18" s="76" t="s">
        <v>506</v>
      </c>
      <c r="G18" s="77"/>
      <c r="H18" s="2"/>
      <c r="I18" s="2"/>
      <c r="J18" s="2"/>
      <c r="K18" s="2"/>
      <c r="L18" s="2"/>
      <c r="M18" s="2"/>
      <c r="N18" s="2"/>
      <c r="O18" s="2"/>
      <c r="P18" s="2"/>
      <c r="Q18" s="2"/>
      <c r="R18" s="2"/>
      <c r="S18" s="2"/>
      <c r="T18" s="2"/>
      <c r="U18" s="2"/>
      <c r="V18" s="2"/>
      <c r="W18" s="2"/>
      <c r="X18" s="2"/>
      <c r="Y18" s="2"/>
      <c r="Z18" s="2"/>
    </row>
    <row r="19" spans="1:26" ht="138.75" customHeight="1">
      <c r="A19" s="73">
        <v>7</v>
      </c>
      <c r="B19" s="78" t="s">
        <v>492</v>
      </c>
      <c r="C19" s="78" t="s">
        <v>507</v>
      </c>
      <c r="D19" s="75" t="s">
        <v>508</v>
      </c>
      <c r="E19" s="79" t="s">
        <v>509</v>
      </c>
      <c r="F19" s="79" t="s">
        <v>510</v>
      </c>
      <c r="G19" s="77"/>
      <c r="H19" s="2"/>
      <c r="I19" s="2"/>
      <c r="J19" s="2"/>
      <c r="K19" s="2"/>
      <c r="L19" s="2"/>
      <c r="M19" s="2"/>
      <c r="N19" s="2"/>
      <c r="O19" s="2"/>
      <c r="P19" s="2"/>
      <c r="Q19" s="2"/>
      <c r="R19" s="2"/>
      <c r="S19" s="2"/>
      <c r="T19" s="2"/>
      <c r="U19" s="2"/>
      <c r="V19" s="2"/>
      <c r="W19" s="2"/>
      <c r="X19" s="2"/>
      <c r="Y19" s="2"/>
      <c r="Z19" s="2"/>
    </row>
    <row r="20" spans="1:26" ht="136.5" customHeight="1">
      <c r="A20" s="73">
        <v>8</v>
      </c>
      <c r="B20" s="78" t="s">
        <v>511</v>
      </c>
      <c r="C20" s="78" t="s">
        <v>512</v>
      </c>
      <c r="D20" s="75" t="s">
        <v>513</v>
      </c>
      <c r="E20" s="79" t="s">
        <v>514</v>
      </c>
      <c r="F20" s="79" t="s">
        <v>515</v>
      </c>
      <c r="G20" s="77"/>
      <c r="H20" s="2"/>
      <c r="I20" s="2"/>
      <c r="J20" s="2"/>
      <c r="K20" s="2"/>
      <c r="L20" s="2"/>
      <c r="M20" s="2"/>
      <c r="N20" s="2"/>
      <c r="O20" s="2"/>
      <c r="P20" s="2"/>
      <c r="Q20" s="2"/>
      <c r="R20" s="2"/>
      <c r="S20" s="2"/>
      <c r="T20" s="2"/>
      <c r="U20" s="2"/>
      <c r="V20" s="2"/>
      <c r="W20" s="2"/>
      <c r="X20" s="2"/>
      <c r="Y20" s="2"/>
      <c r="Z20" s="2"/>
    </row>
    <row r="21" spans="1:26" ht="154.5" customHeight="1">
      <c r="A21" s="73">
        <v>9</v>
      </c>
      <c r="B21" s="78" t="s">
        <v>511</v>
      </c>
      <c r="C21" s="78" t="s">
        <v>516</v>
      </c>
      <c r="D21" s="75" t="s">
        <v>517</v>
      </c>
      <c r="E21" s="79" t="s">
        <v>518</v>
      </c>
      <c r="F21" s="79" t="s">
        <v>519</v>
      </c>
      <c r="G21" s="77"/>
      <c r="H21" s="2"/>
      <c r="I21" s="2"/>
      <c r="J21" s="2"/>
      <c r="K21" s="2"/>
      <c r="L21" s="2"/>
      <c r="M21" s="2"/>
      <c r="N21" s="2"/>
      <c r="O21" s="2"/>
      <c r="P21" s="2"/>
      <c r="Q21" s="2"/>
      <c r="R21" s="2"/>
      <c r="S21" s="2"/>
      <c r="T21" s="2"/>
      <c r="U21" s="2"/>
      <c r="V21" s="2"/>
      <c r="W21" s="2"/>
      <c r="X21" s="2"/>
      <c r="Y21" s="2"/>
      <c r="Z21" s="2"/>
    </row>
    <row r="22" spans="1:26" ht="69.75" customHeight="1">
      <c r="A22" s="73">
        <v>11</v>
      </c>
      <c r="B22" s="78" t="s">
        <v>498</v>
      </c>
      <c r="C22" s="78" t="s">
        <v>520</v>
      </c>
      <c r="D22" s="75" t="s">
        <v>521</v>
      </c>
      <c r="E22" s="79" t="s">
        <v>522</v>
      </c>
      <c r="F22" s="79" t="s">
        <v>523</v>
      </c>
      <c r="G22" s="77"/>
      <c r="H22" s="2"/>
      <c r="I22" s="2"/>
      <c r="J22" s="2"/>
      <c r="K22" s="2"/>
      <c r="L22" s="2"/>
      <c r="M22" s="2"/>
      <c r="N22" s="2"/>
      <c r="O22" s="2"/>
      <c r="P22" s="2"/>
      <c r="Q22" s="2"/>
      <c r="R22" s="2"/>
      <c r="S22" s="2"/>
      <c r="T22" s="2"/>
      <c r="U22" s="2"/>
      <c r="V22" s="2"/>
      <c r="W22" s="2"/>
      <c r="X22" s="2"/>
      <c r="Y22" s="2"/>
      <c r="Z22" s="2"/>
    </row>
    <row r="23" spans="1:26" ht="48" customHeight="1">
      <c r="A23" s="73">
        <v>13</v>
      </c>
      <c r="B23" s="78" t="s">
        <v>511</v>
      </c>
      <c r="C23" s="78" t="s">
        <v>524</v>
      </c>
      <c r="D23" s="75" t="s">
        <v>525</v>
      </c>
      <c r="E23" s="79" t="s">
        <v>526</v>
      </c>
      <c r="F23" s="79" t="s">
        <v>527</v>
      </c>
      <c r="G23" s="77"/>
      <c r="H23" s="2"/>
      <c r="I23" s="2"/>
      <c r="J23" s="2"/>
      <c r="K23" s="2"/>
      <c r="L23" s="2"/>
      <c r="M23" s="2"/>
      <c r="N23" s="2"/>
      <c r="O23" s="2"/>
      <c r="P23" s="2"/>
      <c r="Q23" s="2"/>
      <c r="R23" s="2"/>
      <c r="S23" s="2"/>
      <c r="T23" s="2"/>
      <c r="U23" s="2"/>
      <c r="V23" s="2"/>
      <c r="W23" s="2"/>
      <c r="X23" s="2"/>
      <c r="Y23" s="2"/>
      <c r="Z23" s="2"/>
    </row>
    <row r="24" spans="1:26" ht="14.25" customHeight="1">
      <c r="A24" s="80">
        <v>14</v>
      </c>
      <c r="B24" s="109"/>
      <c r="C24" s="109"/>
      <c r="D24" s="109"/>
      <c r="E24" s="81"/>
      <c r="F24" s="82"/>
      <c r="G24" s="2"/>
      <c r="H24" s="2"/>
      <c r="I24" s="2"/>
      <c r="J24" s="2"/>
      <c r="K24" s="2"/>
      <c r="L24" s="2"/>
      <c r="M24" s="2"/>
      <c r="N24" s="2"/>
      <c r="O24" s="2"/>
      <c r="P24" s="2"/>
      <c r="Q24" s="2"/>
      <c r="R24" s="2"/>
      <c r="S24" s="2"/>
      <c r="T24" s="2"/>
      <c r="U24" s="2"/>
      <c r="V24" s="2"/>
      <c r="W24" s="2"/>
      <c r="X24" s="2"/>
      <c r="Y24" s="2"/>
      <c r="Z24" s="2"/>
    </row>
    <row r="25" spans="1:26" ht="14.25" customHeight="1">
      <c r="A25" s="54">
        <v>15</v>
      </c>
      <c r="B25" s="28"/>
      <c r="C25" s="28"/>
      <c r="D25" s="28"/>
      <c r="E25" s="83"/>
      <c r="F25" s="82"/>
      <c r="G25" s="2"/>
      <c r="H25" s="2"/>
      <c r="I25" s="2"/>
      <c r="J25" s="2"/>
      <c r="K25" s="2"/>
      <c r="L25" s="2"/>
      <c r="M25" s="2"/>
      <c r="N25" s="2"/>
      <c r="O25" s="2"/>
      <c r="P25" s="2"/>
      <c r="Q25" s="2"/>
      <c r="R25" s="2"/>
      <c r="S25" s="2"/>
      <c r="T25" s="2"/>
      <c r="U25" s="2"/>
      <c r="V25" s="2"/>
      <c r="W25" s="2"/>
      <c r="X25" s="2"/>
      <c r="Y25" s="2"/>
      <c r="Z25" s="2"/>
    </row>
    <row r="26" spans="1:26" ht="14.25" customHeight="1">
      <c r="A26" s="84">
        <v>16</v>
      </c>
      <c r="B26" s="85"/>
      <c r="C26" s="85"/>
      <c r="D26" s="85"/>
      <c r="E26" s="86"/>
      <c r="F26" s="87"/>
      <c r="G26" s="2"/>
      <c r="H26" s="2"/>
      <c r="I26" s="2"/>
      <c r="J26" s="2"/>
      <c r="K26" s="2"/>
      <c r="L26" s="2"/>
      <c r="M26" s="2"/>
      <c r="N26" s="2"/>
      <c r="O26" s="2"/>
      <c r="P26" s="2"/>
      <c r="Q26" s="2"/>
      <c r="R26" s="2"/>
      <c r="S26" s="2"/>
      <c r="T26" s="2"/>
      <c r="U26" s="2"/>
      <c r="V26" s="2"/>
      <c r="W26" s="2"/>
      <c r="X26" s="2"/>
      <c r="Y26" s="2"/>
      <c r="Z26" s="2"/>
    </row>
    <row r="27" spans="1:26" ht="14.25" customHeight="1">
      <c r="A27" s="73">
        <v>17</v>
      </c>
      <c r="B27" s="28"/>
      <c r="C27" s="28"/>
      <c r="D27" s="28"/>
      <c r="E27" s="83"/>
      <c r="F27" s="88"/>
      <c r="G27" s="2"/>
      <c r="H27" s="2"/>
      <c r="I27" s="2"/>
      <c r="J27" s="2"/>
      <c r="K27" s="2"/>
      <c r="L27" s="2"/>
      <c r="M27" s="2"/>
      <c r="N27" s="2"/>
      <c r="O27" s="2"/>
      <c r="P27" s="2"/>
      <c r="Q27" s="2"/>
      <c r="R27" s="2"/>
      <c r="S27" s="2"/>
      <c r="T27" s="2"/>
      <c r="U27" s="2"/>
      <c r="V27" s="2"/>
      <c r="W27" s="2"/>
      <c r="X27" s="2"/>
      <c r="Y27" s="2"/>
      <c r="Z27" s="2"/>
    </row>
    <row r="28" spans="1:26" ht="14.25" customHeight="1">
      <c r="A28" s="73">
        <v>18</v>
      </c>
      <c r="B28" s="49"/>
      <c r="C28" s="49"/>
      <c r="D28" s="28"/>
      <c r="E28" s="83"/>
      <c r="F28" s="88"/>
      <c r="G28" s="2"/>
      <c r="H28" s="2"/>
      <c r="I28" s="2"/>
      <c r="J28" s="2"/>
      <c r="K28" s="2"/>
      <c r="L28" s="2"/>
      <c r="M28" s="2"/>
      <c r="N28" s="2"/>
      <c r="O28" s="2"/>
      <c r="P28" s="2"/>
      <c r="Q28" s="2"/>
      <c r="R28" s="2"/>
      <c r="S28" s="2"/>
      <c r="T28" s="2"/>
      <c r="U28" s="2"/>
      <c r="V28" s="2"/>
      <c r="W28" s="2"/>
      <c r="X28" s="2"/>
      <c r="Y28" s="2"/>
      <c r="Z28" s="2"/>
    </row>
    <row r="29" spans="1:26" ht="14.25" customHeight="1">
      <c r="A29" s="73">
        <v>19</v>
      </c>
      <c r="B29" s="28"/>
      <c r="C29" s="28"/>
      <c r="D29" s="28"/>
      <c r="E29" s="83"/>
      <c r="F29" s="88"/>
      <c r="G29" s="2"/>
      <c r="H29" s="2"/>
      <c r="I29" s="2"/>
      <c r="J29" s="2"/>
      <c r="K29" s="2"/>
      <c r="L29" s="2"/>
      <c r="M29" s="2"/>
      <c r="N29" s="2"/>
      <c r="O29" s="2"/>
      <c r="P29" s="2"/>
      <c r="Q29" s="2"/>
      <c r="R29" s="2"/>
      <c r="S29" s="2"/>
      <c r="T29" s="2"/>
      <c r="U29" s="2"/>
      <c r="V29" s="2"/>
      <c r="W29" s="2"/>
      <c r="X29" s="2"/>
      <c r="Y29" s="2"/>
      <c r="Z29" s="2"/>
    </row>
    <row r="30" spans="1:26" ht="14.25" customHeight="1">
      <c r="A30" s="73">
        <v>20</v>
      </c>
      <c r="B30" s="28"/>
      <c r="C30" s="28"/>
      <c r="D30" s="28"/>
      <c r="E30" s="83"/>
      <c r="F30" s="88"/>
      <c r="G30" s="2"/>
      <c r="H30" s="2"/>
      <c r="I30" s="2"/>
      <c r="J30" s="2"/>
      <c r="K30" s="2"/>
      <c r="L30" s="2"/>
      <c r="M30" s="2"/>
      <c r="N30" s="2"/>
      <c r="O30" s="2"/>
      <c r="P30" s="2"/>
      <c r="Q30" s="2"/>
      <c r="R30" s="2"/>
      <c r="S30" s="2"/>
      <c r="T30" s="2"/>
      <c r="U30" s="2"/>
      <c r="V30" s="2"/>
      <c r="W30" s="2"/>
      <c r="X30" s="2"/>
      <c r="Y30" s="2"/>
      <c r="Z30" s="2"/>
    </row>
    <row r="31" spans="1:26" ht="14.25" customHeight="1">
      <c r="A31" s="73">
        <v>21</v>
      </c>
      <c r="B31" s="28"/>
      <c r="C31" s="28"/>
      <c r="D31" s="28"/>
      <c r="E31" s="83"/>
      <c r="F31" s="88"/>
      <c r="G31" s="2"/>
      <c r="H31" s="2"/>
      <c r="I31" s="2"/>
      <c r="J31" s="2"/>
      <c r="K31" s="2"/>
      <c r="L31" s="2"/>
      <c r="M31" s="2"/>
      <c r="N31" s="2"/>
      <c r="O31" s="2"/>
      <c r="P31" s="2"/>
      <c r="Q31" s="2"/>
      <c r="R31" s="2"/>
      <c r="S31" s="2"/>
      <c r="T31" s="2"/>
      <c r="U31" s="2"/>
      <c r="V31" s="2"/>
      <c r="W31" s="2"/>
      <c r="X31" s="2"/>
      <c r="Y31" s="2"/>
      <c r="Z31" s="2"/>
    </row>
    <row r="32" spans="1:26" ht="14.25" customHeight="1">
      <c r="A32" s="73">
        <v>22</v>
      </c>
      <c r="B32" s="28"/>
      <c r="C32" s="28"/>
      <c r="D32" s="28"/>
      <c r="E32" s="83"/>
      <c r="F32" s="88"/>
      <c r="G32" s="2"/>
      <c r="H32" s="2"/>
      <c r="I32" s="2"/>
      <c r="J32" s="2"/>
      <c r="K32" s="2"/>
      <c r="L32" s="2"/>
      <c r="M32" s="2"/>
      <c r="N32" s="2"/>
      <c r="O32" s="2"/>
      <c r="P32" s="2"/>
      <c r="Q32" s="2"/>
      <c r="R32" s="2"/>
      <c r="S32" s="2"/>
      <c r="T32" s="2"/>
      <c r="U32" s="2"/>
      <c r="V32" s="2"/>
      <c r="W32" s="2"/>
      <c r="X32" s="2"/>
      <c r="Y32" s="2"/>
      <c r="Z32" s="2"/>
    </row>
    <row r="33" spans="1:26" ht="14.25" customHeight="1">
      <c r="A33" s="73">
        <v>23</v>
      </c>
      <c r="B33" s="28"/>
      <c r="C33" s="28"/>
      <c r="D33" s="28"/>
      <c r="E33" s="83"/>
      <c r="F33" s="88"/>
      <c r="G33" s="2"/>
      <c r="H33" s="2"/>
      <c r="I33" s="2"/>
      <c r="J33" s="2"/>
      <c r="K33" s="2"/>
      <c r="L33" s="2"/>
      <c r="M33" s="2"/>
      <c r="N33" s="2"/>
      <c r="O33" s="2"/>
      <c r="P33" s="2"/>
      <c r="Q33" s="2"/>
      <c r="R33" s="2"/>
      <c r="S33" s="2"/>
      <c r="T33" s="2"/>
      <c r="U33" s="2"/>
      <c r="V33" s="2"/>
      <c r="W33" s="2"/>
      <c r="X33" s="2"/>
      <c r="Y33" s="2"/>
      <c r="Z33" s="2"/>
    </row>
    <row r="34" spans="1:26" ht="14.25" customHeight="1">
      <c r="A34" s="73">
        <v>24</v>
      </c>
      <c r="B34" s="28"/>
      <c r="C34" s="28"/>
      <c r="D34" s="28"/>
      <c r="E34" s="83"/>
      <c r="F34" s="88"/>
      <c r="G34" s="2"/>
      <c r="H34" s="2"/>
      <c r="I34" s="2"/>
      <c r="J34" s="2"/>
      <c r="K34" s="2"/>
      <c r="L34" s="2"/>
      <c r="M34" s="2"/>
      <c r="N34" s="2"/>
      <c r="O34" s="2"/>
      <c r="P34" s="2"/>
      <c r="Q34" s="2"/>
      <c r="R34" s="2"/>
      <c r="S34" s="2"/>
      <c r="T34" s="2"/>
      <c r="U34" s="2"/>
      <c r="V34" s="2"/>
      <c r="W34" s="2"/>
      <c r="X34" s="2"/>
      <c r="Y34" s="2"/>
      <c r="Z34" s="2"/>
    </row>
    <row r="35" spans="1:26" ht="14.25" customHeight="1">
      <c r="A35" s="73">
        <v>25</v>
      </c>
      <c r="B35" s="28"/>
      <c r="C35" s="28"/>
      <c r="D35" s="28"/>
      <c r="E35" s="83"/>
      <c r="F35" s="88"/>
      <c r="G35" s="2"/>
      <c r="H35" s="2"/>
      <c r="I35" s="2"/>
      <c r="J35" s="2"/>
      <c r="K35" s="2"/>
      <c r="L35" s="2"/>
      <c r="M35" s="2"/>
      <c r="N35" s="2"/>
      <c r="O35" s="2"/>
      <c r="P35" s="2"/>
      <c r="Q35" s="2"/>
      <c r="R35" s="2"/>
      <c r="S35" s="2"/>
      <c r="T35" s="2"/>
      <c r="U35" s="2"/>
      <c r="V35" s="2"/>
      <c r="W35" s="2"/>
      <c r="X35" s="2"/>
      <c r="Y35" s="2"/>
      <c r="Z35" s="2"/>
    </row>
    <row r="36" spans="1:26" ht="14.25" customHeight="1">
      <c r="A36" s="73">
        <v>26</v>
      </c>
      <c r="B36" s="28"/>
      <c r="C36" s="28"/>
      <c r="D36" s="28"/>
      <c r="E36" s="83"/>
      <c r="F36" s="88"/>
      <c r="G36" s="2"/>
      <c r="H36" s="2"/>
      <c r="I36" s="2"/>
      <c r="J36" s="2"/>
      <c r="K36" s="2"/>
      <c r="L36" s="2"/>
      <c r="M36" s="2"/>
      <c r="N36" s="2"/>
      <c r="O36" s="2"/>
      <c r="P36" s="2"/>
      <c r="Q36" s="2"/>
      <c r="R36" s="2"/>
      <c r="S36" s="2"/>
      <c r="T36" s="2"/>
      <c r="U36" s="2"/>
      <c r="V36" s="2"/>
      <c r="W36" s="2"/>
      <c r="X36" s="2"/>
      <c r="Y36" s="2"/>
      <c r="Z36" s="2"/>
    </row>
    <row r="37" spans="1:26" ht="14.25" customHeight="1">
      <c r="A37" s="73">
        <v>27</v>
      </c>
      <c r="B37" s="28"/>
      <c r="C37" s="28"/>
      <c r="D37" s="28"/>
      <c r="E37" s="83"/>
      <c r="F37" s="88"/>
      <c r="G37" s="2"/>
      <c r="H37" s="2"/>
      <c r="I37" s="2"/>
      <c r="J37" s="2"/>
      <c r="K37" s="2"/>
      <c r="L37" s="2"/>
      <c r="M37" s="2"/>
      <c r="N37" s="2"/>
      <c r="O37" s="2"/>
      <c r="P37" s="2"/>
      <c r="Q37" s="2"/>
      <c r="R37" s="2"/>
      <c r="S37" s="2"/>
      <c r="T37" s="2"/>
      <c r="U37" s="2"/>
      <c r="V37" s="2"/>
      <c r="W37" s="2"/>
      <c r="X37" s="2"/>
      <c r="Y37" s="2"/>
      <c r="Z37" s="2"/>
    </row>
    <row r="38" spans="1:26" ht="14.25" customHeight="1">
      <c r="A38" s="73">
        <v>28</v>
      </c>
      <c r="B38" s="28"/>
      <c r="C38" s="28"/>
      <c r="D38" s="28"/>
      <c r="E38" s="83"/>
      <c r="F38" s="88"/>
      <c r="G38" s="2"/>
      <c r="H38" s="2"/>
      <c r="I38" s="2"/>
      <c r="J38" s="2"/>
      <c r="K38" s="2"/>
      <c r="L38" s="2"/>
      <c r="M38" s="2"/>
      <c r="N38" s="2"/>
      <c r="O38" s="2"/>
      <c r="P38" s="2"/>
      <c r="Q38" s="2"/>
      <c r="R38" s="2"/>
      <c r="S38" s="2"/>
      <c r="T38" s="2"/>
      <c r="U38" s="2"/>
      <c r="V38" s="2"/>
      <c r="W38" s="2"/>
      <c r="X38" s="2"/>
      <c r="Y38" s="2"/>
      <c r="Z38" s="2"/>
    </row>
    <row r="39" spans="1:26" ht="14.25" customHeight="1">
      <c r="A39" s="73">
        <v>29</v>
      </c>
      <c r="B39" s="49"/>
      <c r="C39" s="49"/>
      <c r="D39" s="28"/>
      <c r="E39" s="83"/>
      <c r="F39" s="88"/>
      <c r="G39" s="2"/>
      <c r="H39" s="2"/>
      <c r="I39" s="2"/>
      <c r="J39" s="2"/>
      <c r="K39" s="2"/>
      <c r="L39" s="2"/>
      <c r="M39" s="2"/>
      <c r="N39" s="2"/>
      <c r="O39" s="2"/>
      <c r="P39" s="2"/>
      <c r="Q39" s="2"/>
      <c r="R39" s="2"/>
      <c r="S39" s="2"/>
      <c r="T39" s="2"/>
      <c r="U39" s="2"/>
      <c r="V39" s="2"/>
      <c r="W39" s="2"/>
      <c r="X39" s="2"/>
      <c r="Y39" s="2"/>
      <c r="Z39" s="2"/>
    </row>
    <row r="40" spans="1:26" ht="14.25" customHeight="1">
      <c r="A40" s="73">
        <v>30</v>
      </c>
      <c r="B40" s="28"/>
      <c r="C40" s="28"/>
      <c r="D40" s="28"/>
      <c r="E40" s="83"/>
      <c r="F40" s="88"/>
      <c r="G40" s="2"/>
      <c r="H40" s="2"/>
      <c r="I40" s="2"/>
      <c r="J40" s="2"/>
      <c r="K40" s="2"/>
      <c r="L40" s="2"/>
      <c r="M40" s="2"/>
      <c r="N40" s="2"/>
      <c r="O40" s="2"/>
      <c r="P40" s="2"/>
      <c r="Q40" s="2"/>
      <c r="R40" s="2"/>
      <c r="S40" s="2"/>
      <c r="T40" s="2"/>
      <c r="U40" s="2"/>
      <c r="V40" s="2"/>
      <c r="W40" s="2"/>
      <c r="X40" s="2"/>
      <c r="Y40" s="2"/>
      <c r="Z40" s="2"/>
    </row>
    <row r="41" spans="1:26" ht="14.25" customHeight="1">
      <c r="A41" s="73">
        <v>31</v>
      </c>
      <c r="B41" s="28"/>
      <c r="C41" s="28"/>
      <c r="D41" s="28"/>
      <c r="E41" s="83"/>
      <c r="F41" s="88"/>
      <c r="G41" s="2"/>
      <c r="H41" s="2"/>
      <c r="I41" s="2"/>
      <c r="J41" s="2"/>
      <c r="K41" s="2"/>
      <c r="L41" s="2"/>
      <c r="M41" s="2"/>
      <c r="N41" s="2"/>
      <c r="O41" s="2"/>
      <c r="P41" s="2"/>
      <c r="Q41" s="2"/>
      <c r="R41" s="2"/>
      <c r="S41" s="2"/>
      <c r="T41" s="2"/>
      <c r="U41" s="2"/>
      <c r="V41" s="2"/>
      <c r="W41" s="2"/>
      <c r="X41" s="2"/>
      <c r="Y41" s="2"/>
      <c r="Z41" s="2"/>
    </row>
    <row r="42" spans="1:26" ht="14.25" customHeight="1">
      <c r="A42" s="73">
        <v>32</v>
      </c>
      <c r="B42" s="28"/>
      <c r="C42" s="28"/>
      <c r="D42" s="28"/>
      <c r="E42" s="83"/>
      <c r="F42" s="88"/>
      <c r="G42" s="2"/>
      <c r="H42" s="2"/>
      <c r="I42" s="2"/>
      <c r="J42" s="2"/>
      <c r="K42" s="2"/>
      <c r="L42" s="2"/>
      <c r="M42" s="2"/>
      <c r="N42" s="2"/>
      <c r="O42" s="2"/>
      <c r="P42" s="2"/>
      <c r="Q42" s="2"/>
      <c r="R42" s="2"/>
      <c r="S42" s="2"/>
      <c r="T42" s="2"/>
      <c r="U42" s="2"/>
      <c r="V42" s="2"/>
      <c r="W42" s="2"/>
      <c r="X42" s="2"/>
      <c r="Y42" s="2"/>
      <c r="Z42" s="2"/>
    </row>
    <row r="43" spans="1:26" ht="14.25" customHeight="1">
      <c r="A43" s="73">
        <v>33</v>
      </c>
      <c r="B43" s="28"/>
      <c r="C43" s="28"/>
      <c r="D43" s="28"/>
      <c r="E43" s="83"/>
      <c r="F43" s="88"/>
      <c r="G43" s="2"/>
      <c r="H43" s="2"/>
      <c r="I43" s="2"/>
      <c r="J43" s="2"/>
      <c r="K43" s="2"/>
      <c r="L43" s="2"/>
      <c r="M43" s="2"/>
      <c r="N43" s="2"/>
      <c r="O43" s="2"/>
      <c r="P43" s="2"/>
      <c r="Q43" s="2"/>
      <c r="R43" s="2"/>
      <c r="S43" s="2"/>
      <c r="T43" s="2"/>
      <c r="U43" s="2"/>
      <c r="V43" s="2"/>
      <c r="W43" s="2"/>
      <c r="X43" s="2"/>
      <c r="Y43" s="2"/>
      <c r="Z43" s="2"/>
    </row>
    <row r="44" spans="1:26" ht="14.25" customHeight="1">
      <c r="A44" s="73">
        <v>34</v>
      </c>
      <c r="B44" s="28"/>
      <c r="C44" s="28"/>
      <c r="D44" s="28"/>
      <c r="E44" s="83"/>
      <c r="F44" s="88"/>
      <c r="G44" s="2"/>
      <c r="H44" s="2"/>
      <c r="I44" s="2"/>
      <c r="J44" s="2"/>
      <c r="K44" s="2"/>
      <c r="L44" s="2"/>
      <c r="M44" s="2"/>
      <c r="N44" s="2"/>
      <c r="O44" s="2"/>
      <c r="P44" s="2"/>
      <c r="Q44" s="2"/>
      <c r="R44" s="2"/>
      <c r="S44" s="2"/>
      <c r="T44" s="2"/>
      <c r="U44" s="2"/>
      <c r="V44" s="2"/>
      <c r="W44" s="2"/>
      <c r="X44" s="2"/>
      <c r="Y44" s="2"/>
      <c r="Z44" s="2"/>
    </row>
    <row r="45" spans="1:26" ht="14.25" customHeight="1">
      <c r="A45" s="73">
        <v>35</v>
      </c>
      <c r="B45" s="28"/>
      <c r="C45" s="28"/>
      <c r="D45" s="28"/>
      <c r="E45" s="83"/>
      <c r="F45" s="88"/>
      <c r="G45" s="2"/>
      <c r="H45" s="2"/>
      <c r="I45" s="2"/>
      <c r="J45" s="2"/>
      <c r="K45" s="2"/>
      <c r="L45" s="2"/>
      <c r="M45" s="2"/>
      <c r="N45" s="2"/>
      <c r="O45" s="2"/>
      <c r="P45" s="2"/>
      <c r="Q45" s="2"/>
      <c r="R45" s="2"/>
      <c r="S45" s="2"/>
      <c r="T45" s="2"/>
      <c r="U45" s="2"/>
      <c r="V45" s="2"/>
      <c r="W45" s="2"/>
      <c r="X45" s="2"/>
      <c r="Y45" s="2"/>
      <c r="Z45" s="2"/>
    </row>
    <row r="46" spans="1:26" ht="14.25" customHeight="1">
      <c r="A46" s="73">
        <v>36</v>
      </c>
      <c r="B46" s="28"/>
      <c r="C46" s="28"/>
      <c r="D46" s="28"/>
      <c r="E46" s="83"/>
      <c r="F46" s="88"/>
      <c r="G46" s="2"/>
      <c r="H46" s="2"/>
      <c r="I46" s="2"/>
      <c r="J46" s="2"/>
      <c r="K46" s="2"/>
      <c r="L46" s="2"/>
      <c r="M46" s="2"/>
      <c r="N46" s="2"/>
      <c r="O46" s="2"/>
      <c r="P46" s="2"/>
      <c r="Q46" s="2"/>
      <c r="R46" s="2"/>
      <c r="S46" s="2"/>
      <c r="T46" s="2"/>
      <c r="U46" s="2"/>
      <c r="V46" s="2"/>
      <c r="W46" s="2"/>
      <c r="X46" s="2"/>
      <c r="Y46" s="2"/>
      <c r="Z46" s="2"/>
    </row>
    <row r="47" spans="1:26" ht="14.25" customHeight="1">
      <c r="A47" s="73">
        <v>37</v>
      </c>
      <c r="B47" s="28"/>
      <c r="C47" s="28"/>
      <c r="D47" s="28"/>
      <c r="E47" s="83"/>
      <c r="F47" s="88"/>
      <c r="G47" s="2"/>
      <c r="H47" s="2"/>
      <c r="I47" s="2"/>
      <c r="J47" s="2"/>
      <c r="K47" s="2"/>
      <c r="L47" s="2"/>
      <c r="M47" s="2"/>
      <c r="N47" s="2"/>
      <c r="O47" s="2"/>
      <c r="P47" s="2"/>
      <c r="Q47" s="2"/>
      <c r="R47" s="2"/>
      <c r="S47" s="2"/>
      <c r="T47" s="2"/>
      <c r="U47" s="2"/>
      <c r="V47" s="2"/>
      <c r="W47" s="2"/>
      <c r="X47" s="2"/>
      <c r="Y47" s="2"/>
      <c r="Z47" s="2"/>
    </row>
    <row r="48" spans="1:26" ht="14.25" customHeight="1">
      <c r="A48" s="73">
        <v>38</v>
      </c>
      <c r="B48" s="49"/>
      <c r="C48" s="49"/>
      <c r="D48" s="28"/>
      <c r="E48" s="83"/>
      <c r="F48" s="88"/>
      <c r="G48" s="2"/>
      <c r="H48" s="2"/>
      <c r="I48" s="2"/>
      <c r="J48" s="2"/>
      <c r="K48" s="2"/>
      <c r="L48" s="2"/>
      <c r="M48" s="2"/>
      <c r="N48" s="2"/>
      <c r="O48" s="2"/>
      <c r="P48" s="2"/>
      <c r="Q48" s="2"/>
      <c r="R48" s="2"/>
      <c r="S48" s="2"/>
      <c r="T48" s="2"/>
      <c r="U48" s="2"/>
      <c r="V48" s="2"/>
      <c r="W48" s="2"/>
      <c r="X48" s="2"/>
      <c r="Y48" s="2"/>
      <c r="Z48" s="2"/>
    </row>
    <row r="49" spans="1:26" ht="14.25" customHeight="1">
      <c r="A49" s="73">
        <v>39</v>
      </c>
      <c r="B49" s="28"/>
      <c r="C49" s="28"/>
      <c r="D49" s="28"/>
      <c r="E49" s="83"/>
      <c r="F49" s="88"/>
      <c r="G49" s="2"/>
      <c r="H49" s="2"/>
      <c r="I49" s="2"/>
      <c r="J49" s="2"/>
      <c r="K49" s="2"/>
      <c r="L49" s="2"/>
      <c r="M49" s="2"/>
      <c r="N49" s="2"/>
      <c r="O49" s="2"/>
      <c r="P49" s="2"/>
      <c r="Q49" s="2"/>
      <c r="R49" s="2"/>
      <c r="S49" s="2"/>
      <c r="T49" s="2"/>
      <c r="U49" s="2"/>
      <c r="V49" s="2"/>
      <c r="W49" s="2"/>
      <c r="X49" s="2"/>
      <c r="Y49" s="2"/>
      <c r="Z49" s="2"/>
    </row>
    <row r="50" spans="1:26" ht="14.25" customHeight="1">
      <c r="A50" s="73">
        <v>40</v>
      </c>
      <c r="B50" s="28"/>
      <c r="C50" s="28"/>
      <c r="D50" s="28"/>
      <c r="E50" s="83"/>
      <c r="F50" s="88"/>
      <c r="G50" s="2"/>
      <c r="H50" s="2"/>
      <c r="I50" s="2"/>
      <c r="J50" s="2"/>
      <c r="K50" s="2"/>
      <c r="L50" s="2"/>
      <c r="M50" s="2"/>
      <c r="N50" s="2"/>
      <c r="O50" s="2"/>
      <c r="P50" s="2"/>
      <c r="Q50" s="2"/>
      <c r="R50" s="2"/>
      <c r="S50" s="2"/>
      <c r="T50" s="2"/>
      <c r="U50" s="2"/>
      <c r="V50" s="2"/>
      <c r="W50" s="2"/>
      <c r="X50" s="2"/>
      <c r="Y50" s="2"/>
      <c r="Z50" s="2"/>
    </row>
    <row r="51" spans="1:26" ht="14.25" customHeight="1">
      <c r="A51" s="73">
        <v>41</v>
      </c>
      <c r="B51" s="28"/>
      <c r="C51" s="28"/>
      <c r="D51" s="28"/>
      <c r="E51" s="83"/>
      <c r="F51" s="88"/>
      <c r="G51" s="2"/>
      <c r="H51" s="2"/>
      <c r="I51" s="2"/>
      <c r="J51" s="2"/>
      <c r="K51" s="2"/>
      <c r="L51" s="2"/>
      <c r="M51" s="2"/>
      <c r="N51" s="2"/>
      <c r="O51" s="2"/>
      <c r="P51" s="2"/>
      <c r="Q51" s="2"/>
      <c r="R51" s="2"/>
      <c r="S51" s="2"/>
      <c r="T51" s="2"/>
      <c r="U51" s="2"/>
      <c r="V51" s="2"/>
      <c r="W51" s="2"/>
      <c r="X51" s="2"/>
      <c r="Y51" s="2"/>
      <c r="Z51" s="2"/>
    </row>
    <row r="52" spans="1:26" ht="14.25" customHeight="1">
      <c r="A52" s="73">
        <v>42</v>
      </c>
      <c r="B52" s="28"/>
      <c r="C52" s="28"/>
      <c r="D52" s="28"/>
      <c r="E52" s="83"/>
      <c r="F52" s="88"/>
      <c r="G52" s="2"/>
      <c r="H52" s="2"/>
      <c r="I52" s="2"/>
      <c r="J52" s="2"/>
      <c r="K52" s="2"/>
      <c r="L52" s="2"/>
      <c r="M52" s="2"/>
      <c r="N52" s="2"/>
      <c r="O52" s="2"/>
      <c r="P52" s="2"/>
      <c r="Q52" s="2"/>
      <c r="R52" s="2"/>
      <c r="S52" s="2"/>
      <c r="T52" s="2"/>
      <c r="U52" s="2"/>
      <c r="V52" s="2"/>
      <c r="W52" s="2"/>
      <c r="X52" s="2"/>
      <c r="Y52" s="2"/>
      <c r="Z52" s="2"/>
    </row>
    <row r="53" spans="1:26" ht="14.25" customHeight="1">
      <c r="A53" s="73">
        <v>43</v>
      </c>
      <c r="B53" s="28"/>
      <c r="C53" s="28"/>
      <c r="D53" s="28"/>
      <c r="E53" s="83"/>
      <c r="F53" s="88"/>
      <c r="G53" s="2"/>
      <c r="H53" s="2"/>
      <c r="I53" s="2"/>
      <c r="J53" s="2"/>
      <c r="K53" s="2"/>
      <c r="L53" s="2"/>
      <c r="M53" s="2"/>
      <c r="N53" s="2"/>
      <c r="O53" s="2"/>
      <c r="P53" s="2"/>
      <c r="Q53" s="2"/>
      <c r="R53" s="2"/>
      <c r="S53" s="2"/>
      <c r="T53" s="2"/>
      <c r="U53" s="2"/>
      <c r="V53" s="2"/>
      <c r="W53" s="2"/>
      <c r="X53" s="2"/>
      <c r="Y53" s="2"/>
      <c r="Z53" s="2"/>
    </row>
    <row r="54" spans="1:26" ht="14.25" customHeight="1">
      <c r="A54" s="73">
        <v>44</v>
      </c>
      <c r="B54" s="28"/>
      <c r="C54" s="28"/>
      <c r="D54" s="28"/>
      <c r="E54" s="83"/>
      <c r="F54" s="88"/>
      <c r="G54" s="2"/>
      <c r="H54" s="2"/>
      <c r="I54" s="2"/>
      <c r="J54" s="2"/>
      <c r="K54" s="2"/>
      <c r="L54" s="2"/>
      <c r="M54" s="2"/>
      <c r="N54" s="2"/>
      <c r="O54" s="2"/>
      <c r="P54" s="2"/>
      <c r="Q54" s="2"/>
      <c r="R54" s="2"/>
      <c r="S54" s="2"/>
      <c r="T54" s="2"/>
      <c r="U54" s="2"/>
      <c r="V54" s="2"/>
      <c r="W54" s="2"/>
      <c r="X54" s="2"/>
      <c r="Y54" s="2"/>
      <c r="Z54" s="2"/>
    </row>
    <row r="55" spans="1:26" ht="14.25" customHeight="1">
      <c r="A55" s="73">
        <v>45</v>
      </c>
      <c r="B55" s="28"/>
      <c r="C55" s="28"/>
      <c r="D55" s="28"/>
      <c r="E55" s="83"/>
      <c r="F55" s="88"/>
      <c r="G55" s="2"/>
      <c r="H55" s="2"/>
      <c r="I55" s="2"/>
      <c r="J55" s="2"/>
      <c r="K55" s="2"/>
      <c r="L55" s="2"/>
      <c r="M55" s="2"/>
      <c r="N55" s="2"/>
      <c r="O55" s="2"/>
      <c r="P55" s="2"/>
      <c r="Q55" s="2"/>
      <c r="R55" s="2"/>
      <c r="S55" s="2"/>
      <c r="T55" s="2"/>
      <c r="U55" s="2"/>
      <c r="V55" s="2"/>
      <c r="W55" s="2"/>
      <c r="X55" s="2"/>
      <c r="Y55" s="2"/>
      <c r="Z55" s="2"/>
    </row>
    <row r="56" spans="1:26" ht="14.25" customHeight="1">
      <c r="A56" s="73">
        <v>46</v>
      </c>
      <c r="B56" s="28"/>
      <c r="C56" s="28"/>
      <c r="D56" s="28"/>
      <c r="E56" s="83"/>
      <c r="F56" s="88"/>
      <c r="G56" s="2"/>
      <c r="H56" s="2"/>
      <c r="I56" s="2"/>
      <c r="J56" s="2"/>
      <c r="K56" s="2"/>
      <c r="L56" s="2"/>
      <c r="M56" s="2"/>
      <c r="N56" s="2"/>
      <c r="O56" s="2"/>
      <c r="P56" s="2"/>
      <c r="Q56" s="2"/>
      <c r="R56" s="2"/>
      <c r="S56" s="2"/>
      <c r="T56" s="2"/>
      <c r="U56" s="2"/>
      <c r="V56" s="2"/>
      <c r="W56" s="2"/>
      <c r="X56" s="2"/>
      <c r="Y56" s="2"/>
      <c r="Z56" s="2"/>
    </row>
    <row r="57" spans="1:26" ht="14.25" customHeight="1">
      <c r="A57" s="73">
        <v>47</v>
      </c>
      <c r="B57" s="28"/>
      <c r="C57" s="28"/>
      <c r="D57" s="28"/>
      <c r="E57" s="83"/>
      <c r="F57" s="88"/>
      <c r="G57" s="2"/>
      <c r="H57" s="2"/>
      <c r="I57" s="2"/>
      <c r="J57" s="2"/>
      <c r="K57" s="2"/>
      <c r="L57" s="2"/>
      <c r="M57" s="2"/>
      <c r="N57" s="2"/>
      <c r="O57" s="2"/>
      <c r="P57" s="2"/>
      <c r="Q57" s="2"/>
      <c r="R57" s="2"/>
      <c r="S57" s="2"/>
      <c r="T57" s="2"/>
      <c r="U57" s="2"/>
      <c r="V57" s="2"/>
      <c r="W57" s="2"/>
      <c r="X57" s="2"/>
      <c r="Y57" s="2"/>
      <c r="Z57" s="2"/>
    </row>
    <row r="58" spans="1:26" ht="14.25" customHeight="1">
      <c r="A58" s="73">
        <v>48</v>
      </c>
      <c r="B58" s="28"/>
      <c r="C58" s="28"/>
      <c r="D58" s="28"/>
      <c r="E58" s="83"/>
      <c r="F58" s="88"/>
      <c r="G58" s="2"/>
      <c r="H58" s="2"/>
      <c r="I58" s="2"/>
      <c r="J58" s="2"/>
      <c r="K58" s="2"/>
      <c r="L58" s="2"/>
      <c r="M58" s="2"/>
      <c r="N58" s="2"/>
      <c r="O58" s="2"/>
      <c r="P58" s="2"/>
      <c r="Q58" s="2"/>
      <c r="R58" s="2"/>
      <c r="S58" s="2"/>
      <c r="T58" s="2"/>
      <c r="U58" s="2"/>
      <c r="V58" s="2"/>
      <c r="W58" s="2"/>
      <c r="X58" s="2"/>
      <c r="Y58" s="2"/>
      <c r="Z58" s="2"/>
    </row>
    <row r="59" spans="1:26" ht="14.25" customHeight="1">
      <c r="A59" s="73">
        <v>49</v>
      </c>
      <c r="B59" s="49"/>
      <c r="C59" s="49"/>
      <c r="D59" s="28"/>
      <c r="E59" s="83"/>
      <c r="F59" s="88"/>
      <c r="G59" s="2"/>
      <c r="H59" s="2"/>
      <c r="I59" s="2"/>
      <c r="J59" s="2"/>
      <c r="K59" s="2"/>
      <c r="L59" s="2"/>
      <c r="M59" s="2"/>
      <c r="N59" s="2"/>
      <c r="O59" s="2"/>
      <c r="P59" s="2"/>
      <c r="Q59" s="2"/>
      <c r="R59" s="2"/>
      <c r="S59" s="2"/>
      <c r="T59" s="2"/>
      <c r="U59" s="2"/>
      <c r="V59" s="2"/>
      <c r="W59" s="2"/>
      <c r="X59" s="2"/>
      <c r="Y59" s="2"/>
      <c r="Z59" s="2"/>
    </row>
    <row r="60" spans="1:26" ht="14.25" customHeight="1">
      <c r="A60" s="73">
        <v>50</v>
      </c>
      <c r="B60" s="28"/>
      <c r="C60" s="28"/>
      <c r="D60" s="28"/>
      <c r="E60" s="83"/>
      <c r="F60" s="88"/>
      <c r="G60" s="2"/>
      <c r="H60" s="2"/>
      <c r="I60" s="2"/>
      <c r="J60" s="2"/>
      <c r="K60" s="2"/>
      <c r="L60" s="2"/>
      <c r="M60" s="2"/>
      <c r="N60" s="2"/>
      <c r="O60" s="2"/>
      <c r="P60" s="2"/>
      <c r="Q60" s="2"/>
      <c r="R60" s="2"/>
      <c r="S60" s="2"/>
      <c r="T60" s="2"/>
      <c r="U60" s="2"/>
      <c r="V60" s="2"/>
      <c r="W60" s="2"/>
      <c r="X60" s="2"/>
      <c r="Y60" s="2"/>
      <c r="Z60" s="2"/>
    </row>
    <row r="61" spans="1:26" ht="14.25" customHeight="1">
      <c r="A61" s="73">
        <v>51</v>
      </c>
      <c r="B61" s="28"/>
      <c r="C61" s="28"/>
      <c r="D61" s="28"/>
      <c r="E61" s="83"/>
      <c r="F61" s="88"/>
      <c r="G61" s="2"/>
      <c r="H61" s="2"/>
      <c r="I61" s="2"/>
      <c r="J61" s="2"/>
      <c r="K61" s="2"/>
      <c r="L61" s="2"/>
      <c r="M61" s="2"/>
      <c r="N61" s="2"/>
      <c r="O61" s="2"/>
      <c r="P61" s="2"/>
      <c r="Q61" s="2"/>
      <c r="R61" s="2"/>
      <c r="S61" s="2"/>
      <c r="T61" s="2"/>
      <c r="U61" s="2"/>
      <c r="V61" s="2"/>
      <c r="W61" s="2"/>
      <c r="X61" s="2"/>
      <c r="Y61" s="2"/>
      <c r="Z61" s="2"/>
    </row>
    <row r="62" spans="1:26" ht="14.25" customHeight="1">
      <c r="A62" s="73">
        <v>52</v>
      </c>
      <c r="B62" s="28"/>
      <c r="C62" s="28"/>
      <c r="D62" s="28"/>
      <c r="E62" s="83"/>
      <c r="F62" s="88"/>
      <c r="G62" s="2"/>
      <c r="H62" s="2"/>
      <c r="I62" s="2"/>
      <c r="J62" s="2"/>
      <c r="K62" s="2"/>
      <c r="L62" s="2"/>
      <c r="M62" s="2"/>
      <c r="N62" s="2"/>
      <c r="O62" s="2"/>
      <c r="P62" s="2"/>
      <c r="Q62" s="2"/>
      <c r="R62" s="2"/>
      <c r="S62" s="2"/>
      <c r="T62" s="2"/>
      <c r="U62" s="2"/>
      <c r="V62" s="2"/>
      <c r="W62" s="2"/>
      <c r="X62" s="2"/>
      <c r="Y62" s="2"/>
      <c r="Z62" s="2"/>
    </row>
    <row r="63" spans="1:26" ht="14.25" customHeight="1">
      <c r="A63" s="73">
        <v>53</v>
      </c>
      <c r="B63" s="28"/>
      <c r="C63" s="28"/>
      <c r="D63" s="28"/>
      <c r="E63" s="83"/>
      <c r="F63" s="88"/>
      <c r="G63" s="2"/>
      <c r="H63" s="2"/>
      <c r="I63" s="2"/>
      <c r="J63" s="2"/>
      <c r="K63" s="2"/>
      <c r="L63" s="2"/>
      <c r="M63" s="2"/>
      <c r="N63" s="2"/>
      <c r="O63" s="2"/>
      <c r="P63" s="2"/>
      <c r="Q63" s="2"/>
      <c r="R63" s="2"/>
      <c r="S63" s="2"/>
      <c r="T63" s="2"/>
      <c r="U63" s="2"/>
      <c r="V63" s="2"/>
      <c r="W63" s="2"/>
      <c r="X63" s="2"/>
      <c r="Y63" s="2"/>
      <c r="Z63" s="2"/>
    </row>
    <row r="64" spans="1:26" ht="14.25" customHeight="1">
      <c r="A64" s="73">
        <v>54</v>
      </c>
      <c r="B64" s="28"/>
      <c r="C64" s="28"/>
      <c r="D64" s="28"/>
      <c r="E64" s="83"/>
      <c r="F64" s="88"/>
      <c r="G64" s="2"/>
      <c r="H64" s="2"/>
      <c r="I64" s="2"/>
      <c r="J64" s="2"/>
      <c r="K64" s="2"/>
      <c r="L64" s="2"/>
      <c r="M64" s="2"/>
      <c r="N64" s="2"/>
      <c r="O64" s="2"/>
      <c r="P64" s="2"/>
      <c r="Q64" s="2"/>
      <c r="R64" s="2"/>
      <c r="S64" s="2"/>
      <c r="T64" s="2"/>
      <c r="U64" s="2"/>
      <c r="V64" s="2"/>
      <c r="W64" s="2"/>
      <c r="X64" s="2"/>
      <c r="Y64" s="2"/>
      <c r="Z64" s="2"/>
    </row>
    <row r="65" spans="1:26" ht="14.25" customHeight="1">
      <c r="A65" s="73">
        <v>55</v>
      </c>
      <c r="B65" s="28"/>
      <c r="C65" s="28"/>
      <c r="D65" s="28"/>
      <c r="E65" s="83"/>
      <c r="F65" s="88"/>
      <c r="G65" s="2"/>
      <c r="H65" s="2"/>
      <c r="I65" s="2"/>
      <c r="J65" s="2"/>
      <c r="K65" s="2"/>
      <c r="L65" s="2"/>
      <c r="M65" s="2"/>
      <c r="N65" s="2"/>
      <c r="O65" s="2"/>
      <c r="P65" s="2"/>
      <c r="Q65" s="2"/>
      <c r="R65" s="2"/>
      <c r="S65" s="2"/>
      <c r="T65" s="2"/>
      <c r="U65" s="2"/>
      <c r="V65" s="2"/>
      <c r="W65" s="2"/>
      <c r="X65" s="2"/>
      <c r="Y65" s="2"/>
      <c r="Z65" s="2"/>
    </row>
    <row r="66" spans="1:26" ht="14.25" customHeight="1">
      <c r="A66" s="73">
        <v>56</v>
      </c>
      <c r="B66" s="28"/>
      <c r="C66" s="28"/>
      <c r="D66" s="28"/>
      <c r="E66" s="83"/>
      <c r="F66" s="88"/>
      <c r="G66" s="2"/>
      <c r="H66" s="2"/>
      <c r="I66" s="2"/>
      <c r="J66" s="2"/>
      <c r="K66" s="2"/>
      <c r="L66" s="2"/>
      <c r="M66" s="2"/>
      <c r="N66" s="2"/>
      <c r="O66" s="2"/>
      <c r="P66" s="2"/>
      <c r="Q66" s="2"/>
      <c r="R66" s="2"/>
      <c r="S66" s="2"/>
      <c r="T66" s="2"/>
      <c r="U66" s="2"/>
      <c r="V66" s="2"/>
      <c r="W66" s="2"/>
      <c r="X66" s="2"/>
      <c r="Y66" s="2"/>
      <c r="Z66" s="2"/>
    </row>
    <row r="67" spans="1:26" ht="14.25" customHeight="1">
      <c r="A67" s="73">
        <v>57</v>
      </c>
      <c r="B67" s="28"/>
      <c r="C67" s="28"/>
      <c r="D67" s="28"/>
      <c r="E67" s="83"/>
      <c r="F67" s="88"/>
      <c r="G67" s="2"/>
      <c r="H67" s="2"/>
      <c r="I67" s="2"/>
      <c r="J67" s="2"/>
      <c r="K67" s="2"/>
      <c r="L67" s="2"/>
      <c r="M67" s="2"/>
      <c r="N67" s="2"/>
      <c r="O67" s="2"/>
      <c r="P67" s="2"/>
      <c r="Q67" s="2"/>
      <c r="R67" s="2"/>
      <c r="S67" s="2"/>
      <c r="T67" s="2"/>
      <c r="U67" s="2"/>
      <c r="V67" s="2"/>
      <c r="W67" s="2"/>
      <c r="X67" s="2"/>
      <c r="Y67" s="2"/>
      <c r="Z67" s="2"/>
    </row>
    <row r="68" spans="1:26" ht="14.25" customHeight="1">
      <c r="A68" s="73">
        <v>58</v>
      </c>
      <c r="B68" s="49"/>
      <c r="C68" s="49"/>
      <c r="D68" s="28"/>
      <c r="E68" s="83"/>
      <c r="F68" s="88"/>
      <c r="G68" s="2"/>
      <c r="H68" s="2"/>
      <c r="I68" s="2"/>
      <c r="J68" s="2"/>
      <c r="K68" s="2"/>
      <c r="L68" s="2"/>
      <c r="M68" s="2"/>
      <c r="N68" s="2"/>
      <c r="O68" s="2"/>
      <c r="P68" s="2"/>
      <c r="Q68" s="2"/>
      <c r="R68" s="2"/>
      <c r="S68" s="2"/>
      <c r="T68" s="2"/>
      <c r="U68" s="2"/>
      <c r="V68" s="2"/>
      <c r="W68" s="2"/>
      <c r="X68" s="2"/>
      <c r="Y68" s="2"/>
      <c r="Z68" s="2"/>
    </row>
    <row r="69" spans="1:26" ht="14.25" customHeight="1">
      <c r="A69" s="73">
        <v>59</v>
      </c>
      <c r="B69" s="28"/>
      <c r="C69" s="28"/>
      <c r="D69" s="28"/>
      <c r="E69" s="83"/>
      <c r="F69" s="88"/>
      <c r="G69" s="2"/>
      <c r="H69" s="2"/>
      <c r="I69" s="2"/>
      <c r="J69" s="2"/>
      <c r="K69" s="2"/>
      <c r="L69" s="2"/>
      <c r="M69" s="2"/>
      <c r="N69" s="2"/>
      <c r="O69" s="2"/>
      <c r="P69" s="2"/>
      <c r="Q69" s="2"/>
      <c r="R69" s="2"/>
      <c r="S69" s="2"/>
      <c r="T69" s="2"/>
      <c r="U69" s="2"/>
      <c r="V69" s="2"/>
      <c r="W69" s="2"/>
      <c r="X69" s="2"/>
      <c r="Y69" s="2"/>
      <c r="Z69" s="2"/>
    </row>
    <row r="70" spans="1:26" ht="14.25" customHeight="1">
      <c r="A70" s="73">
        <v>60</v>
      </c>
      <c r="B70" s="28"/>
      <c r="C70" s="28"/>
      <c r="D70" s="28"/>
      <c r="E70" s="83"/>
      <c r="F70" s="88"/>
      <c r="G70" s="2"/>
      <c r="H70" s="2"/>
      <c r="I70" s="2"/>
      <c r="J70" s="2"/>
      <c r="K70" s="2"/>
      <c r="L70" s="2"/>
      <c r="M70" s="2"/>
      <c r="N70" s="2"/>
      <c r="O70" s="2"/>
      <c r="P70" s="2"/>
      <c r="Q70" s="2"/>
      <c r="R70" s="2"/>
      <c r="S70" s="2"/>
      <c r="T70" s="2"/>
      <c r="U70" s="2"/>
      <c r="V70" s="2"/>
      <c r="W70" s="2"/>
      <c r="X70" s="2"/>
      <c r="Y70" s="2"/>
      <c r="Z70" s="2"/>
    </row>
    <row r="71" spans="1:26" ht="14.25" customHeight="1">
      <c r="A71" s="73">
        <v>61</v>
      </c>
      <c r="B71" s="28"/>
      <c r="C71" s="28"/>
      <c r="D71" s="28"/>
      <c r="E71" s="83"/>
      <c r="F71" s="88"/>
      <c r="G71" s="2"/>
      <c r="H71" s="2"/>
      <c r="I71" s="2"/>
      <c r="J71" s="2"/>
      <c r="K71" s="2"/>
      <c r="L71" s="2"/>
      <c r="M71" s="2"/>
      <c r="N71" s="2"/>
      <c r="O71" s="2"/>
      <c r="P71" s="2"/>
      <c r="Q71" s="2"/>
      <c r="R71" s="2"/>
      <c r="S71" s="2"/>
      <c r="T71" s="2"/>
      <c r="U71" s="2"/>
      <c r="V71" s="2"/>
      <c r="W71" s="2"/>
      <c r="X71" s="2"/>
      <c r="Y71" s="2"/>
      <c r="Z71" s="2"/>
    </row>
    <row r="72" spans="1:26" ht="14.25" customHeight="1">
      <c r="A72" s="73">
        <v>62</v>
      </c>
      <c r="B72" s="28"/>
      <c r="C72" s="28"/>
      <c r="D72" s="28"/>
      <c r="E72" s="83"/>
      <c r="F72" s="88"/>
      <c r="G72" s="2"/>
      <c r="H72" s="2"/>
      <c r="I72" s="2"/>
      <c r="J72" s="2"/>
      <c r="K72" s="2"/>
      <c r="L72" s="2"/>
      <c r="M72" s="2"/>
      <c r="N72" s="2"/>
      <c r="O72" s="2"/>
      <c r="P72" s="2"/>
      <c r="Q72" s="2"/>
      <c r="R72" s="2"/>
      <c r="S72" s="2"/>
      <c r="T72" s="2"/>
      <c r="U72" s="2"/>
      <c r="V72" s="2"/>
      <c r="W72" s="2"/>
      <c r="X72" s="2"/>
      <c r="Y72" s="2"/>
      <c r="Z72" s="2"/>
    </row>
    <row r="73" spans="1:26" ht="14.25" customHeight="1">
      <c r="A73" s="73">
        <v>63</v>
      </c>
      <c r="B73" s="28"/>
      <c r="C73" s="28"/>
      <c r="D73" s="28"/>
      <c r="E73" s="83"/>
      <c r="F73" s="88"/>
      <c r="G73" s="2"/>
      <c r="H73" s="2"/>
      <c r="I73" s="2"/>
      <c r="J73" s="2"/>
      <c r="K73" s="2"/>
      <c r="L73" s="2"/>
      <c r="M73" s="2"/>
      <c r="N73" s="2"/>
      <c r="O73" s="2"/>
      <c r="P73" s="2"/>
      <c r="Q73" s="2"/>
      <c r="R73" s="2"/>
      <c r="S73" s="2"/>
      <c r="T73" s="2"/>
      <c r="U73" s="2"/>
      <c r="V73" s="2"/>
      <c r="W73" s="2"/>
      <c r="X73" s="2"/>
      <c r="Y73" s="2"/>
      <c r="Z73" s="2"/>
    </row>
    <row r="74" spans="1:26" ht="14.25" customHeight="1">
      <c r="A74" s="73">
        <v>64</v>
      </c>
      <c r="B74" s="28"/>
      <c r="C74" s="28"/>
      <c r="D74" s="28"/>
      <c r="E74" s="83"/>
      <c r="F74" s="88"/>
      <c r="G74" s="2"/>
      <c r="H74" s="2"/>
      <c r="I74" s="2"/>
      <c r="J74" s="2"/>
      <c r="K74" s="2"/>
      <c r="L74" s="2"/>
      <c r="M74" s="2"/>
      <c r="N74" s="2"/>
      <c r="O74" s="2"/>
      <c r="P74" s="2"/>
      <c r="Q74" s="2"/>
      <c r="R74" s="2"/>
      <c r="S74" s="2"/>
      <c r="T74" s="2"/>
      <c r="U74" s="2"/>
      <c r="V74" s="2"/>
      <c r="W74" s="2"/>
      <c r="X74" s="2"/>
      <c r="Y74" s="2"/>
      <c r="Z74" s="2"/>
    </row>
    <row r="75" spans="1:26" ht="14.25" customHeight="1">
      <c r="A75" s="73">
        <v>65</v>
      </c>
      <c r="B75" s="28"/>
      <c r="C75" s="28"/>
      <c r="D75" s="28"/>
      <c r="E75" s="83"/>
      <c r="F75" s="88"/>
      <c r="G75" s="2"/>
      <c r="H75" s="2"/>
      <c r="I75" s="2"/>
      <c r="J75" s="2"/>
      <c r="K75" s="2"/>
      <c r="L75" s="2"/>
      <c r="M75" s="2"/>
      <c r="N75" s="2"/>
      <c r="O75" s="2"/>
      <c r="P75" s="2"/>
      <c r="Q75" s="2"/>
      <c r="R75" s="2"/>
      <c r="S75" s="2"/>
      <c r="T75" s="2"/>
      <c r="U75" s="2"/>
      <c r="V75" s="2"/>
      <c r="W75" s="2"/>
      <c r="X75" s="2"/>
      <c r="Y75" s="2"/>
      <c r="Z75" s="2"/>
    </row>
    <row r="76" spans="1:26" ht="14.25" customHeight="1">
      <c r="A76" s="73">
        <v>66</v>
      </c>
      <c r="B76" s="28"/>
      <c r="C76" s="28"/>
      <c r="D76" s="28"/>
      <c r="E76" s="83"/>
      <c r="F76" s="88"/>
      <c r="G76" s="2"/>
      <c r="H76" s="2"/>
      <c r="I76" s="2"/>
      <c r="J76" s="2"/>
      <c r="K76" s="2"/>
      <c r="L76" s="2"/>
      <c r="M76" s="2"/>
      <c r="N76" s="2"/>
      <c r="O76" s="2"/>
      <c r="P76" s="2"/>
      <c r="Q76" s="2"/>
      <c r="R76" s="2"/>
      <c r="S76" s="2"/>
      <c r="T76" s="2"/>
      <c r="U76" s="2"/>
      <c r="V76" s="2"/>
      <c r="W76" s="2"/>
      <c r="X76" s="2"/>
      <c r="Y76" s="2"/>
      <c r="Z76" s="2"/>
    </row>
    <row r="77" spans="1:26" ht="14.25" customHeight="1">
      <c r="A77" s="73">
        <v>67</v>
      </c>
      <c r="B77" s="28"/>
      <c r="C77" s="28"/>
      <c r="D77" s="28"/>
      <c r="E77" s="83"/>
      <c r="F77" s="88"/>
      <c r="G77" s="2"/>
      <c r="H77" s="2"/>
      <c r="I77" s="2"/>
      <c r="J77" s="2"/>
      <c r="K77" s="2"/>
      <c r="L77" s="2"/>
      <c r="M77" s="2"/>
      <c r="N77" s="2"/>
      <c r="O77" s="2"/>
      <c r="P77" s="2"/>
      <c r="Q77" s="2"/>
      <c r="R77" s="2"/>
      <c r="S77" s="2"/>
      <c r="T77" s="2"/>
      <c r="U77" s="2"/>
      <c r="V77" s="2"/>
      <c r="W77" s="2"/>
      <c r="X77" s="2"/>
      <c r="Y77" s="2"/>
      <c r="Z77" s="2"/>
    </row>
    <row r="78" spans="1:26" ht="14.25" customHeight="1">
      <c r="A78" s="73">
        <v>68</v>
      </c>
      <c r="B78" s="28"/>
      <c r="C78" s="28"/>
      <c r="D78" s="28"/>
      <c r="E78" s="83"/>
      <c r="F78" s="88"/>
      <c r="G78" s="2"/>
      <c r="H78" s="2"/>
      <c r="I78" s="2"/>
      <c r="J78" s="2"/>
      <c r="K78" s="2"/>
      <c r="L78" s="2"/>
      <c r="M78" s="2"/>
      <c r="N78" s="2"/>
      <c r="O78" s="2"/>
      <c r="P78" s="2"/>
      <c r="Q78" s="2"/>
      <c r="R78" s="2"/>
      <c r="S78" s="2"/>
      <c r="T78" s="2"/>
      <c r="U78" s="2"/>
      <c r="V78" s="2"/>
      <c r="W78" s="2"/>
      <c r="X78" s="2"/>
      <c r="Y78" s="2"/>
      <c r="Z78" s="2"/>
    </row>
    <row r="79" spans="1:26" ht="14.25" customHeight="1">
      <c r="A79" s="73">
        <v>69</v>
      </c>
      <c r="B79" s="49"/>
      <c r="C79" s="49"/>
      <c r="D79" s="28"/>
      <c r="E79" s="83"/>
      <c r="F79" s="88"/>
      <c r="G79" s="2"/>
      <c r="H79" s="2"/>
      <c r="I79" s="2"/>
      <c r="J79" s="2"/>
      <c r="K79" s="2"/>
      <c r="L79" s="2"/>
      <c r="M79" s="2"/>
      <c r="N79" s="2"/>
      <c r="O79" s="2"/>
      <c r="P79" s="2"/>
      <c r="Q79" s="2"/>
      <c r="R79" s="2"/>
      <c r="S79" s="2"/>
      <c r="T79" s="2"/>
      <c r="U79" s="2"/>
      <c r="V79" s="2"/>
      <c r="W79" s="2"/>
      <c r="X79" s="2"/>
      <c r="Y79" s="2"/>
      <c r="Z79" s="2"/>
    </row>
    <row r="80" spans="1:26" ht="14.25" customHeight="1">
      <c r="A80" s="89">
        <v>70</v>
      </c>
      <c r="B80" s="90"/>
      <c r="C80" s="90"/>
      <c r="D80" s="90"/>
      <c r="E80" s="91"/>
      <c r="F80" s="9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5">
    <mergeCell ref="A11:F11"/>
    <mergeCell ref="A2:B5"/>
    <mergeCell ref="F3:F4"/>
    <mergeCell ref="C2:E5"/>
    <mergeCell ref="B6:J6"/>
  </mergeCells>
  <dataValidations count="1">
    <dataValidation type="decimal" allowBlank="1" showInputMessage="1" showErrorMessage="1" prompt="Sólo se admiten números" sqref="E13:F13 E14 E18:F80" xr:uid="{00000000-0002-0000-0300-000001000000}">
      <formula1>0</formula1>
      <formula2>1E+21</formula2>
    </dataValidation>
  </dataValidations>
  <pageMargins left="7.8740157480315001E-2" right="0.70866141732283505" top="1.37795275590551" bottom="1.1811023622047201" header="0" footer="0"/>
  <pageSetup fitToHeight="0" orientation="landscape"/>
  <headerFooter>
    <oddFooter>&amp;LF-DE-012 V3&amp;R 15/07/2024</oddFooter>
  </headerFooter>
  <drawing r:id="rId1"/>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INDIRECT(Servicios!$A$1)</xm:f>
          </x14:formula1>
          <xm:sqref>B18:B80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
  <sheetViews>
    <sheetView workbookViewId="0"/>
  </sheetViews>
  <sheetFormatPr defaultColWidth="14.453125" defaultRowHeight="15" customHeight="1"/>
  <cols>
    <col min="1" max="1" width="22" customWidth="1"/>
  </cols>
  <sheetData>
    <row r="1" spans="1:2" ht="15" customHeight="1">
      <c r="A1" s="93" t="s">
        <v>528</v>
      </c>
      <c r="B1" s="93" t="s">
        <v>529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4:V1000"/>
  <sheetViews>
    <sheetView workbookViewId="0"/>
  </sheetViews>
  <sheetFormatPr defaultColWidth="14.453125" defaultRowHeight="15" customHeight="1"/>
  <cols>
    <col min="1" max="1" width="15.54296875" customWidth="1"/>
    <col min="2" max="2" width="31.54296875" customWidth="1"/>
    <col min="3" max="3" width="12.54296875" customWidth="1"/>
    <col min="4" max="4" width="45.54296875" customWidth="1"/>
    <col min="5" max="5" width="11.54296875" customWidth="1"/>
    <col min="6" max="6" width="45.54296875" customWidth="1"/>
    <col min="7" max="7" width="11.54296875" customWidth="1"/>
    <col min="8" max="8" width="32.54296875" customWidth="1"/>
    <col min="9" max="9" width="26.453125" customWidth="1"/>
    <col min="10" max="10" width="59.54296875" customWidth="1"/>
    <col min="11" max="22" width="11.54296875" customWidth="1"/>
  </cols>
  <sheetData>
    <row r="4" spans="2:10" ht="14.5">
      <c r="B4" s="94" t="s">
        <v>530</v>
      </c>
      <c r="D4" s="94" t="s">
        <v>531</v>
      </c>
      <c r="F4" s="94" t="s">
        <v>532</v>
      </c>
      <c r="H4" s="94" t="s">
        <v>533</v>
      </c>
      <c r="J4" s="94" t="s">
        <v>534</v>
      </c>
    </row>
    <row r="5" spans="2:10" ht="14.5">
      <c r="B5" s="95" t="s">
        <v>535</v>
      </c>
      <c r="D5" s="95" t="s">
        <v>536</v>
      </c>
      <c r="F5" s="95" t="s">
        <v>537</v>
      </c>
      <c r="H5" s="95" t="s">
        <v>538</v>
      </c>
      <c r="J5" s="96"/>
    </row>
    <row r="6" spans="2:10" ht="14.5">
      <c r="D6" s="95" t="s">
        <v>16</v>
      </c>
      <c r="F6" s="95" t="s">
        <v>538</v>
      </c>
      <c r="H6" s="95" t="s">
        <v>539</v>
      </c>
      <c r="J6" s="95" t="s">
        <v>540</v>
      </c>
    </row>
    <row r="7" spans="2:10" ht="14.5">
      <c r="D7" s="95" t="s">
        <v>541</v>
      </c>
      <c r="F7" s="95" t="s">
        <v>542</v>
      </c>
      <c r="H7" s="95" t="s">
        <v>543</v>
      </c>
      <c r="J7" s="95" t="s">
        <v>20</v>
      </c>
    </row>
    <row r="8" spans="2:10" ht="14.5">
      <c r="D8" s="95" t="s">
        <v>544</v>
      </c>
      <c r="F8" s="95" t="s">
        <v>545</v>
      </c>
      <c r="H8" s="95" t="s">
        <v>546</v>
      </c>
      <c r="J8" s="95" t="s">
        <v>547</v>
      </c>
    </row>
    <row r="9" spans="2:10" ht="14.5">
      <c r="F9" s="95" t="s">
        <v>548</v>
      </c>
      <c r="H9" s="95" t="s">
        <v>549</v>
      </c>
      <c r="J9" s="95" t="s">
        <v>550</v>
      </c>
    </row>
    <row r="10" spans="2:10" ht="14.5">
      <c r="B10" s="94" t="s">
        <v>551</v>
      </c>
      <c r="F10" s="95" t="s">
        <v>552</v>
      </c>
      <c r="J10" s="95" t="s">
        <v>553</v>
      </c>
    </row>
    <row r="11" spans="2:10" ht="14.5">
      <c r="B11" s="95" t="s">
        <v>554</v>
      </c>
      <c r="D11" s="94" t="s">
        <v>555</v>
      </c>
      <c r="F11" s="95" t="s">
        <v>556</v>
      </c>
      <c r="H11" s="97"/>
      <c r="J11" s="95" t="s">
        <v>557</v>
      </c>
    </row>
    <row r="12" spans="2:10" ht="14.5">
      <c r="B12" s="95" t="s">
        <v>558</v>
      </c>
      <c r="D12" s="98" t="s">
        <v>559</v>
      </c>
      <c r="F12" s="95" t="s">
        <v>560</v>
      </c>
      <c r="H12" s="94"/>
      <c r="J12" s="95" t="s">
        <v>561</v>
      </c>
    </row>
    <row r="13" spans="2:10" ht="14.5">
      <c r="B13" s="95" t="s">
        <v>75</v>
      </c>
      <c r="D13" s="31" t="s">
        <v>562</v>
      </c>
      <c r="F13" s="95" t="s">
        <v>544</v>
      </c>
      <c r="H13" s="95"/>
      <c r="J13" s="95" t="s">
        <v>563</v>
      </c>
    </row>
    <row r="14" spans="2:10" ht="14.5">
      <c r="D14" s="31" t="s">
        <v>564</v>
      </c>
      <c r="F14" s="97"/>
      <c r="J14" s="95" t="s">
        <v>565</v>
      </c>
    </row>
    <row r="15" spans="2:10" ht="14.5">
      <c r="B15" s="97"/>
      <c r="D15" s="31" t="s">
        <v>566</v>
      </c>
      <c r="F15" s="94"/>
      <c r="H15" s="97"/>
      <c r="J15" s="95" t="s">
        <v>567</v>
      </c>
    </row>
    <row r="16" spans="2:10" ht="14.5">
      <c r="D16" s="31" t="s">
        <v>568</v>
      </c>
      <c r="F16" s="95"/>
      <c r="H16" s="94" t="s">
        <v>569</v>
      </c>
      <c r="J16" s="95" t="s">
        <v>570</v>
      </c>
    </row>
    <row r="17" spans="2:10" ht="14.5">
      <c r="H17" s="95" t="s">
        <v>571</v>
      </c>
      <c r="J17" s="95" t="s">
        <v>572</v>
      </c>
    </row>
    <row r="18" spans="2:10" ht="14.5">
      <c r="B18" s="94" t="s">
        <v>76</v>
      </c>
      <c r="F18" s="97"/>
      <c r="H18" s="95"/>
      <c r="J18" s="95" t="s">
        <v>573</v>
      </c>
    </row>
    <row r="19" spans="2:10" ht="14.5">
      <c r="B19" s="95" t="s">
        <v>574</v>
      </c>
      <c r="D19" s="94" t="s">
        <v>575</v>
      </c>
      <c r="F19" s="94" t="s">
        <v>576</v>
      </c>
      <c r="J19" s="95" t="s">
        <v>577</v>
      </c>
    </row>
    <row r="20" spans="2:10" ht="14.5">
      <c r="B20" s="95" t="s">
        <v>571</v>
      </c>
      <c r="D20" s="95" t="s">
        <v>574</v>
      </c>
      <c r="F20" s="95" t="s">
        <v>578</v>
      </c>
      <c r="H20" s="97"/>
      <c r="J20" s="95" t="s">
        <v>579</v>
      </c>
    </row>
    <row r="21" spans="2:10" ht="15.75" customHeight="1">
      <c r="B21" s="95" t="s">
        <v>580</v>
      </c>
      <c r="D21" s="95" t="s">
        <v>571</v>
      </c>
      <c r="H21" s="94" t="s">
        <v>581</v>
      </c>
      <c r="J21" s="95" t="s">
        <v>582</v>
      </c>
    </row>
    <row r="22" spans="2:10" ht="15.75" customHeight="1">
      <c r="B22" s="95" t="s">
        <v>583</v>
      </c>
      <c r="D22" s="95" t="s">
        <v>580</v>
      </c>
      <c r="F22" s="97"/>
      <c r="H22" s="95" t="s">
        <v>584</v>
      </c>
      <c r="J22" s="95" t="s">
        <v>585</v>
      </c>
    </row>
    <row r="23" spans="2:10" ht="15.75" customHeight="1">
      <c r="B23" s="95" t="s">
        <v>77</v>
      </c>
      <c r="D23" s="95" t="s">
        <v>583</v>
      </c>
      <c r="F23" s="94" t="s">
        <v>586</v>
      </c>
      <c r="H23" s="95" t="s">
        <v>587</v>
      </c>
      <c r="J23" s="95" t="s">
        <v>588</v>
      </c>
    </row>
    <row r="24" spans="2:10" ht="15.75" customHeight="1">
      <c r="D24" s="95" t="s">
        <v>77</v>
      </c>
      <c r="F24" s="95" t="s">
        <v>589</v>
      </c>
      <c r="H24" s="95" t="s">
        <v>590</v>
      </c>
      <c r="J24" s="95" t="s">
        <v>591</v>
      </c>
    </row>
    <row r="25" spans="2:10" ht="15.75" customHeight="1">
      <c r="H25" s="95"/>
      <c r="J25" s="95" t="s">
        <v>592</v>
      </c>
    </row>
    <row r="26" spans="2:10" ht="15.75" customHeight="1">
      <c r="B26" s="99" t="str">
        <f>CONCATENATE("TEC_",'FORMATO 2'!$F$20)</f>
        <v>TEC_Solar</v>
      </c>
      <c r="F26" s="97"/>
      <c r="J26" s="95" t="s">
        <v>593</v>
      </c>
    </row>
    <row r="27" spans="2:10" ht="15.75" customHeight="1">
      <c r="B27" s="99" t="str">
        <f>CONCATENATE("REC_",'FORMATO 2'!$F$20)</f>
        <v>REC_Solar</v>
      </c>
      <c r="F27" s="94" t="s">
        <v>594</v>
      </c>
      <c r="H27" s="97"/>
      <c r="J27" s="95" t="s">
        <v>595</v>
      </c>
    </row>
    <row r="28" spans="2:10" ht="15.75" customHeight="1">
      <c r="D28" s="94" t="s">
        <v>596</v>
      </c>
      <c r="F28" s="95" t="s">
        <v>597</v>
      </c>
      <c r="H28" s="94" t="s">
        <v>598</v>
      </c>
      <c r="J28" s="95" t="s">
        <v>599</v>
      </c>
    </row>
    <row r="29" spans="2:10" ht="15.75" customHeight="1">
      <c r="D29" s="100" t="s">
        <v>600</v>
      </c>
      <c r="H29" s="95" t="s">
        <v>601</v>
      </c>
      <c r="J29" s="95" t="s">
        <v>602</v>
      </c>
    </row>
    <row r="30" spans="2:10" ht="15.75" customHeight="1">
      <c r="D30" s="100" t="s">
        <v>603</v>
      </c>
      <c r="F30" s="97"/>
      <c r="H30" s="95" t="s">
        <v>604</v>
      </c>
      <c r="J30" s="95" t="s">
        <v>605</v>
      </c>
    </row>
    <row r="31" spans="2:10" ht="15.75" customHeight="1">
      <c r="D31" s="100" t="s">
        <v>606</v>
      </c>
      <c r="F31" s="94" t="s">
        <v>607</v>
      </c>
      <c r="H31" s="95"/>
      <c r="J31" s="95" t="s">
        <v>608</v>
      </c>
    </row>
    <row r="32" spans="2:10" ht="15.75" customHeight="1">
      <c r="D32" s="100" t="s">
        <v>609</v>
      </c>
      <c r="F32" s="95" t="s">
        <v>79</v>
      </c>
      <c r="J32" s="95" t="s">
        <v>610</v>
      </c>
    </row>
    <row r="33" spans="4:22" ht="15.75" customHeight="1">
      <c r="D33" s="100" t="s">
        <v>73</v>
      </c>
      <c r="H33" s="97"/>
      <c r="J33" s="95" t="s">
        <v>611</v>
      </c>
    </row>
    <row r="34" spans="4:22" ht="15.75" customHeight="1">
      <c r="H34" s="94" t="s">
        <v>612</v>
      </c>
      <c r="J34" s="95" t="s">
        <v>613</v>
      </c>
    </row>
    <row r="35" spans="4:22" ht="15.75" customHeight="1">
      <c r="F35" s="94" t="s">
        <v>614</v>
      </c>
      <c r="H35" s="95" t="s">
        <v>82</v>
      </c>
      <c r="J35" s="95" t="s">
        <v>615</v>
      </c>
    </row>
    <row r="36" spans="4:22" ht="15.75" customHeight="1">
      <c r="D36" s="94" t="s">
        <v>116</v>
      </c>
      <c r="F36" s="95"/>
      <c r="J36" s="95" t="s">
        <v>616</v>
      </c>
    </row>
    <row r="37" spans="4:22" ht="15.75" customHeight="1">
      <c r="D37" s="95"/>
      <c r="F37" s="95" t="s">
        <v>49</v>
      </c>
      <c r="J37" s="95" t="s">
        <v>617</v>
      </c>
    </row>
    <row r="38" spans="4:22" ht="15.75" customHeight="1">
      <c r="D38" s="100" t="s">
        <v>331</v>
      </c>
      <c r="J38" s="95" t="s">
        <v>618</v>
      </c>
    </row>
    <row r="39" spans="4:22" ht="15.75" customHeight="1">
      <c r="D39" s="100" t="s">
        <v>231</v>
      </c>
      <c r="F39" s="99" t="str">
        <f t="array" ref="F39:V39">'FORMATO 2'!F20:V20</f>
        <v>Solar</v>
      </c>
      <c r="G39" s="99">
        <v>0</v>
      </c>
      <c r="H39" s="99">
        <v>0</v>
      </c>
      <c r="I39" s="99">
        <v>0</v>
      </c>
      <c r="J39" s="99">
        <v>0</v>
      </c>
      <c r="K39" s="99">
        <v>0</v>
      </c>
      <c r="L39" s="99">
        <v>0</v>
      </c>
      <c r="M39" s="99">
        <v>0</v>
      </c>
      <c r="N39" s="99">
        <v>0</v>
      </c>
      <c r="O39" s="99">
        <v>0</v>
      </c>
      <c r="P39" s="99">
        <v>0</v>
      </c>
      <c r="Q39" s="99">
        <v>0</v>
      </c>
      <c r="R39" s="99">
        <v>0</v>
      </c>
      <c r="S39" s="99">
        <v>0</v>
      </c>
      <c r="T39" s="99">
        <v>0</v>
      </c>
      <c r="U39" s="99">
        <v>0</v>
      </c>
      <c r="V39" s="99">
        <v>0</v>
      </c>
    </row>
    <row r="40" spans="4:22" ht="15.75" customHeight="1">
      <c r="D40" s="100" t="s">
        <v>130</v>
      </c>
    </row>
    <row r="41" spans="4:22" ht="15.75" customHeight="1">
      <c r="D41" s="100" t="s">
        <v>619</v>
      </c>
    </row>
    <row r="42" spans="4:22" ht="15.75" customHeight="1">
      <c r="D42" s="100"/>
    </row>
    <row r="43" spans="4:22" ht="15.75" customHeight="1"/>
    <row r="44" spans="4:22" ht="15.75" customHeight="1">
      <c r="F44" s="99" t="e">
        <f t="array" ref="F44">IF(G12=Listas!$B$20,tecbio,IF(G12=Listas!$B$21,Listas!H$13:H$14,IF(G12=Listas!$B$22,teceol,IF(G12=Listas!$B$23,tecgeo,IF(G12=Listas!$B$24,tecpch,IF(G12=Listas!$B$25,tecsol,"Seleccionar tipo de tecnología"))))))</f>
        <v>#NAME?</v>
      </c>
    </row>
    <row r="45" spans="4:22" ht="15.75" customHeight="1"/>
    <row r="46" spans="4:22" ht="15.75" customHeight="1"/>
    <row r="47" spans="4:22" ht="15.75" customHeight="1"/>
    <row r="48" spans="4:2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1000"/>
  <sheetViews>
    <sheetView workbookViewId="0"/>
  </sheetViews>
  <sheetFormatPr defaultColWidth="14.453125" defaultRowHeight="15" customHeight="1"/>
  <cols>
    <col min="1" max="1" width="11.54296875" customWidth="1"/>
    <col min="2" max="2" width="30.54296875" customWidth="1"/>
    <col min="3" max="6" width="11.54296875" customWidth="1"/>
    <col min="7" max="7" width="58.453125" customWidth="1"/>
    <col min="8" max="12" width="11.54296875" customWidth="1"/>
  </cols>
  <sheetData>
    <row r="2" spans="2:7" ht="14.5">
      <c r="G2" s="101" t="s">
        <v>620</v>
      </c>
    </row>
    <row r="3" spans="2:7" ht="14.5">
      <c r="B3" s="102" t="s">
        <v>621</v>
      </c>
      <c r="G3" s="103" t="s">
        <v>622</v>
      </c>
    </row>
    <row r="4" spans="2:7" ht="14.5">
      <c r="B4" s="95"/>
      <c r="D4" s="99" t="s">
        <v>623</v>
      </c>
      <c r="G4" s="104" t="s">
        <v>624</v>
      </c>
    </row>
    <row r="5" spans="2:7" ht="14.5">
      <c r="B5" s="95" t="s">
        <v>621</v>
      </c>
      <c r="D5" s="99" t="s">
        <v>43</v>
      </c>
      <c r="G5" s="104" t="s">
        <v>625</v>
      </c>
    </row>
    <row r="6" spans="2:7" ht="14.5">
      <c r="B6" s="95" t="s">
        <v>626</v>
      </c>
      <c r="D6" s="99" t="s">
        <v>627</v>
      </c>
      <c r="G6" s="104" t="s">
        <v>628</v>
      </c>
    </row>
    <row r="7" spans="2:7" ht="14.5">
      <c r="B7" s="95" t="s">
        <v>629</v>
      </c>
      <c r="G7" s="104" t="s">
        <v>630</v>
      </c>
    </row>
    <row r="8" spans="2:7" ht="14.5">
      <c r="G8" s="104" t="s">
        <v>631</v>
      </c>
    </row>
    <row r="9" spans="2:7" ht="14.5">
      <c r="B9" s="102" t="s">
        <v>632</v>
      </c>
      <c r="G9" s="104" t="s">
        <v>633</v>
      </c>
    </row>
    <row r="10" spans="2:7" ht="14.5">
      <c r="B10" s="95"/>
      <c r="D10" s="99" t="s">
        <v>86</v>
      </c>
      <c r="G10" s="104" t="s">
        <v>634</v>
      </c>
    </row>
    <row r="11" spans="2:7" ht="14.5">
      <c r="B11" s="95" t="s">
        <v>635</v>
      </c>
      <c r="D11" s="99" t="s">
        <v>636</v>
      </c>
      <c r="G11" s="104" t="s">
        <v>637</v>
      </c>
    </row>
    <row r="12" spans="2:7" ht="14.5">
      <c r="B12" s="95" t="s">
        <v>638</v>
      </c>
      <c r="G12" s="104" t="s">
        <v>639</v>
      </c>
    </row>
    <row r="13" spans="2:7" ht="14.5">
      <c r="B13" s="95" t="s">
        <v>640</v>
      </c>
      <c r="D13" s="99" t="s">
        <v>97</v>
      </c>
      <c r="G13" s="104" t="s">
        <v>641</v>
      </c>
    </row>
    <row r="14" spans="2:7" ht="14.5">
      <c r="D14" s="99" t="s">
        <v>642</v>
      </c>
      <c r="G14" s="104" t="s">
        <v>643</v>
      </c>
    </row>
    <row r="15" spans="2:7" ht="14.5">
      <c r="B15" s="102" t="s">
        <v>621</v>
      </c>
      <c r="G15" s="104" t="s">
        <v>644</v>
      </c>
    </row>
    <row r="16" spans="2:7" ht="14.5">
      <c r="B16" s="95"/>
      <c r="G16" s="104" t="s">
        <v>645</v>
      </c>
    </row>
    <row r="17" spans="2:7" ht="14.5">
      <c r="B17" s="95" t="s">
        <v>97</v>
      </c>
      <c r="G17" s="104" t="s">
        <v>646</v>
      </c>
    </row>
    <row r="18" spans="2:7" ht="14.5">
      <c r="B18" s="95" t="s">
        <v>642</v>
      </c>
      <c r="G18" s="104" t="s">
        <v>647</v>
      </c>
    </row>
    <row r="19" spans="2:7" ht="14.5">
      <c r="B19" s="95" t="s">
        <v>629</v>
      </c>
      <c r="G19" s="104" t="s">
        <v>648</v>
      </c>
    </row>
    <row r="20" spans="2:7" ht="14.5">
      <c r="G20" s="104" t="s">
        <v>649</v>
      </c>
    </row>
    <row r="21" spans="2:7" ht="15.75" customHeight="1">
      <c r="G21" s="104" t="s">
        <v>650</v>
      </c>
    </row>
    <row r="22" spans="2:7" ht="15.75" customHeight="1">
      <c r="G22" s="104" t="s">
        <v>651</v>
      </c>
    </row>
    <row r="23" spans="2:7" ht="15.75" customHeight="1">
      <c r="G23" s="104" t="s">
        <v>652</v>
      </c>
    </row>
    <row r="24" spans="2:7" ht="15.75" customHeight="1">
      <c r="G24" s="104" t="s">
        <v>653</v>
      </c>
    </row>
    <row r="25" spans="2:7" ht="15.75" customHeight="1">
      <c r="G25" s="104" t="s">
        <v>654</v>
      </c>
    </row>
    <row r="26" spans="2:7" ht="15.75" customHeight="1">
      <c r="G26" s="104" t="s">
        <v>655</v>
      </c>
    </row>
    <row r="27" spans="2:7" ht="15.75" customHeight="1">
      <c r="G27" s="104" t="s">
        <v>656</v>
      </c>
    </row>
    <row r="28" spans="2:7" ht="15.75" customHeight="1">
      <c r="G28" s="104" t="s">
        <v>657</v>
      </c>
    </row>
    <row r="29" spans="2:7" ht="15.75" customHeight="1">
      <c r="G29" s="104" t="s">
        <v>658</v>
      </c>
    </row>
    <row r="30" spans="2:7" ht="15.75" customHeight="1">
      <c r="G30" s="104" t="s">
        <v>659</v>
      </c>
    </row>
    <row r="31" spans="2:7" ht="15.75" customHeight="1">
      <c r="G31" s="104" t="s">
        <v>660</v>
      </c>
    </row>
    <row r="32" spans="2:7" ht="15.75" customHeight="1">
      <c r="G32" s="104" t="s">
        <v>661</v>
      </c>
    </row>
    <row r="33" spans="7:12" ht="15.75" customHeight="1">
      <c r="G33" s="104" t="s">
        <v>662</v>
      </c>
    </row>
    <row r="34" spans="7:12" ht="15.75" customHeight="1">
      <c r="G34" s="104" t="s">
        <v>663</v>
      </c>
    </row>
    <row r="35" spans="7:12" ht="15.75" customHeight="1">
      <c r="G35" s="104" t="s">
        <v>664</v>
      </c>
    </row>
    <row r="36" spans="7:12" ht="15.75" customHeight="1">
      <c r="G36" s="104" t="s">
        <v>665</v>
      </c>
    </row>
    <row r="37" spans="7:12" ht="15.75" customHeight="1">
      <c r="G37" s="104" t="s">
        <v>666</v>
      </c>
    </row>
    <row r="38" spans="7:12" ht="15.75" customHeight="1">
      <c r="G38" s="104" t="s">
        <v>667</v>
      </c>
      <c r="H38" s="105"/>
      <c r="I38" s="105"/>
      <c r="J38" s="105"/>
      <c r="K38" s="105"/>
      <c r="L38" s="105"/>
    </row>
    <row r="39" spans="7:12" ht="15.75" customHeight="1">
      <c r="G39" s="104" t="s">
        <v>668</v>
      </c>
    </row>
    <row r="40" spans="7:12" ht="15.75" customHeight="1">
      <c r="G40" s="104" t="s">
        <v>669</v>
      </c>
    </row>
    <row r="41" spans="7:12" ht="15.75" customHeight="1">
      <c r="G41" s="104" t="s">
        <v>670</v>
      </c>
    </row>
    <row r="42" spans="7:12" ht="15.75" customHeight="1">
      <c r="G42" s="104" t="s">
        <v>671</v>
      </c>
    </row>
    <row r="43" spans="7:12" ht="15.75" customHeight="1">
      <c r="G43" s="104" t="s">
        <v>672</v>
      </c>
    </row>
    <row r="44" spans="7:12" ht="15.75" customHeight="1">
      <c r="G44" s="104" t="s">
        <v>673</v>
      </c>
    </row>
    <row r="45" spans="7:12" ht="15.75" customHeight="1">
      <c r="G45" s="104" t="s">
        <v>674</v>
      </c>
    </row>
    <row r="46" spans="7:12" ht="15.75" customHeight="1">
      <c r="G46" s="104" t="s">
        <v>675</v>
      </c>
    </row>
    <row r="47" spans="7:12" ht="15.75" customHeight="1">
      <c r="G47" s="104" t="s">
        <v>676</v>
      </c>
    </row>
    <row r="48" spans="7:12" ht="15.75" customHeight="1">
      <c r="G48" s="104" t="s">
        <v>677</v>
      </c>
    </row>
    <row r="49" spans="7:7" ht="15.75" customHeight="1">
      <c r="G49" s="104" t="s">
        <v>678</v>
      </c>
    </row>
    <row r="50" spans="7:7" ht="15.75" customHeight="1">
      <c r="G50" s="104" t="s">
        <v>679</v>
      </c>
    </row>
    <row r="51" spans="7:7" ht="15.75" customHeight="1">
      <c r="G51" s="104" t="s">
        <v>680</v>
      </c>
    </row>
    <row r="52" spans="7:7" ht="15.75" customHeight="1">
      <c r="G52" s="104" t="s">
        <v>681</v>
      </c>
    </row>
    <row r="53" spans="7:7" ht="15.75" customHeight="1">
      <c r="G53" s="104" t="s">
        <v>682</v>
      </c>
    </row>
    <row r="54" spans="7:7" ht="15.75" customHeight="1">
      <c r="G54" s="104" t="s">
        <v>683</v>
      </c>
    </row>
    <row r="55" spans="7:7" ht="15.75" customHeight="1">
      <c r="G55" s="104" t="s">
        <v>684</v>
      </c>
    </row>
    <row r="56" spans="7:7" ht="15.75" customHeight="1">
      <c r="G56" s="104" t="s">
        <v>685</v>
      </c>
    </row>
    <row r="57" spans="7:7" ht="15.75" customHeight="1">
      <c r="G57" s="104" t="s">
        <v>686</v>
      </c>
    </row>
    <row r="58" spans="7:7" ht="15.75" customHeight="1">
      <c r="G58" s="104" t="s">
        <v>687</v>
      </c>
    </row>
    <row r="59" spans="7:7" ht="15.75" customHeight="1">
      <c r="G59" s="104" t="s">
        <v>688</v>
      </c>
    </row>
    <row r="60" spans="7:7" ht="15.75" customHeight="1">
      <c r="G60" s="104" t="s">
        <v>689</v>
      </c>
    </row>
    <row r="61" spans="7:7" ht="15.75" customHeight="1">
      <c r="G61" s="104" t="s">
        <v>690</v>
      </c>
    </row>
    <row r="62" spans="7:7" ht="15.75" customHeight="1">
      <c r="G62" s="104" t="s">
        <v>691</v>
      </c>
    </row>
    <row r="63" spans="7:7" ht="15.75" customHeight="1">
      <c r="G63" s="104" t="s">
        <v>692</v>
      </c>
    </row>
    <row r="64" spans="7:7" ht="15.75" customHeight="1">
      <c r="G64" s="104" t="s">
        <v>693</v>
      </c>
    </row>
    <row r="65" spans="7:7" ht="15.75" customHeight="1">
      <c r="G65" s="104" t="s">
        <v>694</v>
      </c>
    </row>
    <row r="66" spans="7:7" ht="15.75" customHeight="1">
      <c r="G66" s="104" t="s">
        <v>695</v>
      </c>
    </row>
    <row r="67" spans="7:7" ht="15.75" customHeight="1">
      <c r="G67" s="104" t="s">
        <v>696</v>
      </c>
    </row>
    <row r="68" spans="7:7" ht="15.75" customHeight="1">
      <c r="G68" s="104" t="s">
        <v>697</v>
      </c>
    </row>
    <row r="69" spans="7:7" ht="15.75" customHeight="1">
      <c r="G69" s="104" t="s">
        <v>698</v>
      </c>
    </row>
    <row r="70" spans="7:7" ht="15.75" customHeight="1">
      <c r="G70" s="104" t="s">
        <v>699</v>
      </c>
    </row>
    <row r="71" spans="7:7" ht="15.75" customHeight="1">
      <c r="G71" s="104" t="s">
        <v>700</v>
      </c>
    </row>
    <row r="72" spans="7:7" ht="15.75" customHeight="1">
      <c r="G72" s="104" t="s">
        <v>701</v>
      </c>
    </row>
    <row r="73" spans="7:7" ht="15.75" customHeight="1">
      <c r="G73" s="104" t="s">
        <v>702</v>
      </c>
    </row>
    <row r="74" spans="7:7" ht="15.75" customHeight="1">
      <c r="G74" s="104" t="s">
        <v>703</v>
      </c>
    </row>
    <row r="75" spans="7:7" ht="15.75" customHeight="1">
      <c r="G75" s="104" t="s">
        <v>704</v>
      </c>
    </row>
    <row r="76" spans="7:7" ht="15.75" customHeight="1">
      <c r="G76" s="104" t="s">
        <v>705</v>
      </c>
    </row>
    <row r="77" spans="7:7" ht="15.75" customHeight="1">
      <c r="G77" s="104" t="s">
        <v>706</v>
      </c>
    </row>
    <row r="78" spans="7:7" ht="15.75" customHeight="1">
      <c r="G78" s="104" t="s">
        <v>707</v>
      </c>
    </row>
    <row r="79" spans="7:7" ht="15.75" customHeight="1">
      <c r="G79" s="104" t="s">
        <v>708</v>
      </c>
    </row>
    <row r="80" spans="7:7" ht="15.75" customHeight="1">
      <c r="G80" s="104" t="s">
        <v>709</v>
      </c>
    </row>
    <row r="81" spans="7:7" ht="15.75" customHeight="1">
      <c r="G81" s="104" t="s">
        <v>710</v>
      </c>
    </row>
    <row r="82" spans="7:7" ht="15.75" customHeight="1">
      <c r="G82" s="104" t="s">
        <v>711</v>
      </c>
    </row>
    <row r="83" spans="7:7" ht="15.75" customHeight="1">
      <c r="G83" s="104" t="s">
        <v>712</v>
      </c>
    </row>
    <row r="84" spans="7:7" ht="15.75" customHeight="1">
      <c r="G84" s="104" t="s">
        <v>713</v>
      </c>
    </row>
    <row r="85" spans="7:7" ht="15.75" customHeight="1">
      <c r="G85" s="104" t="s">
        <v>714</v>
      </c>
    </row>
    <row r="86" spans="7:7" ht="15.75" customHeight="1">
      <c r="G86" s="104" t="s">
        <v>715</v>
      </c>
    </row>
    <row r="87" spans="7:7" ht="15.75" customHeight="1">
      <c r="G87" s="104" t="s">
        <v>716</v>
      </c>
    </row>
    <row r="88" spans="7:7" ht="15.75" customHeight="1">
      <c r="G88" s="104" t="s">
        <v>717</v>
      </c>
    </row>
    <row r="89" spans="7:7" ht="15.75" customHeight="1">
      <c r="G89" s="104" t="s">
        <v>718</v>
      </c>
    </row>
    <row r="90" spans="7:7" ht="15.75" customHeight="1">
      <c r="G90" s="104" t="s">
        <v>719</v>
      </c>
    </row>
    <row r="91" spans="7:7" ht="15.75" customHeight="1">
      <c r="G91" s="104" t="s">
        <v>720</v>
      </c>
    </row>
    <row r="92" spans="7:7" ht="15.75" customHeight="1">
      <c r="G92" s="104" t="s">
        <v>721</v>
      </c>
    </row>
    <row r="93" spans="7:7" ht="15.75" customHeight="1">
      <c r="G93" s="104" t="s">
        <v>722</v>
      </c>
    </row>
    <row r="94" spans="7:7" ht="15.75" customHeight="1">
      <c r="G94" s="104" t="s">
        <v>723</v>
      </c>
    </row>
    <row r="95" spans="7:7" ht="15.75" customHeight="1">
      <c r="G95" s="104" t="s">
        <v>724</v>
      </c>
    </row>
    <row r="96" spans="7:7" ht="15.75" customHeight="1">
      <c r="G96" s="104" t="s">
        <v>725</v>
      </c>
    </row>
    <row r="97" spans="7:7" ht="15.75" customHeight="1">
      <c r="G97" s="104" t="s">
        <v>726</v>
      </c>
    </row>
    <row r="98" spans="7:7" ht="15.75" customHeight="1">
      <c r="G98" s="104" t="s">
        <v>727</v>
      </c>
    </row>
    <row r="99" spans="7:7" ht="15.75" customHeight="1">
      <c r="G99" s="104" t="s">
        <v>728</v>
      </c>
    </row>
    <row r="100" spans="7:7" ht="15.75" customHeight="1">
      <c r="G100" s="104" t="s">
        <v>729</v>
      </c>
    </row>
    <row r="101" spans="7:7" ht="15.75" customHeight="1">
      <c r="G101" s="104" t="s">
        <v>730</v>
      </c>
    </row>
    <row r="102" spans="7:7" ht="15.75" customHeight="1">
      <c r="G102" s="104" t="s">
        <v>731</v>
      </c>
    </row>
    <row r="103" spans="7:7" ht="15.75" customHeight="1">
      <c r="G103" s="104" t="s">
        <v>732</v>
      </c>
    </row>
    <row r="104" spans="7:7" ht="15.75" customHeight="1">
      <c r="G104" s="104" t="s">
        <v>733</v>
      </c>
    </row>
    <row r="105" spans="7:7" ht="15.75" customHeight="1">
      <c r="G105" s="104" t="s">
        <v>734</v>
      </c>
    </row>
    <row r="106" spans="7:7" ht="15.75" customHeight="1">
      <c r="G106" s="104" t="s">
        <v>735</v>
      </c>
    </row>
    <row r="107" spans="7:7" ht="15.75" customHeight="1">
      <c r="G107" s="104" t="s">
        <v>736</v>
      </c>
    </row>
    <row r="108" spans="7:7" ht="15.75" customHeight="1">
      <c r="G108" s="104" t="s">
        <v>737</v>
      </c>
    </row>
    <row r="109" spans="7:7" ht="15.75" customHeight="1">
      <c r="G109" s="104" t="s">
        <v>738</v>
      </c>
    </row>
    <row r="110" spans="7:7" ht="15.75" customHeight="1">
      <c r="G110" s="104" t="s">
        <v>739</v>
      </c>
    </row>
    <row r="111" spans="7:7" ht="15.75" customHeight="1">
      <c r="G111" s="104" t="s">
        <v>740</v>
      </c>
    </row>
    <row r="112" spans="7:7" ht="15.75" customHeight="1">
      <c r="G112" s="104" t="s">
        <v>741</v>
      </c>
    </row>
    <row r="113" spans="7:7" ht="15.75" customHeight="1">
      <c r="G113" s="104" t="s">
        <v>742</v>
      </c>
    </row>
    <row r="114" spans="7:7" ht="15.75" customHeight="1">
      <c r="G114" s="104"/>
    </row>
    <row r="115" spans="7:7" ht="15.75" customHeight="1">
      <c r="G115" s="104" t="s">
        <v>743</v>
      </c>
    </row>
    <row r="116" spans="7:7" ht="15.75" customHeight="1">
      <c r="G116" s="104" t="s">
        <v>744</v>
      </c>
    </row>
    <row r="117" spans="7:7" ht="15.75" customHeight="1">
      <c r="G117" s="104" t="s">
        <v>745</v>
      </c>
    </row>
    <row r="118" spans="7:7" ht="15.75" customHeight="1">
      <c r="G118" s="104" t="s">
        <v>746</v>
      </c>
    </row>
    <row r="119" spans="7:7" ht="15.75" customHeight="1">
      <c r="G119" s="104" t="s">
        <v>747</v>
      </c>
    </row>
    <row r="120" spans="7:7" ht="15.75" customHeight="1">
      <c r="G120" s="104" t="s">
        <v>748</v>
      </c>
    </row>
    <row r="121" spans="7:7" ht="15.75" customHeight="1">
      <c r="G121" s="104" t="s">
        <v>749</v>
      </c>
    </row>
    <row r="122" spans="7:7" ht="15.75" customHeight="1">
      <c r="G122" s="104" t="s">
        <v>750</v>
      </c>
    </row>
    <row r="123" spans="7:7" ht="15.75" customHeight="1">
      <c r="G123" s="104" t="s">
        <v>751</v>
      </c>
    </row>
    <row r="124" spans="7:7" ht="15.75" customHeight="1">
      <c r="G124" s="104" t="s">
        <v>752</v>
      </c>
    </row>
    <row r="125" spans="7:7" ht="15.75" customHeight="1">
      <c r="G125" s="104" t="s">
        <v>753</v>
      </c>
    </row>
    <row r="126" spans="7:7" ht="15.75" customHeight="1">
      <c r="G126" s="104" t="s">
        <v>754</v>
      </c>
    </row>
    <row r="127" spans="7:7" ht="15.75" customHeight="1">
      <c r="G127" s="104" t="s">
        <v>755</v>
      </c>
    </row>
    <row r="128" spans="7:7" ht="15.75" customHeight="1">
      <c r="G128" s="104" t="s">
        <v>756</v>
      </c>
    </row>
    <row r="129" spans="7:7" ht="15.75" customHeight="1">
      <c r="G129" s="104" t="s">
        <v>757</v>
      </c>
    </row>
    <row r="130" spans="7:7" ht="15.75" customHeight="1">
      <c r="G130" s="104" t="s">
        <v>758</v>
      </c>
    </row>
    <row r="131" spans="7:7" ht="15.75" customHeight="1">
      <c r="G131" s="104" t="s">
        <v>759</v>
      </c>
    </row>
    <row r="132" spans="7:7" ht="15.75" customHeight="1">
      <c r="G132" s="104" t="s">
        <v>760</v>
      </c>
    </row>
    <row r="133" spans="7:7" ht="15.75" customHeight="1">
      <c r="G133" s="104" t="s">
        <v>761</v>
      </c>
    </row>
    <row r="134" spans="7:7" ht="15.75" customHeight="1">
      <c r="G134" s="104" t="s">
        <v>762</v>
      </c>
    </row>
    <row r="135" spans="7:7" ht="15.75" customHeight="1">
      <c r="G135" s="104" t="s">
        <v>763</v>
      </c>
    </row>
    <row r="136" spans="7:7" ht="15.75" customHeight="1">
      <c r="G136" s="104" t="s">
        <v>764</v>
      </c>
    </row>
    <row r="137" spans="7:7" ht="15.75" customHeight="1">
      <c r="G137" s="104" t="s">
        <v>765</v>
      </c>
    </row>
    <row r="138" spans="7:7" ht="15.75" customHeight="1">
      <c r="G138" s="104" t="s">
        <v>766</v>
      </c>
    </row>
    <row r="139" spans="7:7" ht="15.75" customHeight="1">
      <c r="G139" s="104" t="s">
        <v>767</v>
      </c>
    </row>
    <row r="140" spans="7:7" ht="15.75" customHeight="1">
      <c r="G140" s="104" t="s">
        <v>768</v>
      </c>
    </row>
    <row r="141" spans="7:7" ht="15.75" customHeight="1">
      <c r="G141" s="104" t="s">
        <v>769</v>
      </c>
    </row>
    <row r="142" spans="7:7" ht="15.75" customHeight="1">
      <c r="G142" s="104" t="s">
        <v>770</v>
      </c>
    </row>
    <row r="143" spans="7:7" ht="15.75" customHeight="1">
      <c r="G143" s="104" t="s">
        <v>771</v>
      </c>
    </row>
    <row r="144" spans="7:7" ht="15.75" customHeight="1">
      <c r="G144" s="104" t="s">
        <v>772</v>
      </c>
    </row>
    <row r="145" spans="7:7" ht="15.75" customHeight="1">
      <c r="G145" s="104" t="s">
        <v>773</v>
      </c>
    </row>
    <row r="146" spans="7:7" ht="15.75" customHeight="1">
      <c r="G146" s="104" t="s">
        <v>774</v>
      </c>
    </row>
    <row r="147" spans="7:7" ht="15.75" customHeight="1">
      <c r="G147" s="104" t="s">
        <v>775</v>
      </c>
    </row>
    <row r="148" spans="7:7" ht="15.75" customHeight="1">
      <c r="G148" s="104" t="s">
        <v>776</v>
      </c>
    </row>
    <row r="149" spans="7:7" ht="15.75" customHeight="1">
      <c r="G149" s="104"/>
    </row>
    <row r="150" spans="7:7" ht="15.75" customHeight="1">
      <c r="G150" s="104" t="s">
        <v>777</v>
      </c>
    </row>
    <row r="151" spans="7:7" ht="15.75" customHeight="1">
      <c r="G151" s="104" t="s">
        <v>778</v>
      </c>
    </row>
    <row r="152" spans="7:7" ht="15.75" customHeight="1">
      <c r="G152" s="104" t="s">
        <v>779</v>
      </c>
    </row>
    <row r="153" spans="7:7" ht="15.75" customHeight="1">
      <c r="G153" s="104" t="s">
        <v>780</v>
      </c>
    </row>
    <row r="154" spans="7:7" ht="15.75" customHeight="1">
      <c r="G154" s="104" t="s">
        <v>781</v>
      </c>
    </row>
    <row r="155" spans="7:7" ht="15.75" customHeight="1">
      <c r="G155" s="104"/>
    </row>
    <row r="156" spans="7:7" ht="15.75" customHeight="1">
      <c r="G156" s="104" t="s">
        <v>782</v>
      </c>
    </row>
    <row r="157" spans="7:7" ht="15.75" customHeight="1">
      <c r="G157" s="104" t="s">
        <v>783</v>
      </c>
    </row>
    <row r="158" spans="7:7" ht="15.75" customHeight="1">
      <c r="G158" s="104" t="s">
        <v>784</v>
      </c>
    </row>
    <row r="159" spans="7:7" ht="15.75" customHeight="1">
      <c r="G159" s="104" t="s">
        <v>785</v>
      </c>
    </row>
    <row r="160" spans="7:7" ht="15.75" customHeight="1">
      <c r="G160" s="104" t="s">
        <v>786</v>
      </c>
    </row>
    <row r="161" spans="7:7" ht="15.75" customHeight="1">
      <c r="G161" s="104" t="s">
        <v>787</v>
      </c>
    </row>
    <row r="162" spans="7:7" ht="15.75" customHeight="1">
      <c r="G162" s="104" t="s">
        <v>788</v>
      </c>
    </row>
    <row r="163" spans="7:7" ht="15.75" customHeight="1">
      <c r="G163" s="104" t="s">
        <v>789</v>
      </c>
    </row>
    <row r="164" spans="7:7" ht="15.75" customHeight="1">
      <c r="G164" s="104"/>
    </row>
    <row r="165" spans="7:7" ht="15.75" customHeight="1">
      <c r="G165" s="104" t="s">
        <v>790</v>
      </c>
    </row>
    <row r="166" spans="7:7" ht="15.75" customHeight="1">
      <c r="G166" s="104" t="s">
        <v>791</v>
      </c>
    </row>
    <row r="167" spans="7:7" ht="15.75" customHeight="1">
      <c r="G167" s="104" t="s">
        <v>792</v>
      </c>
    </row>
    <row r="168" spans="7:7" ht="15.75" customHeight="1">
      <c r="G168" s="104" t="s">
        <v>793</v>
      </c>
    </row>
    <row r="169" spans="7:7" ht="15.75" customHeight="1">
      <c r="G169" s="104" t="s">
        <v>794</v>
      </c>
    </row>
    <row r="170" spans="7:7" ht="15.75" customHeight="1">
      <c r="G170" s="104" t="s">
        <v>795</v>
      </c>
    </row>
    <row r="171" spans="7:7" ht="15.75" customHeight="1">
      <c r="G171" s="104" t="s">
        <v>796</v>
      </c>
    </row>
    <row r="172" spans="7:7" ht="15.75" customHeight="1">
      <c r="G172" s="104" t="s">
        <v>797</v>
      </c>
    </row>
    <row r="173" spans="7:7" ht="15.75" customHeight="1">
      <c r="G173" s="104" t="s">
        <v>798</v>
      </c>
    </row>
    <row r="174" spans="7:7" ht="15.75" customHeight="1">
      <c r="G174" s="104" t="s">
        <v>799</v>
      </c>
    </row>
    <row r="175" spans="7:7" ht="15.75" customHeight="1">
      <c r="G175" s="104"/>
    </row>
    <row r="176" spans="7:7" ht="15.75" customHeight="1">
      <c r="G176" s="104" t="s">
        <v>800</v>
      </c>
    </row>
    <row r="177" spans="7:7" ht="15.75" customHeight="1">
      <c r="G177" s="104" t="s">
        <v>801</v>
      </c>
    </row>
    <row r="178" spans="7:7" ht="15.75" customHeight="1">
      <c r="G178" s="104" t="s">
        <v>802</v>
      </c>
    </row>
    <row r="179" spans="7:7" ht="15.75" customHeight="1">
      <c r="G179" s="104" t="s">
        <v>803</v>
      </c>
    </row>
    <row r="180" spans="7:7" ht="15.75" customHeight="1">
      <c r="G180" s="104" t="s">
        <v>804</v>
      </c>
    </row>
    <row r="181" spans="7:7" ht="15.75" customHeight="1">
      <c r="G181" s="104" t="s">
        <v>805</v>
      </c>
    </row>
    <row r="182" spans="7:7" ht="15.75" customHeight="1">
      <c r="G182" s="104" t="s">
        <v>806</v>
      </c>
    </row>
    <row r="183" spans="7:7" ht="15.75" customHeight="1">
      <c r="G183" s="104" t="s">
        <v>807</v>
      </c>
    </row>
    <row r="184" spans="7:7" ht="15.75" customHeight="1">
      <c r="G184" s="104" t="s">
        <v>808</v>
      </c>
    </row>
    <row r="185" spans="7:7" ht="15.75" customHeight="1">
      <c r="G185" s="104" t="s">
        <v>809</v>
      </c>
    </row>
    <row r="186" spans="7:7" ht="15.75" customHeight="1">
      <c r="G186" s="104" t="s">
        <v>810</v>
      </c>
    </row>
    <row r="187" spans="7:7" ht="15.75" customHeight="1">
      <c r="G187" s="104" t="s">
        <v>811</v>
      </c>
    </row>
    <row r="188" spans="7:7" ht="15.75" customHeight="1">
      <c r="G188" s="104" t="s">
        <v>812</v>
      </c>
    </row>
    <row r="189" spans="7:7" ht="15.75" customHeight="1">
      <c r="G189" s="104" t="s">
        <v>813</v>
      </c>
    </row>
    <row r="190" spans="7:7" ht="15.75" customHeight="1">
      <c r="G190" s="104" t="s">
        <v>814</v>
      </c>
    </row>
    <row r="191" spans="7:7" ht="15.75" customHeight="1">
      <c r="G191" s="104" t="s">
        <v>815</v>
      </c>
    </row>
    <row r="192" spans="7:7" ht="15.75" customHeight="1">
      <c r="G192" s="104" t="s">
        <v>816</v>
      </c>
    </row>
    <row r="193" spans="7:12" ht="15.75" customHeight="1">
      <c r="G193" s="104" t="s">
        <v>817</v>
      </c>
    </row>
    <row r="194" spans="7:12" ht="15.75" customHeight="1">
      <c r="G194" s="104" t="s">
        <v>818</v>
      </c>
    </row>
    <row r="195" spans="7:12" ht="15.75" customHeight="1">
      <c r="G195" s="104" t="s">
        <v>819</v>
      </c>
    </row>
    <row r="196" spans="7:12" ht="15.75" customHeight="1">
      <c r="G196" s="104"/>
    </row>
    <row r="197" spans="7:12" ht="15.75" customHeight="1">
      <c r="G197" s="104" t="s">
        <v>820</v>
      </c>
    </row>
    <row r="198" spans="7:12" ht="15.75" customHeight="1">
      <c r="G198" s="104" t="s">
        <v>821</v>
      </c>
    </row>
    <row r="199" spans="7:12" ht="15.75" customHeight="1">
      <c r="G199" s="104"/>
    </row>
    <row r="200" spans="7:12" ht="15.75" customHeight="1">
      <c r="G200" s="104" t="s">
        <v>822</v>
      </c>
    </row>
    <row r="201" spans="7:12" ht="15.75" customHeight="1">
      <c r="G201" s="104" t="s">
        <v>823</v>
      </c>
    </row>
    <row r="202" spans="7:12" ht="15.75" customHeight="1">
      <c r="G202" s="104" t="s">
        <v>824</v>
      </c>
    </row>
    <row r="203" spans="7:12" ht="15.75" customHeight="1">
      <c r="G203" s="106" t="s">
        <v>825</v>
      </c>
      <c r="H203" s="107"/>
      <c r="I203" s="107"/>
      <c r="J203" s="107"/>
      <c r="K203" s="107"/>
      <c r="L203" s="107"/>
    </row>
    <row r="204" spans="7:12" ht="15.75" customHeight="1">
      <c r="G204" s="106" t="s">
        <v>826</v>
      </c>
      <c r="H204" s="107"/>
      <c r="I204" s="107"/>
      <c r="J204" s="107"/>
      <c r="K204" s="107"/>
      <c r="L204" s="107"/>
    </row>
    <row r="205" spans="7:12" ht="15.75" customHeight="1">
      <c r="G205" s="106" t="s">
        <v>827</v>
      </c>
      <c r="H205" s="107"/>
      <c r="I205" s="107"/>
      <c r="J205" s="107"/>
      <c r="K205" s="107"/>
      <c r="L205" s="107"/>
    </row>
    <row r="206" spans="7:12" ht="15.75" customHeight="1">
      <c r="G206" s="106" t="s">
        <v>828</v>
      </c>
      <c r="H206" s="107"/>
      <c r="I206" s="107"/>
      <c r="J206" s="107"/>
      <c r="K206" s="107"/>
      <c r="L206" s="107"/>
    </row>
    <row r="207" spans="7:12" ht="15.75" customHeight="1">
      <c r="G207" s="106" t="s">
        <v>829</v>
      </c>
      <c r="H207" s="107"/>
      <c r="I207" s="107"/>
      <c r="J207" s="107"/>
      <c r="K207" s="107"/>
      <c r="L207" s="107"/>
    </row>
    <row r="208" spans="7:12" ht="15.75" customHeight="1">
      <c r="G208" s="106" t="s">
        <v>830</v>
      </c>
      <c r="H208" s="107"/>
      <c r="I208" s="107"/>
      <c r="J208" s="107"/>
      <c r="K208" s="107"/>
      <c r="L208" s="107"/>
    </row>
    <row r="209" spans="7:12" ht="15.75" customHeight="1">
      <c r="G209" s="106" t="s">
        <v>831</v>
      </c>
      <c r="H209" s="107"/>
      <c r="I209" s="107"/>
      <c r="J209" s="107"/>
      <c r="K209" s="107"/>
      <c r="L209" s="107"/>
    </row>
    <row r="210" spans="7:12" ht="15.75" customHeight="1">
      <c r="G210" s="106" t="s">
        <v>832</v>
      </c>
      <c r="H210" s="107"/>
      <c r="I210" s="107"/>
      <c r="J210" s="107"/>
      <c r="K210" s="107"/>
      <c r="L210" s="107"/>
    </row>
    <row r="211" spans="7:12" ht="15.75" customHeight="1">
      <c r="G211" s="106" t="s">
        <v>833</v>
      </c>
      <c r="H211" s="107"/>
      <c r="I211" s="107"/>
      <c r="J211" s="107"/>
      <c r="K211" s="107"/>
      <c r="L211" s="107"/>
    </row>
    <row r="212" spans="7:12" ht="15.75" customHeight="1">
      <c r="G212" s="106" t="s">
        <v>834</v>
      </c>
      <c r="H212" s="107"/>
      <c r="I212" s="107"/>
      <c r="J212" s="107"/>
      <c r="K212" s="107"/>
      <c r="L212" s="107"/>
    </row>
    <row r="213" spans="7:12" ht="15.75" customHeight="1">
      <c r="G213" s="106" t="s">
        <v>835</v>
      </c>
      <c r="H213" s="107"/>
      <c r="I213" s="107"/>
      <c r="J213" s="107"/>
      <c r="K213" s="107"/>
      <c r="L213" s="107"/>
    </row>
    <row r="214" spans="7:12" ht="15.75" customHeight="1">
      <c r="G214" s="106" t="s">
        <v>836</v>
      </c>
      <c r="H214" s="107"/>
      <c r="I214" s="107"/>
      <c r="J214" s="107"/>
      <c r="K214" s="107"/>
      <c r="L214" s="107"/>
    </row>
    <row r="215" spans="7:12" ht="15.75" customHeight="1">
      <c r="G215" s="106" t="s">
        <v>837</v>
      </c>
      <c r="H215" s="107"/>
      <c r="I215" s="107"/>
      <c r="J215" s="107"/>
      <c r="K215" s="107"/>
      <c r="L215" s="107"/>
    </row>
    <row r="216" spans="7:12" ht="15.75" customHeight="1">
      <c r="G216" s="106" t="s">
        <v>14</v>
      </c>
      <c r="H216" s="107"/>
      <c r="I216" s="107"/>
      <c r="J216" s="107"/>
      <c r="K216" s="107"/>
      <c r="L216" s="107"/>
    </row>
    <row r="217" spans="7:12" ht="15.75" customHeight="1">
      <c r="G217" s="106" t="s">
        <v>838</v>
      </c>
      <c r="H217" s="107"/>
      <c r="I217" s="107"/>
      <c r="J217" s="107"/>
      <c r="K217" s="107"/>
      <c r="L217" s="107"/>
    </row>
    <row r="218" spans="7:12" ht="15.75" customHeight="1">
      <c r="G218" s="106" t="s">
        <v>839</v>
      </c>
      <c r="H218" s="107"/>
      <c r="I218" s="107"/>
      <c r="J218" s="107"/>
      <c r="K218" s="107"/>
      <c r="L218" s="107"/>
    </row>
    <row r="219" spans="7:12" ht="15.75" customHeight="1">
      <c r="G219" s="106" t="s">
        <v>840</v>
      </c>
      <c r="H219" s="107"/>
      <c r="I219" s="107"/>
      <c r="J219" s="107"/>
      <c r="K219" s="107"/>
      <c r="L219" s="107"/>
    </row>
    <row r="220" spans="7:12" ht="15.75" customHeight="1">
      <c r="G220" s="106" t="s">
        <v>841</v>
      </c>
      <c r="H220" s="107"/>
      <c r="I220" s="107"/>
      <c r="J220" s="107"/>
      <c r="K220" s="107"/>
      <c r="L220" s="107"/>
    </row>
    <row r="221" spans="7:12" ht="15.75" customHeight="1">
      <c r="G221" s="106" t="s">
        <v>842</v>
      </c>
      <c r="H221" s="107"/>
      <c r="I221" s="107"/>
      <c r="J221" s="107"/>
      <c r="K221" s="107"/>
      <c r="L221" s="107"/>
    </row>
    <row r="222" spans="7:12" ht="15.75" customHeight="1">
      <c r="G222" s="106" t="s">
        <v>843</v>
      </c>
      <c r="H222" s="107"/>
      <c r="I222" s="107"/>
      <c r="J222" s="107"/>
      <c r="K222" s="107"/>
      <c r="L222" s="107"/>
    </row>
    <row r="223" spans="7:12" ht="15.75" customHeight="1">
      <c r="G223" s="106" t="s">
        <v>844</v>
      </c>
      <c r="H223" s="107"/>
      <c r="I223" s="107"/>
      <c r="J223" s="107"/>
      <c r="K223" s="107"/>
      <c r="L223" s="107"/>
    </row>
    <row r="224" spans="7:12" ht="15.75" customHeight="1">
      <c r="G224" s="106" t="s">
        <v>845</v>
      </c>
      <c r="H224" s="107"/>
      <c r="I224" s="107"/>
      <c r="J224" s="107"/>
      <c r="K224" s="107"/>
      <c r="L224" s="107"/>
    </row>
    <row r="225" spans="7:12" ht="15.75" customHeight="1">
      <c r="G225" s="106" t="s">
        <v>846</v>
      </c>
      <c r="H225" s="107"/>
      <c r="I225" s="107"/>
      <c r="J225" s="107"/>
      <c r="K225" s="107"/>
      <c r="L225" s="107"/>
    </row>
    <row r="226" spans="7:12" ht="15.75" customHeight="1">
      <c r="G226" s="106" t="s">
        <v>847</v>
      </c>
      <c r="H226" s="107"/>
      <c r="I226" s="107"/>
      <c r="J226" s="107"/>
      <c r="K226" s="107"/>
      <c r="L226" s="107"/>
    </row>
    <row r="227" spans="7:12" ht="15.75" customHeight="1">
      <c r="G227" s="106" t="s">
        <v>848</v>
      </c>
      <c r="H227" s="107"/>
      <c r="I227" s="107"/>
      <c r="J227" s="107"/>
      <c r="K227" s="107"/>
      <c r="L227" s="107"/>
    </row>
    <row r="228" spans="7:12" ht="15.75" customHeight="1">
      <c r="G228" s="106" t="s">
        <v>849</v>
      </c>
      <c r="H228" s="107"/>
      <c r="I228" s="107"/>
      <c r="J228" s="107"/>
      <c r="K228" s="107"/>
      <c r="L228" s="107"/>
    </row>
    <row r="229" spans="7:12" ht="15.75" customHeight="1">
      <c r="G229" s="106" t="s">
        <v>850</v>
      </c>
      <c r="H229" s="107"/>
      <c r="I229" s="107"/>
      <c r="J229" s="107"/>
      <c r="K229" s="107"/>
      <c r="L229" s="107"/>
    </row>
    <row r="230" spans="7:12" ht="15.75" customHeight="1">
      <c r="G230" s="106" t="s">
        <v>851</v>
      </c>
      <c r="H230" s="107"/>
      <c r="I230" s="107"/>
      <c r="J230" s="107"/>
      <c r="K230" s="107"/>
      <c r="L230" s="107"/>
    </row>
    <row r="231" spans="7:12" ht="15.75" customHeight="1">
      <c r="G231" s="106" t="s">
        <v>852</v>
      </c>
      <c r="H231" s="107"/>
      <c r="I231" s="107"/>
      <c r="J231" s="107"/>
      <c r="K231" s="107"/>
      <c r="L231" s="107"/>
    </row>
    <row r="232" spans="7:12" ht="15.75" customHeight="1">
      <c r="G232" s="106" t="s">
        <v>853</v>
      </c>
      <c r="H232" s="107"/>
      <c r="I232" s="107"/>
      <c r="J232" s="107"/>
      <c r="K232" s="107"/>
      <c r="L232" s="107"/>
    </row>
    <row r="233" spans="7:12" ht="15.75" customHeight="1">
      <c r="G233" s="106" t="s">
        <v>854</v>
      </c>
      <c r="H233" s="107"/>
      <c r="I233" s="107"/>
      <c r="J233" s="107"/>
      <c r="K233" s="107"/>
      <c r="L233" s="107"/>
    </row>
    <row r="234" spans="7:12" ht="15.75" customHeight="1">
      <c r="G234" s="106" t="s">
        <v>855</v>
      </c>
      <c r="H234" s="107"/>
      <c r="I234" s="107"/>
      <c r="J234" s="107"/>
      <c r="K234" s="107"/>
      <c r="L234" s="107"/>
    </row>
    <row r="235" spans="7:12" ht="15.75" customHeight="1">
      <c r="G235" s="106" t="s">
        <v>856</v>
      </c>
      <c r="H235" s="107"/>
      <c r="I235" s="107"/>
      <c r="J235" s="107"/>
      <c r="K235" s="107"/>
      <c r="L235" s="107"/>
    </row>
    <row r="236" spans="7:12" ht="15.75" customHeight="1">
      <c r="G236" s="106" t="s">
        <v>857</v>
      </c>
      <c r="H236" s="107"/>
      <c r="I236" s="107"/>
      <c r="J236" s="107"/>
      <c r="K236" s="107"/>
      <c r="L236" s="107"/>
    </row>
    <row r="237" spans="7:12" ht="15.75" customHeight="1">
      <c r="G237" s="106" t="s">
        <v>858</v>
      </c>
      <c r="H237" s="107"/>
      <c r="I237" s="107"/>
      <c r="J237" s="107"/>
      <c r="K237" s="107"/>
      <c r="L237" s="107"/>
    </row>
    <row r="238" spans="7:12" ht="15.75" customHeight="1">
      <c r="G238" s="106" t="s">
        <v>859</v>
      </c>
      <c r="H238" s="107"/>
      <c r="I238" s="107"/>
      <c r="J238" s="107"/>
      <c r="K238" s="107"/>
      <c r="L238" s="107"/>
    </row>
    <row r="239" spans="7:12" ht="15.75" customHeight="1">
      <c r="G239" s="106" t="s">
        <v>860</v>
      </c>
      <c r="H239" s="107"/>
      <c r="I239" s="107"/>
      <c r="J239" s="107"/>
      <c r="K239" s="107"/>
      <c r="L239" s="107"/>
    </row>
    <row r="240" spans="7:12" ht="15.75" customHeight="1">
      <c r="G240" s="106" t="s">
        <v>861</v>
      </c>
      <c r="H240" s="107"/>
      <c r="I240" s="107"/>
      <c r="J240" s="107"/>
      <c r="K240" s="107"/>
      <c r="L240" s="107"/>
    </row>
    <row r="241" spans="7:12" ht="15.75" customHeight="1">
      <c r="G241" s="106" t="s">
        <v>862</v>
      </c>
      <c r="H241" s="107"/>
      <c r="I241" s="107"/>
      <c r="J241" s="107"/>
      <c r="K241" s="107"/>
      <c r="L241" s="107"/>
    </row>
    <row r="242" spans="7:12" ht="15.75" customHeight="1">
      <c r="G242" s="106" t="s">
        <v>863</v>
      </c>
      <c r="H242" s="107"/>
      <c r="I242" s="107"/>
      <c r="J242" s="107"/>
      <c r="K242" s="107"/>
      <c r="L242" s="107"/>
    </row>
    <row r="243" spans="7:12" ht="15.75" customHeight="1">
      <c r="G243" s="106" t="s">
        <v>864</v>
      </c>
      <c r="H243" s="107"/>
      <c r="I243" s="107"/>
      <c r="J243" s="107"/>
      <c r="K243" s="107"/>
      <c r="L243" s="107"/>
    </row>
    <row r="244" spans="7:12" ht="15.75" customHeight="1">
      <c r="G244" s="106" t="s">
        <v>865</v>
      </c>
      <c r="H244" s="107"/>
      <c r="I244" s="107"/>
      <c r="J244" s="107"/>
      <c r="K244" s="107"/>
      <c r="L244" s="107"/>
    </row>
    <row r="245" spans="7:12" ht="15.75" customHeight="1">
      <c r="G245" s="106" t="s">
        <v>866</v>
      </c>
      <c r="H245" s="107"/>
      <c r="I245" s="107"/>
      <c r="J245" s="107"/>
      <c r="K245" s="107"/>
      <c r="L245" s="107"/>
    </row>
    <row r="246" spans="7:12" ht="15.75" customHeight="1">
      <c r="G246" s="106" t="s">
        <v>867</v>
      </c>
      <c r="H246" s="107"/>
      <c r="I246" s="107"/>
      <c r="J246" s="107"/>
      <c r="K246" s="107"/>
      <c r="L246" s="107"/>
    </row>
    <row r="247" spans="7:12" ht="15.75" customHeight="1">
      <c r="G247" s="106" t="s">
        <v>868</v>
      </c>
      <c r="H247" s="107"/>
      <c r="I247" s="107"/>
      <c r="J247" s="107"/>
      <c r="K247" s="107"/>
      <c r="L247" s="107"/>
    </row>
    <row r="248" spans="7:12" ht="15.75" customHeight="1">
      <c r="G248" s="106" t="s">
        <v>869</v>
      </c>
      <c r="H248" s="107"/>
      <c r="I248" s="107"/>
      <c r="J248" s="107"/>
      <c r="K248" s="107"/>
      <c r="L248" s="107"/>
    </row>
    <row r="249" spans="7:12" ht="15.75" customHeight="1">
      <c r="G249" s="106" t="s">
        <v>870</v>
      </c>
      <c r="H249" s="107"/>
      <c r="I249" s="107"/>
      <c r="J249" s="107"/>
      <c r="K249" s="107"/>
      <c r="L249" s="107"/>
    </row>
    <row r="250" spans="7:12" ht="15.75" customHeight="1">
      <c r="G250" s="106" t="s">
        <v>871</v>
      </c>
      <c r="H250" s="107"/>
      <c r="I250" s="107"/>
      <c r="J250" s="107"/>
      <c r="K250" s="107"/>
      <c r="L250" s="107"/>
    </row>
    <row r="251" spans="7:12" ht="15.75" customHeight="1">
      <c r="G251" s="106" t="s">
        <v>872</v>
      </c>
      <c r="H251" s="107"/>
      <c r="I251" s="107"/>
      <c r="J251" s="107"/>
      <c r="K251" s="107"/>
      <c r="L251" s="107"/>
    </row>
    <row r="252" spans="7:12" ht="15.75" customHeight="1">
      <c r="G252" s="106" t="s">
        <v>873</v>
      </c>
      <c r="H252" s="107"/>
      <c r="I252" s="107"/>
      <c r="J252" s="107"/>
      <c r="K252" s="107"/>
      <c r="L252" s="107"/>
    </row>
    <row r="253" spans="7:12" ht="15.75" customHeight="1">
      <c r="G253" s="106" t="s">
        <v>874</v>
      </c>
      <c r="H253" s="107"/>
      <c r="I253" s="107"/>
      <c r="J253" s="107"/>
      <c r="K253" s="107"/>
      <c r="L253" s="107"/>
    </row>
    <row r="254" spans="7:12" ht="15.75" customHeight="1">
      <c r="G254" s="106" t="s">
        <v>875</v>
      </c>
      <c r="H254" s="107"/>
      <c r="I254" s="107"/>
      <c r="J254" s="107"/>
      <c r="K254" s="107"/>
      <c r="L254" s="107"/>
    </row>
    <row r="255" spans="7:12" ht="15.75" customHeight="1">
      <c r="G255" s="106" t="s">
        <v>876</v>
      </c>
      <c r="H255" s="107"/>
      <c r="I255" s="107"/>
      <c r="J255" s="107"/>
      <c r="K255" s="107"/>
      <c r="L255" s="107"/>
    </row>
    <row r="256" spans="7:12" ht="15.75" customHeight="1">
      <c r="G256" s="106" t="s">
        <v>877</v>
      </c>
      <c r="H256" s="107"/>
      <c r="I256" s="107"/>
      <c r="J256" s="107"/>
      <c r="K256" s="107"/>
      <c r="L256" s="107"/>
    </row>
    <row r="257" spans="7:12" ht="15.75" customHeight="1">
      <c r="G257" s="106" t="s">
        <v>878</v>
      </c>
      <c r="H257" s="107"/>
      <c r="I257" s="107"/>
      <c r="J257" s="107"/>
      <c r="K257" s="107"/>
      <c r="L257" s="107"/>
    </row>
    <row r="258" spans="7:12" ht="15.75" customHeight="1">
      <c r="G258" s="106" t="s">
        <v>879</v>
      </c>
      <c r="H258" s="107"/>
      <c r="I258" s="107"/>
      <c r="J258" s="107"/>
      <c r="K258" s="107"/>
      <c r="L258" s="107"/>
    </row>
    <row r="259" spans="7:12" ht="15.75" customHeight="1">
      <c r="G259" s="106" t="s">
        <v>880</v>
      </c>
      <c r="H259" s="107"/>
      <c r="I259" s="107"/>
      <c r="J259" s="107"/>
      <c r="K259" s="107"/>
      <c r="L259" s="107"/>
    </row>
    <row r="260" spans="7:12" ht="15.75" customHeight="1">
      <c r="G260" s="106" t="s">
        <v>881</v>
      </c>
      <c r="H260" s="107"/>
      <c r="I260" s="107"/>
      <c r="J260" s="107"/>
      <c r="K260" s="107"/>
      <c r="L260" s="107"/>
    </row>
    <row r="261" spans="7:12" ht="15.75" customHeight="1">
      <c r="G261" s="106" t="s">
        <v>882</v>
      </c>
      <c r="H261" s="107"/>
      <c r="I261" s="107"/>
      <c r="J261" s="107"/>
      <c r="K261" s="107"/>
      <c r="L261" s="107"/>
    </row>
    <row r="262" spans="7:12" ht="15.75" customHeight="1">
      <c r="G262" s="106" t="s">
        <v>883</v>
      </c>
      <c r="H262" s="107"/>
      <c r="I262" s="107"/>
      <c r="J262" s="107"/>
      <c r="K262" s="107"/>
      <c r="L262" s="107"/>
    </row>
    <row r="263" spans="7:12" ht="15.75" customHeight="1">
      <c r="G263" s="106" t="s">
        <v>884</v>
      </c>
      <c r="H263" s="107"/>
      <c r="I263" s="107"/>
      <c r="J263" s="107"/>
      <c r="K263" s="107"/>
      <c r="L263" s="107"/>
    </row>
    <row r="264" spans="7:12" ht="15.75" customHeight="1">
      <c r="G264" s="106" t="s">
        <v>885</v>
      </c>
      <c r="H264" s="107"/>
      <c r="I264" s="107"/>
      <c r="J264" s="107"/>
      <c r="K264" s="107"/>
      <c r="L264" s="107"/>
    </row>
    <row r="265" spans="7:12" ht="15.75" customHeight="1">
      <c r="G265" s="106" t="s">
        <v>886</v>
      </c>
      <c r="H265" s="107"/>
      <c r="I265" s="107"/>
      <c r="J265" s="107"/>
      <c r="K265" s="107"/>
      <c r="L265" s="107"/>
    </row>
    <row r="266" spans="7:12" ht="15.75" customHeight="1">
      <c r="G266" s="106" t="s">
        <v>887</v>
      </c>
      <c r="H266" s="107"/>
      <c r="I266" s="107"/>
      <c r="J266" s="107"/>
      <c r="K266" s="107"/>
      <c r="L266" s="107"/>
    </row>
    <row r="267" spans="7:12" ht="15.75" customHeight="1">
      <c r="G267" s="106" t="s">
        <v>888</v>
      </c>
      <c r="H267" s="107"/>
      <c r="I267" s="107"/>
      <c r="J267" s="107"/>
      <c r="K267" s="107"/>
      <c r="L267" s="107"/>
    </row>
    <row r="268" spans="7:12" ht="15.75" customHeight="1">
      <c r="G268" s="106" t="s">
        <v>889</v>
      </c>
      <c r="H268" s="107"/>
      <c r="I268" s="107"/>
      <c r="J268" s="107"/>
      <c r="K268" s="107"/>
      <c r="L268" s="107"/>
    </row>
    <row r="269" spans="7:12" ht="15.75" customHeight="1">
      <c r="G269" s="106" t="s">
        <v>890</v>
      </c>
      <c r="H269" s="107"/>
      <c r="I269" s="107"/>
      <c r="J269" s="107"/>
      <c r="K269" s="107"/>
      <c r="L269" s="107"/>
    </row>
    <row r="270" spans="7:12" ht="15.75" customHeight="1">
      <c r="G270" s="106" t="s">
        <v>891</v>
      </c>
      <c r="H270" s="107"/>
      <c r="I270" s="107"/>
      <c r="J270" s="107"/>
      <c r="K270" s="107"/>
      <c r="L270" s="107"/>
    </row>
    <row r="271" spans="7:12" ht="15.75" customHeight="1">
      <c r="G271" s="106" t="s">
        <v>892</v>
      </c>
      <c r="H271" s="107"/>
      <c r="I271" s="107"/>
      <c r="J271" s="107"/>
      <c r="K271" s="107"/>
      <c r="L271" s="107"/>
    </row>
    <row r="272" spans="7:12" ht="15.75" customHeight="1">
      <c r="G272" s="106" t="s">
        <v>893</v>
      </c>
      <c r="H272" s="107"/>
      <c r="I272" s="107"/>
      <c r="J272" s="107"/>
      <c r="K272" s="107"/>
      <c r="L272" s="107"/>
    </row>
    <row r="273" spans="7:12" ht="15.75" customHeight="1">
      <c r="G273" s="106" t="s">
        <v>894</v>
      </c>
      <c r="H273" s="107"/>
      <c r="I273" s="107"/>
      <c r="J273" s="107"/>
      <c r="K273" s="107"/>
      <c r="L273" s="107"/>
    </row>
    <row r="274" spans="7:12" ht="15.75" customHeight="1">
      <c r="G274" s="106" t="s">
        <v>895</v>
      </c>
      <c r="H274" s="107"/>
      <c r="I274" s="107"/>
      <c r="J274" s="107"/>
      <c r="K274" s="107"/>
      <c r="L274" s="107"/>
    </row>
    <row r="275" spans="7:12" ht="15.75" customHeight="1">
      <c r="G275" s="106" t="s">
        <v>896</v>
      </c>
      <c r="H275" s="107"/>
      <c r="I275" s="107"/>
      <c r="J275" s="107"/>
      <c r="K275" s="107"/>
      <c r="L275" s="107"/>
    </row>
    <row r="276" spans="7:12" ht="15.75" customHeight="1">
      <c r="G276" s="106" t="s">
        <v>897</v>
      </c>
      <c r="H276" s="107"/>
      <c r="I276" s="107"/>
      <c r="J276" s="107"/>
      <c r="K276" s="107"/>
      <c r="L276" s="107"/>
    </row>
    <row r="277" spans="7:12" ht="15.75" customHeight="1">
      <c r="G277" s="106" t="s">
        <v>898</v>
      </c>
      <c r="H277" s="107"/>
      <c r="I277" s="107"/>
      <c r="J277" s="107"/>
      <c r="K277" s="107"/>
      <c r="L277" s="107"/>
    </row>
    <row r="278" spans="7:12" ht="15.75" customHeight="1">
      <c r="G278" s="106" t="s">
        <v>899</v>
      </c>
      <c r="H278" s="107"/>
      <c r="I278" s="107"/>
      <c r="J278" s="107"/>
      <c r="K278" s="107"/>
      <c r="L278" s="107"/>
    </row>
    <row r="279" spans="7:12" ht="15.75" customHeight="1">
      <c r="G279" s="106" t="s">
        <v>900</v>
      </c>
      <c r="H279" s="107"/>
      <c r="I279" s="107"/>
      <c r="J279" s="107"/>
      <c r="K279" s="107"/>
      <c r="L279" s="107"/>
    </row>
    <row r="280" spans="7:12" ht="15.75" customHeight="1">
      <c r="G280" s="106" t="s">
        <v>901</v>
      </c>
      <c r="H280" s="107"/>
      <c r="I280" s="107"/>
      <c r="J280" s="107"/>
      <c r="K280" s="107"/>
      <c r="L280" s="107"/>
    </row>
    <row r="281" spans="7:12" ht="15.75" customHeight="1">
      <c r="G281" s="106" t="s">
        <v>902</v>
      </c>
      <c r="H281" s="107"/>
      <c r="I281" s="107"/>
      <c r="J281" s="107"/>
      <c r="K281" s="107"/>
      <c r="L281" s="107"/>
    </row>
    <row r="282" spans="7:12" ht="15.75" customHeight="1">
      <c r="G282" s="106" t="s">
        <v>903</v>
      </c>
      <c r="H282" s="107"/>
      <c r="I282" s="107"/>
      <c r="J282" s="107"/>
      <c r="K282" s="107"/>
      <c r="L282" s="107"/>
    </row>
    <row r="283" spans="7:12" ht="15.75" customHeight="1">
      <c r="G283" s="106" t="s">
        <v>904</v>
      </c>
      <c r="H283" s="107"/>
      <c r="I283" s="107"/>
      <c r="J283" s="107"/>
      <c r="K283" s="107"/>
      <c r="L283" s="107"/>
    </row>
    <row r="284" spans="7:12" ht="15.75" customHeight="1">
      <c r="G284" s="106" t="s">
        <v>905</v>
      </c>
      <c r="H284" s="107"/>
      <c r="I284" s="107"/>
      <c r="J284" s="107"/>
      <c r="K284" s="107"/>
      <c r="L284" s="107"/>
    </row>
    <row r="285" spans="7:12" ht="15.75" customHeight="1">
      <c r="G285" s="106" t="s">
        <v>906</v>
      </c>
      <c r="H285" s="107"/>
      <c r="I285" s="107"/>
      <c r="J285" s="107"/>
      <c r="K285" s="107"/>
      <c r="L285" s="107"/>
    </row>
    <row r="286" spans="7:12" ht="15.75" customHeight="1">
      <c r="G286" s="106" t="s">
        <v>907</v>
      </c>
      <c r="H286" s="107"/>
      <c r="I286" s="107"/>
      <c r="J286" s="107"/>
      <c r="K286" s="107"/>
      <c r="L286" s="107"/>
    </row>
    <row r="287" spans="7:12" ht="15.75" customHeight="1">
      <c r="G287" s="106" t="s">
        <v>908</v>
      </c>
      <c r="H287" s="107"/>
      <c r="I287" s="107"/>
      <c r="J287" s="107"/>
      <c r="K287" s="107"/>
      <c r="L287" s="107"/>
    </row>
    <row r="288" spans="7:12" ht="15.75" customHeight="1">
      <c r="G288" s="106" t="s">
        <v>909</v>
      </c>
      <c r="H288" s="107"/>
      <c r="I288" s="107"/>
      <c r="J288" s="107"/>
      <c r="K288" s="107"/>
      <c r="L288" s="107"/>
    </row>
    <row r="289" spans="7:12" ht="15.75" customHeight="1">
      <c r="G289" s="106" t="s">
        <v>910</v>
      </c>
      <c r="H289" s="107"/>
      <c r="I289" s="107"/>
      <c r="J289" s="107"/>
      <c r="K289" s="107"/>
      <c r="L289" s="107"/>
    </row>
    <row r="290" spans="7:12" ht="15.75" customHeight="1">
      <c r="G290" s="106" t="s">
        <v>911</v>
      </c>
      <c r="H290" s="107"/>
      <c r="I290" s="107"/>
      <c r="J290" s="107"/>
      <c r="K290" s="107"/>
      <c r="L290" s="107"/>
    </row>
    <row r="291" spans="7:12" ht="15.75" customHeight="1">
      <c r="G291" s="104" t="s">
        <v>912</v>
      </c>
    </row>
    <row r="292" spans="7:12" ht="15.75" customHeight="1">
      <c r="G292" s="104" t="s">
        <v>913</v>
      </c>
    </row>
    <row r="293" spans="7:12" ht="15.75" customHeight="1">
      <c r="G293" s="104" t="s">
        <v>914</v>
      </c>
    </row>
    <row r="294" spans="7:12" ht="15.75" customHeight="1">
      <c r="G294" s="104" t="s">
        <v>915</v>
      </c>
    </row>
    <row r="295" spans="7:12" ht="15.75" customHeight="1">
      <c r="G295" s="104" t="s">
        <v>916</v>
      </c>
    </row>
    <row r="296" spans="7:12" ht="15.75" customHeight="1">
      <c r="G296" s="104" t="s">
        <v>917</v>
      </c>
    </row>
    <row r="297" spans="7:12" ht="15.75" customHeight="1">
      <c r="G297" s="104" t="s">
        <v>918</v>
      </c>
    </row>
    <row r="298" spans="7:12" ht="15.75" customHeight="1">
      <c r="G298" s="104" t="s">
        <v>919</v>
      </c>
    </row>
    <row r="299" spans="7:12" ht="15.75" customHeight="1">
      <c r="G299" s="104" t="s">
        <v>920</v>
      </c>
    </row>
    <row r="300" spans="7:12" ht="15.75" customHeight="1">
      <c r="G300" s="104" t="s">
        <v>921</v>
      </c>
    </row>
    <row r="301" spans="7:12" ht="15.75" customHeight="1">
      <c r="G301" s="104" t="s">
        <v>922</v>
      </c>
    </row>
    <row r="302" spans="7:12" ht="15.75" customHeight="1">
      <c r="G302" s="104" t="s">
        <v>923</v>
      </c>
    </row>
    <row r="303" spans="7:12" ht="15.75" customHeight="1">
      <c r="G303" s="104" t="s">
        <v>924</v>
      </c>
    </row>
    <row r="304" spans="7:12" ht="15.75" customHeight="1">
      <c r="G304" s="104" t="s">
        <v>925</v>
      </c>
    </row>
    <row r="305" spans="7:7" ht="15.75" customHeight="1">
      <c r="G305" s="104" t="s">
        <v>926</v>
      </c>
    </row>
    <row r="306" spans="7:7" ht="15.75" customHeight="1">
      <c r="G306" s="104" t="s">
        <v>927</v>
      </c>
    </row>
    <row r="307" spans="7:7" ht="15.75" customHeight="1">
      <c r="G307" s="104" t="s">
        <v>928</v>
      </c>
    </row>
    <row r="308" spans="7:7" ht="15.75" customHeight="1">
      <c r="G308" s="104" t="s">
        <v>929</v>
      </c>
    </row>
    <row r="309" spans="7:7" ht="15.75" customHeight="1">
      <c r="G309" s="104" t="s">
        <v>930</v>
      </c>
    </row>
    <row r="310" spans="7:7" ht="15.75" customHeight="1">
      <c r="G310" s="104" t="s">
        <v>931</v>
      </c>
    </row>
    <row r="311" spans="7:7" ht="15.75" customHeight="1">
      <c r="G311" s="104" t="s">
        <v>932</v>
      </c>
    </row>
    <row r="312" spans="7:7" ht="15.75" customHeight="1">
      <c r="G312" s="104" t="s">
        <v>933</v>
      </c>
    </row>
    <row r="313" spans="7:7" ht="15.75" customHeight="1">
      <c r="G313" s="104" t="s">
        <v>934</v>
      </c>
    </row>
    <row r="314" spans="7:7" ht="15.75" customHeight="1">
      <c r="G314" s="104" t="s">
        <v>935</v>
      </c>
    </row>
    <row r="315" spans="7:7" ht="15.75" customHeight="1">
      <c r="G315" s="104" t="s">
        <v>936</v>
      </c>
    </row>
    <row r="316" spans="7:7" ht="15.75" customHeight="1">
      <c r="G316" s="104" t="s">
        <v>937</v>
      </c>
    </row>
    <row r="317" spans="7:7" ht="15.75" customHeight="1">
      <c r="G317" s="104" t="s">
        <v>938</v>
      </c>
    </row>
    <row r="318" spans="7:7" ht="15.75" customHeight="1">
      <c r="G318" s="104" t="s">
        <v>939</v>
      </c>
    </row>
    <row r="319" spans="7:7" ht="15.75" customHeight="1">
      <c r="G319" s="104" t="s">
        <v>940</v>
      </c>
    </row>
    <row r="320" spans="7:7" ht="15.75" customHeight="1">
      <c r="G320" s="104" t="s">
        <v>941</v>
      </c>
    </row>
    <row r="321" spans="7:7" ht="15.75" customHeight="1">
      <c r="G321" s="104" t="s">
        <v>942</v>
      </c>
    </row>
    <row r="322" spans="7:7" ht="15.75" customHeight="1">
      <c r="G322" s="104" t="s">
        <v>943</v>
      </c>
    </row>
    <row r="323" spans="7:7" ht="15.75" customHeight="1">
      <c r="G323" s="104" t="s">
        <v>944</v>
      </c>
    </row>
    <row r="324" spans="7:7" ht="15.75" customHeight="1">
      <c r="G324" s="104" t="s">
        <v>945</v>
      </c>
    </row>
    <row r="325" spans="7:7" ht="15.75" customHeight="1">
      <c r="G325" s="104" t="s">
        <v>946</v>
      </c>
    </row>
    <row r="326" spans="7:7" ht="15.75" customHeight="1">
      <c r="G326" s="104" t="s">
        <v>947</v>
      </c>
    </row>
    <row r="327" spans="7:7" ht="15.75" customHeight="1">
      <c r="G327" s="104" t="s">
        <v>948</v>
      </c>
    </row>
    <row r="328" spans="7:7" ht="15.75" customHeight="1">
      <c r="G328" s="104" t="s">
        <v>949</v>
      </c>
    </row>
    <row r="329" spans="7:7" ht="15.75" customHeight="1">
      <c r="G329" s="104" t="s">
        <v>950</v>
      </c>
    </row>
    <row r="330" spans="7:7" ht="15.75" customHeight="1">
      <c r="G330" s="104" t="s">
        <v>951</v>
      </c>
    </row>
    <row r="331" spans="7:7" ht="15.75" customHeight="1">
      <c r="G331" s="104" t="s">
        <v>952</v>
      </c>
    </row>
    <row r="332" spans="7:7" ht="15.75" customHeight="1">
      <c r="G332" s="104" t="s">
        <v>953</v>
      </c>
    </row>
    <row r="333" spans="7:7" ht="15.75" customHeight="1">
      <c r="G333" s="104" t="s">
        <v>954</v>
      </c>
    </row>
    <row r="334" spans="7:7" ht="15.75" customHeight="1">
      <c r="G334" s="104" t="s">
        <v>955</v>
      </c>
    </row>
    <row r="335" spans="7:7" ht="15.75" customHeight="1">
      <c r="G335" s="104" t="s">
        <v>956</v>
      </c>
    </row>
    <row r="336" spans="7:7" ht="15.75" customHeight="1">
      <c r="G336" s="104" t="s">
        <v>957</v>
      </c>
    </row>
    <row r="337" spans="7:7" ht="15.75" customHeight="1">
      <c r="G337" s="104" t="s">
        <v>958</v>
      </c>
    </row>
    <row r="338" spans="7:7" ht="15.75" customHeight="1">
      <c r="G338" s="104" t="s">
        <v>959</v>
      </c>
    </row>
    <row r="339" spans="7:7" ht="15.75" customHeight="1">
      <c r="G339" s="104" t="s">
        <v>960</v>
      </c>
    </row>
    <row r="340" spans="7:7" ht="15.75" customHeight="1">
      <c r="G340" s="104" t="s">
        <v>961</v>
      </c>
    </row>
    <row r="341" spans="7:7" ht="15.75" customHeight="1">
      <c r="G341" s="104" t="s">
        <v>962</v>
      </c>
    </row>
    <row r="342" spans="7:7" ht="15.75" customHeight="1">
      <c r="G342" s="104" t="s">
        <v>963</v>
      </c>
    </row>
    <row r="343" spans="7:7" ht="15.75" customHeight="1">
      <c r="G343" s="104" t="s">
        <v>964</v>
      </c>
    </row>
    <row r="344" spans="7:7" ht="15.75" customHeight="1">
      <c r="G344" s="104" t="s">
        <v>965</v>
      </c>
    </row>
    <row r="345" spans="7:7" ht="15.75" customHeight="1">
      <c r="G345" s="104" t="s">
        <v>966</v>
      </c>
    </row>
    <row r="346" spans="7:7" ht="15.75" customHeight="1">
      <c r="G346" s="104" t="s">
        <v>967</v>
      </c>
    </row>
    <row r="347" spans="7:7" ht="15.75" customHeight="1">
      <c r="G347" s="104" t="s">
        <v>968</v>
      </c>
    </row>
    <row r="348" spans="7:7" ht="15.75" customHeight="1">
      <c r="G348" s="104" t="s">
        <v>969</v>
      </c>
    </row>
    <row r="349" spans="7:7" ht="15.75" customHeight="1">
      <c r="G349" s="104" t="s">
        <v>970</v>
      </c>
    </row>
    <row r="350" spans="7:7" ht="15.75" customHeight="1">
      <c r="G350" s="104" t="s">
        <v>971</v>
      </c>
    </row>
    <row r="351" spans="7:7" ht="15.75" customHeight="1">
      <c r="G351" s="104" t="s">
        <v>972</v>
      </c>
    </row>
    <row r="352" spans="7:7" ht="15.75" customHeight="1">
      <c r="G352" s="104" t="s">
        <v>973</v>
      </c>
    </row>
    <row r="353" spans="7:7" ht="15.75" customHeight="1">
      <c r="G353" s="104" t="s">
        <v>974</v>
      </c>
    </row>
    <row r="354" spans="7:7" ht="15.75" customHeight="1">
      <c r="G354" s="104" t="s">
        <v>975</v>
      </c>
    </row>
    <row r="355" spans="7:7" ht="15.75" customHeight="1">
      <c r="G355" s="104" t="s">
        <v>976</v>
      </c>
    </row>
    <row r="356" spans="7:7" ht="15.75" customHeight="1">
      <c r="G356" s="104" t="s">
        <v>977</v>
      </c>
    </row>
    <row r="357" spans="7:7" ht="15.75" customHeight="1">
      <c r="G357" s="104" t="s">
        <v>978</v>
      </c>
    </row>
    <row r="358" spans="7:7" ht="15.75" customHeight="1">
      <c r="G358" s="104" t="s">
        <v>979</v>
      </c>
    </row>
    <row r="359" spans="7:7" ht="15.75" customHeight="1">
      <c r="G359" s="104" t="s">
        <v>980</v>
      </c>
    </row>
    <row r="360" spans="7:7" ht="15.75" customHeight="1">
      <c r="G360" s="104" t="s">
        <v>981</v>
      </c>
    </row>
    <row r="361" spans="7:7" ht="15.75" customHeight="1">
      <c r="G361" s="104" t="s">
        <v>982</v>
      </c>
    </row>
    <row r="362" spans="7:7" ht="15.75" customHeight="1">
      <c r="G362" s="104" t="s">
        <v>983</v>
      </c>
    </row>
    <row r="363" spans="7:7" ht="15.75" customHeight="1">
      <c r="G363" s="104" t="s">
        <v>984</v>
      </c>
    </row>
    <row r="364" spans="7:7" ht="15.75" customHeight="1">
      <c r="G364" s="104" t="s">
        <v>985</v>
      </c>
    </row>
    <row r="365" spans="7:7" ht="15.75" customHeight="1">
      <c r="G365" s="104" t="s">
        <v>986</v>
      </c>
    </row>
    <row r="366" spans="7:7" ht="15.75" customHeight="1">
      <c r="G366" s="104" t="s">
        <v>987</v>
      </c>
    </row>
    <row r="367" spans="7:7" ht="15.75" customHeight="1">
      <c r="G367" s="104" t="s">
        <v>988</v>
      </c>
    </row>
    <row r="368" spans="7:7" ht="15.75" customHeight="1">
      <c r="G368" s="104" t="s">
        <v>989</v>
      </c>
    </row>
    <row r="369" spans="7:7" ht="15.75" customHeight="1">
      <c r="G369" s="104" t="s">
        <v>990</v>
      </c>
    </row>
    <row r="370" spans="7:7" ht="15.75" customHeight="1">
      <c r="G370" s="104" t="s">
        <v>991</v>
      </c>
    </row>
    <row r="371" spans="7:7" ht="15.75" customHeight="1">
      <c r="G371" s="104" t="s">
        <v>992</v>
      </c>
    </row>
    <row r="372" spans="7:7" ht="15.75" customHeight="1">
      <c r="G372" s="104" t="s">
        <v>993</v>
      </c>
    </row>
    <row r="373" spans="7:7" ht="15.75" customHeight="1">
      <c r="G373" s="104" t="s">
        <v>994</v>
      </c>
    </row>
    <row r="374" spans="7:7" ht="15.75" customHeight="1">
      <c r="G374" s="104" t="s">
        <v>995</v>
      </c>
    </row>
    <row r="375" spans="7:7" ht="15.75" customHeight="1">
      <c r="G375" s="104" t="s">
        <v>996</v>
      </c>
    </row>
    <row r="376" spans="7:7" ht="15.75" customHeight="1">
      <c r="G376" s="104" t="s">
        <v>997</v>
      </c>
    </row>
    <row r="377" spans="7:7" ht="15.75" customHeight="1">
      <c r="G377" s="104" t="s">
        <v>998</v>
      </c>
    </row>
    <row r="378" spans="7:7" ht="15.75" customHeight="1">
      <c r="G378" s="104" t="s">
        <v>999</v>
      </c>
    </row>
    <row r="379" spans="7:7" ht="15.75" customHeight="1">
      <c r="G379" s="104" t="s">
        <v>1000</v>
      </c>
    </row>
    <row r="380" spans="7:7" ht="15.75" customHeight="1">
      <c r="G380" s="104" t="s">
        <v>1001</v>
      </c>
    </row>
    <row r="381" spans="7:7" ht="15.75" customHeight="1">
      <c r="G381" s="104" t="s">
        <v>1002</v>
      </c>
    </row>
    <row r="382" spans="7:7" ht="15.75" customHeight="1">
      <c r="G382" s="104" t="s">
        <v>1003</v>
      </c>
    </row>
    <row r="383" spans="7:7" ht="15.75" customHeight="1">
      <c r="G383" s="104" t="s">
        <v>1004</v>
      </c>
    </row>
    <row r="384" spans="7:7" ht="15.75" customHeight="1">
      <c r="G384" s="104" t="s">
        <v>1005</v>
      </c>
    </row>
    <row r="385" spans="7:7" ht="15.75" customHeight="1">
      <c r="G385" s="104" t="s">
        <v>1006</v>
      </c>
    </row>
    <row r="386" spans="7:7" ht="15.75" customHeight="1">
      <c r="G386" s="104" t="s">
        <v>1007</v>
      </c>
    </row>
    <row r="387" spans="7:7" ht="15.75" customHeight="1">
      <c r="G387" s="104" t="s">
        <v>1008</v>
      </c>
    </row>
    <row r="388" spans="7:7" ht="15.75" customHeight="1">
      <c r="G388" s="104" t="s">
        <v>1009</v>
      </c>
    </row>
    <row r="389" spans="7:7" ht="15.75" customHeight="1">
      <c r="G389" s="104" t="s">
        <v>1010</v>
      </c>
    </row>
    <row r="390" spans="7:7" ht="15.75" customHeight="1">
      <c r="G390" s="104" t="s">
        <v>1011</v>
      </c>
    </row>
    <row r="391" spans="7:7" ht="15.75" customHeight="1">
      <c r="G391" s="104" t="s">
        <v>1012</v>
      </c>
    </row>
    <row r="392" spans="7:7" ht="15.75" customHeight="1">
      <c r="G392" s="104" t="s">
        <v>1013</v>
      </c>
    </row>
    <row r="393" spans="7:7" ht="15.75" customHeight="1">
      <c r="G393" s="104" t="s">
        <v>1014</v>
      </c>
    </row>
    <row r="394" spans="7:7" ht="15.75" customHeight="1">
      <c r="G394" s="104" t="s">
        <v>1015</v>
      </c>
    </row>
    <row r="395" spans="7:7" ht="15.75" customHeight="1">
      <c r="G395" s="104" t="s">
        <v>1016</v>
      </c>
    </row>
    <row r="396" spans="7:7" ht="15.75" customHeight="1">
      <c r="G396" s="104" t="s">
        <v>1017</v>
      </c>
    </row>
    <row r="397" spans="7:7" ht="15.75" customHeight="1">
      <c r="G397" s="104" t="s">
        <v>1018</v>
      </c>
    </row>
    <row r="398" spans="7:7" ht="15.75" customHeight="1">
      <c r="G398" s="104" t="s">
        <v>1019</v>
      </c>
    </row>
    <row r="399" spans="7:7" ht="15.75" customHeight="1">
      <c r="G399" s="104" t="s">
        <v>1020</v>
      </c>
    </row>
    <row r="400" spans="7:7" ht="15.75" customHeight="1">
      <c r="G400" s="104" t="s">
        <v>1021</v>
      </c>
    </row>
    <row r="401" spans="7:7" ht="15.75" customHeight="1">
      <c r="G401" s="104" t="s">
        <v>1022</v>
      </c>
    </row>
    <row r="402" spans="7:7" ht="15.75" customHeight="1">
      <c r="G402" s="104" t="s">
        <v>1023</v>
      </c>
    </row>
    <row r="403" spans="7:7" ht="15.75" customHeight="1">
      <c r="G403" s="104" t="s">
        <v>1024</v>
      </c>
    </row>
    <row r="404" spans="7:7" ht="15.75" customHeight="1">
      <c r="G404" s="104" t="s">
        <v>1025</v>
      </c>
    </row>
    <row r="405" spans="7:7" ht="15.75" customHeight="1">
      <c r="G405" s="104" t="s">
        <v>1026</v>
      </c>
    </row>
    <row r="406" spans="7:7" ht="15.75" customHeight="1">
      <c r="G406" s="104" t="s">
        <v>1027</v>
      </c>
    </row>
    <row r="407" spans="7:7" ht="15.75" customHeight="1">
      <c r="G407" s="104" t="s">
        <v>1028</v>
      </c>
    </row>
    <row r="408" spans="7:7" ht="15.75" customHeight="1">
      <c r="G408" s="104" t="s">
        <v>1029</v>
      </c>
    </row>
    <row r="409" spans="7:7" ht="15.75" customHeight="1">
      <c r="G409" s="104" t="s">
        <v>1030</v>
      </c>
    </row>
    <row r="410" spans="7:7" ht="15.75" customHeight="1">
      <c r="G410" s="104" t="s">
        <v>1031</v>
      </c>
    </row>
    <row r="411" spans="7:7" ht="15.75" customHeight="1">
      <c r="G411" s="104" t="s">
        <v>1032</v>
      </c>
    </row>
    <row r="412" spans="7:7" ht="15.75" customHeight="1">
      <c r="G412" s="104" t="s">
        <v>1033</v>
      </c>
    </row>
    <row r="413" spans="7:7" ht="15.75" customHeight="1">
      <c r="G413" s="104" t="s">
        <v>1034</v>
      </c>
    </row>
    <row r="414" spans="7:7" ht="15.75" customHeight="1">
      <c r="G414" s="104" t="s">
        <v>1035</v>
      </c>
    </row>
    <row r="415" spans="7:7" ht="15.75" customHeight="1">
      <c r="G415" s="104" t="s">
        <v>1036</v>
      </c>
    </row>
    <row r="416" spans="7:7" ht="15.75" customHeight="1">
      <c r="G416" s="104" t="s">
        <v>1037</v>
      </c>
    </row>
    <row r="417" spans="7:7" ht="15.75" customHeight="1">
      <c r="G417" s="104" t="s">
        <v>1038</v>
      </c>
    </row>
    <row r="418" spans="7:7" ht="15.75" customHeight="1">
      <c r="G418" s="104" t="s">
        <v>1039</v>
      </c>
    </row>
    <row r="419" spans="7:7" ht="15.75" customHeight="1">
      <c r="G419" s="104" t="s">
        <v>1040</v>
      </c>
    </row>
    <row r="420" spans="7:7" ht="15.75" customHeight="1">
      <c r="G420" s="104" t="s">
        <v>1041</v>
      </c>
    </row>
    <row r="421" spans="7:7" ht="15.75" customHeight="1">
      <c r="G421" s="104" t="s">
        <v>1042</v>
      </c>
    </row>
    <row r="422" spans="7:7" ht="15.75" customHeight="1">
      <c r="G422" s="104" t="s">
        <v>1043</v>
      </c>
    </row>
    <row r="423" spans="7:7" ht="15.75" customHeight="1">
      <c r="G423" s="104" t="s">
        <v>1044</v>
      </c>
    </row>
    <row r="424" spans="7:7" ht="15.75" customHeight="1">
      <c r="G424" s="104" t="s">
        <v>1045</v>
      </c>
    </row>
    <row r="425" spans="7:7" ht="15.75" customHeight="1">
      <c r="G425" s="104" t="s">
        <v>1046</v>
      </c>
    </row>
    <row r="426" spans="7:7" ht="15.75" customHeight="1">
      <c r="G426" s="104" t="s">
        <v>1047</v>
      </c>
    </row>
    <row r="427" spans="7:7" ht="15.75" customHeight="1">
      <c r="G427" s="104" t="s">
        <v>1048</v>
      </c>
    </row>
    <row r="428" spans="7:7" ht="15.75" customHeight="1">
      <c r="G428" s="104" t="s">
        <v>1049</v>
      </c>
    </row>
    <row r="429" spans="7:7" ht="15.75" customHeight="1">
      <c r="G429" s="104" t="s">
        <v>1050</v>
      </c>
    </row>
    <row r="430" spans="7:7" ht="15.75" customHeight="1">
      <c r="G430" s="104" t="s">
        <v>1051</v>
      </c>
    </row>
    <row r="431" spans="7:7" ht="15.75" customHeight="1">
      <c r="G431" s="104" t="s">
        <v>1052</v>
      </c>
    </row>
    <row r="432" spans="7:7" ht="15.75" customHeight="1">
      <c r="G432" s="104" t="s">
        <v>1053</v>
      </c>
    </row>
    <row r="433" spans="7:7" ht="15.75" customHeight="1">
      <c r="G433" s="104" t="s">
        <v>1054</v>
      </c>
    </row>
    <row r="434" spans="7:7" ht="15.75" customHeight="1">
      <c r="G434" s="104" t="s">
        <v>1055</v>
      </c>
    </row>
    <row r="435" spans="7:7" ht="15.75" customHeight="1">
      <c r="G435" s="104" t="s">
        <v>1056</v>
      </c>
    </row>
    <row r="436" spans="7:7" ht="15.75" customHeight="1">
      <c r="G436" s="104" t="s">
        <v>1057</v>
      </c>
    </row>
    <row r="437" spans="7:7" ht="15.75" customHeight="1">
      <c r="G437" s="104" t="s">
        <v>1058</v>
      </c>
    </row>
    <row r="438" spans="7:7" ht="15.75" customHeight="1">
      <c r="G438" s="104" t="s">
        <v>1059</v>
      </c>
    </row>
    <row r="439" spans="7:7" ht="15.75" customHeight="1">
      <c r="G439" s="104" t="s">
        <v>1060</v>
      </c>
    </row>
    <row r="440" spans="7:7" ht="15.75" customHeight="1">
      <c r="G440" s="104" t="s">
        <v>1061</v>
      </c>
    </row>
    <row r="441" spans="7:7" ht="15.75" customHeight="1">
      <c r="G441" s="104" t="s">
        <v>1062</v>
      </c>
    </row>
    <row r="442" spans="7:7" ht="15.75" customHeight="1">
      <c r="G442" s="104" t="s">
        <v>1063</v>
      </c>
    </row>
    <row r="443" spans="7:7" ht="15.75" customHeight="1">
      <c r="G443" s="104" t="s">
        <v>1064</v>
      </c>
    </row>
    <row r="444" spans="7:7" ht="15.75" customHeight="1">
      <c r="G444" s="104" t="s">
        <v>1065</v>
      </c>
    </row>
    <row r="445" spans="7:7" ht="15.75" customHeight="1">
      <c r="G445" s="104" t="s">
        <v>1066</v>
      </c>
    </row>
    <row r="446" spans="7:7" ht="15.75" customHeight="1">
      <c r="G446" s="104" t="s">
        <v>1067</v>
      </c>
    </row>
    <row r="447" spans="7:7" ht="15.75" customHeight="1">
      <c r="G447" s="104" t="s">
        <v>1068</v>
      </c>
    </row>
    <row r="448" spans="7:7" ht="15.75" customHeight="1">
      <c r="G448" s="104" t="s">
        <v>1069</v>
      </c>
    </row>
    <row r="449" spans="7:7" ht="15.75" customHeight="1">
      <c r="G449" s="104" t="s">
        <v>1070</v>
      </c>
    </row>
    <row r="450" spans="7:7" ht="15.75" customHeight="1">
      <c r="G450" s="104" t="s">
        <v>1071</v>
      </c>
    </row>
    <row r="451" spans="7:7" ht="15.75" customHeight="1">
      <c r="G451" s="104" t="s">
        <v>1072</v>
      </c>
    </row>
    <row r="452" spans="7:7" ht="15.75" customHeight="1">
      <c r="G452" s="104" t="s">
        <v>1073</v>
      </c>
    </row>
    <row r="453" spans="7:7" ht="15.75" customHeight="1">
      <c r="G453" s="104" t="s">
        <v>1074</v>
      </c>
    </row>
    <row r="454" spans="7:7" ht="15.75" customHeight="1">
      <c r="G454" s="104" t="s">
        <v>1075</v>
      </c>
    </row>
    <row r="455" spans="7:7" ht="15.75" customHeight="1">
      <c r="G455" s="104" t="s">
        <v>1076</v>
      </c>
    </row>
    <row r="456" spans="7:7" ht="15.75" customHeight="1">
      <c r="G456" s="104" t="s">
        <v>1077</v>
      </c>
    </row>
    <row r="457" spans="7:7" ht="15.75" customHeight="1">
      <c r="G457" s="104" t="s">
        <v>1078</v>
      </c>
    </row>
    <row r="458" spans="7:7" ht="15.75" customHeight="1">
      <c r="G458" s="104" t="s">
        <v>1079</v>
      </c>
    </row>
    <row r="459" spans="7:7" ht="15.75" customHeight="1">
      <c r="G459" s="104" t="s">
        <v>1080</v>
      </c>
    </row>
    <row r="460" spans="7:7" ht="15.75" customHeight="1">
      <c r="G460" s="104" t="s">
        <v>1081</v>
      </c>
    </row>
    <row r="461" spans="7:7" ht="15.75" customHeight="1">
      <c r="G461" s="104" t="s">
        <v>1082</v>
      </c>
    </row>
    <row r="462" spans="7:7" ht="15.75" customHeight="1">
      <c r="G462" s="104" t="s">
        <v>1083</v>
      </c>
    </row>
    <row r="463" spans="7:7" ht="15.75" customHeight="1">
      <c r="G463" s="104" t="s">
        <v>1084</v>
      </c>
    </row>
    <row r="464" spans="7:7" ht="15.75" customHeight="1">
      <c r="G464" s="104" t="s">
        <v>1085</v>
      </c>
    </row>
    <row r="465" spans="7:7" ht="15.75" customHeight="1">
      <c r="G465" s="104" t="s">
        <v>1086</v>
      </c>
    </row>
    <row r="466" spans="7:7" ht="15.75" customHeight="1">
      <c r="G466" s="104" t="s">
        <v>1087</v>
      </c>
    </row>
    <row r="467" spans="7:7" ht="15.75" customHeight="1">
      <c r="G467" s="104" t="s">
        <v>1088</v>
      </c>
    </row>
    <row r="468" spans="7:7" ht="15.75" customHeight="1">
      <c r="G468" s="104" t="s">
        <v>1089</v>
      </c>
    </row>
    <row r="469" spans="7:7" ht="15.75" customHeight="1">
      <c r="G469" s="104" t="s">
        <v>1090</v>
      </c>
    </row>
    <row r="470" spans="7:7" ht="15.75" customHeight="1">
      <c r="G470" s="104" t="s">
        <v>1091</v>
      </c>
    </row>
    <row r="471" spans="7:7" ht="15.75" customHeight="1">
      <c r="G471" s="104" t="s">
        <v>1092</v>
      </c>
    </row>
    <row r="472" spans="7:7" ht="15.75" customHeight="1">
      <c r="G472" s="104" t="s">
        <v>1093</v>
      </c>
    </row>
    <row r="473" spans="7:7" ht="15.75" customHeight="1">
      <c r="G473" s="104" t="s">
        <v>1094</v>
      </c>
    </row>
    <row r="474" spans="7:7" ht="15.75" customHeight="1">
      <c r="G474" s="104" t="s">
        <v>1095</v>
      </c>
    </row>
    <row r="475" spans="7:7" ht="15.75" customHeight="1">
      <c r="G475" s="104" t="s">
        <v>1096</v>
      </c>
    </row>
    <row r="476" spans="7:7" ht="15.75" customHeight="1">
      <c r="G476" s="104" t="s">
        <v>1097</v>
      </c>
    </row>
    <row r="477" spans="7:7" ht="15.75" customHeight="1">
      <c r="G477" s="104" t="s">
        <v>1098</v>
      </c>
    </row>
    <row r="478" spans="7:7" ht="15.75" customHeight="1">
      <c r="G478" s="104" t="s">
        <v>1099</v>
      </c>
    </row>
    <row r="479" spans="7:7" ht="15.75" customHeight="1">
      <c r="G479" s="104" t="s">
        <v>1100</v>
      </c>
    </row>
    <row r="480" spans="7:7" ht="15.75" customHeight="1">
      <c r="G480" s="104" t="s">
        <v>1101</v>
      </c>
    </row>
    <row r="481" spans="7:7" ht="15.75" customHeight="1">
      <c r="G481" s="104" t="s">
        <v>1102</v>
      </c>
    </row>
    <row r="482" spans="7:7" ht="15.75" customHeight="1">
      <c r="G482" s="104" t="s">
        <v>1103</v>
      </c>
    </row>
    <row r="483" spans="7:7" ht="15.75" customHeight="1">
      <c r="G483" s="104" t="s">
        <v>1104</v>
      </c>
    </row>
    <row r="484" spans="7:7" ht="15.75" customHeight="1"/>
    <row r="485" spans="7:7" ht="15.75" customHeight="1"/>
    <row r="486" spans="7:7" ht="15.75" customHeight="1"/>
    <row r="487" spans="7:7" ht="15.75" customHeight="1"/>
    <row r="488" spans="7:7" ht="15.75" customHeight="1"/>
    <row r="489" spans="7:7" ht="15.75" customHeight="1"/>
    <row r="490" spans="7:7" ht="15.75" customHeight="1"/>
    <row r="491" spans="7:7" ht="15.75" customHeight="1"/>
    <row r="492" spans="7:7" ht="15.75" customHeight="1"/>
    <row r="493" spans="7:7" ht="15.75" customHeight="1"/>
    <row r="494" spans="7:7" ht="15.75" customHeight="1"/>
    <row r="495" spans="7:7" ht="15.75" customHeight="1"/>
    <row r="496" spans="7:7"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0"/>
  <sheetViews>
    <sheetView workbookViewId="0"/>
  </sheetViews>
  <sheetFormatPr defaultColWidth="14.453125" defaultRowHeight="15" customHeight="1"/>
  <cols>
    <col min="1" max="4" width="155.54296875" customWidth="1"/>
    <col min="5" max="5" width="87.1796875" customWidth="1"/>
    <col min="6" max="9" width="112.1796875" customWidth="1"/>
    <col min="10" max="10" width="100.54296875" customWidth="1"/>
    <col min="11" max="11" width="112.1796875" customWidth="1"/>
    <col min="12" max="12" width="113.54296875" customWidth="1"/>
  </cols>
  <sheetData>
    <row r="1" spans="1:12" ht="14.5">
      <c r="A1" s="99" t="str">
        <f>CONCATENATE("Bienes_",'FORMATO 2'!$F$20,"_",'FORMATO 2'!$F$23)</f>
        <v>Bienes_Solar_Fotovoltaica</v>
      </c>
    </row>
    <row r="3" spans="1:12" ht="14.5">
      <c r="A3" s="108" t="s">
        <v>1105</v>
      </c>
      <c r="B3" s="108" t="s">
        <v>1106</v>
      </c>
      <c r="C3" s="108" t="s">
        <v>1107</v>
      </c>
      <c r="D3" s="108" t="s">
        <v>1108</v>
      </c>
      <c r="E3" s="108" t="s">
        <v>1109</v>
      </c>
      <c r="F3" s="108" t="s">
        <v>1110</v>
      </c>
      <c r="G3" s="108" t="s">
        <v>1111</v>
      </c>
      <c r="H3" s="108" t="s">
        <v>1112</v>
      </c>
      <c r="I3" s="108" t="s">
        <v>1113</v>
      </c>
      <c r="J3" s="108" t="s">
        <v>1114</v>
      </c>
      <c r="K3" s="108" t="s">
        <v>1115</v>
      </c>
      <c r="L3" s="108" t="s">
        <v>1116</v>
      </c>
    </row>
    <row r="4" spans="1:12" ht="14.5">
      <c r="A4" s="99" t="s">
        <v>1117</v>
      </c>
      <c r="B4" s="99" t="s">
        <v>1118</v>
      </c>
      <c r="C4" s="99" t="s">
        <v>1119</v>
      </c>
      <c r="D4" s="99" t="s">
        <v>1120</v>
      </c>
      <c r="E4" s="99" t="s">
        <v>1121</v>
      </c>
      <c r="F4" s="99" t="s">
        <v>1122</v>
      </c>
      <c r="G4" s="99" t="s">
        <v>1123</v>
      </c>
      <c r="H4" s="99" t="s">
        <v>1123</v>
      </c>
      <c r="I4" s="99" t="s">
        <v>1123</v>
      </c>
      <c r="J4" s="99" t="s">
        <v>1124</v>
      </c>
      <c r="K4" s="99" t="s">
        <v>1124</v>
      </c>
      <c r="L4" s="99" t="s">
        <v>1125</v>
      </c>
    </row>
    <row r="5" spans="1:12" ht="14.5">
      <c r="A5" s="99" t="s">
        <v>1126</v>
      </c>
      <c r="B5" s="99" t="s">
        <v>1127</v>
      </c>
      <c r="C5" s="99" t="s">
        <v>1128</v>
      </c>
      <c r="D5" s="99" t="s">
        <v>1129</v>
      </c>
      <c r="E5" s="99" t="s">
        <v>1130</v>
      </c>
      <c r="F5" s="99" t="s">
        <v>1131</v>
      </c>
      <c r="G5" s="99" t="s">
        <v>1132</v>
      </c>
      <c r="H5" s="99" t="s">
        <v>1132</v>
      </c>
      <c r="I5" s="99" t="s">
        <v>1132</v>
      </c>
      <c r="J5" s="99" t="s">
        <v>1133</v>
      </c>
      <c r="K5" s="99" t="s">
        <v>1133</v>
      </c>
      <c r="L5" s="99" t="s">
        <v>152</v>
      </c>
    </row>
    <row r="6" spans="1:12" ht="14.5">
      <c r="A6" s="99" t="s">
        <v>1134</v>
      </c>
      <c r="B6" s="99" t="s">
        <v>1135</v>
      </c>
      <c r="C6" s="99" t="s">
        <v>1136</v>
      </c>
      <c r="D6" s="99" t="s">
        <v>1137</v>
      </c>
      <c r="E6" s="99" t="s">
        <v>1138</v>
      </c>
      <c r="F6" s="99" t="s">
        <v>1139</v>
      </c>
      <c r="G6" s="99" t="s">
        <v>1140</v>
      </c>
      <c r="H6" s="99" t="s">
        <v>1140</v>
      </c>
      <c r="I6" s="99" t="s">
        <v>1140</v>
      </c>
      <c r="J6" s="99" t="s">
        <v>1141</v>
      </c>
      <c r="K6" s="99" t="s">
        <v>1141</v>
      </c>
      <c r="L6" s="99" t="s">
        <v>230</v>
      </c>
    </row>
    <row r="7" spans="1:12" ht="14.5">
      <c r="A7" s="99" t="s">
        <v>1142</v>
      </c>
      <c r="B7" s="99" t="s">
        <v>1143</v>
      </c>
      <c r="C7" s="99" t="s">
        <v>1144</v>
      </c>
      <c r="D7" s="99" t="s">
        <v>1145</v>
      </c>
      <c r="E7" s="99" t="s">
        <v>1146</v>
      </c>
      <c r="F7" s="99" t="s">
        <v>1147</v>
      </c>
      <c r="G7" s="99" t="s">
        <v>1148</v>
      </c>
      <c r="H7" s="99" t="s">
        <v>1148</v>
      </c>
      <c r="I7" s="99" t="s">
        <v>1148</v>
      </c>
      <c r="J7" s="99" t="s">
        <v>1149</v>
      </c>
      <c r="K7" s="99" t="s">
        <v>1149</v>
      </c>
      <c r="L7" s="99" t="s">
        <v>1150</v>
      </c>
    </row>
    <row r="8" spans="1:12" ht="14.5">
      <c r="A8" s="99" t="s">
        <v>1151</v>
      </c>
      <c r="B8" s="99" t="s">
        <v>164</v>
      </c>
      <c r="C8" s="99" t="s">
        <v>1152</v>
      </c>
      <c r="D8" s="99" t="s">
        <v>1153</v>
      </c>
      <c r="E8" s="99" t="s">
        <v>1154</v>
      </c>
      <c r="F8" s="99" t="s">
        <v>1155</v>
      </c>
      <c r="G8" s="99" t="s">
        <v>1156</v>
      </c>
      <c r="H8" s="99" t="s">
        <v>1156</v>
      </c>
      <c r="I8" s="99" t="s">
        <v>1156</v>
      </c>
      <c r="J8" s="99" t="s">
        <v>1157</v>
      </c>
      <c r="K8" s="99" t="s">
        <v>1157</v>
      </c>
      <c r="L8" s="99" t="s">
        <v>164</v>
      </c>
    </row>
    <row r="9" spans="1:12" ht="14.5">
      <c r="A9" s="99" t="s">
        <v>1158</v>
      </c>
      <c r="B9" s="99" t="s">
        <v>1145</v>
      </c>
      <c r="C9" s="99" t="s">
        <v>1157</v>
      </c>
      <c r="D9" s="99" t="s">
        <v>1159</v>
      </c>
      <c r="E9" s="99" t="s">
        <v>1160</v>
      </c>
      <c r="F9" s="99" t="s">
        <v>1161</v>
      </c>
      <c r="G9" s="99" t="s">
        <v>1162</v>
      </c>
      <c r="H9" s="99" t="s">
        <v>1162</v>
      </c>
      <c r="I9" s="99" t="s">
        <v>1162</v>
      </c>
      <c r="J9" s="99" t="s">
        <v>1163</v>
      </c>
      <c r="K9" s="99" t="s">
        <v>1163</v>
      </c>
      <c r="L9" s="99" t="s">
        <v>1164</v>
      </c>
    </row>
    <row r="10" spans="1:12" ht="14.5">
      <c r="A10" s="99" t="s">
        <v>1165</v>
      </c>
      <c r="B10" s="99" t="s">
        <v>1153</v>
      </c>
      <c r="C10" s="99" t="s">
        <v>1166</v>
      </c>
      <c r="D10" s="99" t="s">
        <v>287</v>
      </c>
      <c r="E10" s="99" t="s">
        <v>1167</v>
      </c>
      <c r="F10" s="99" t="s">
        <v>1150</v>
      </c>
      <c r="G10" s="99" t="s">
        <v>1168</v>
      </c>
      <c r="H10" s="99" t="s">
        <v>1168</v>
      </c>
      <c r="I10" s="99" t="s">
        <v>1168</v>
      </c>
      <c r="J10" s="99" t="s">
        <v>1169</v>
      </c>
      <c r="K10" s="99" t="s">
        <v>1169</v>
      </c>
      <c r="L10" s="99" t="s">
        <v>1170</v>
      </c>
    </row>
    <row r="11" spans="1:12" ht="14.5">
      <c r="A11" s="99" t="s">
        <v>1132</v>
      </c>
      <c r="B11" s="99" t="s">
        <v>1159</v>
      </c>
      <c r="C11" s="99" t="s">
        <v>1171</v>
      </c>
      <c r="D11" s="99" t="s">
        <v>296</v>
      </c>
      <c r="E11" s="99" t="s">
        <v>1172</v>
      </c>
      <c r="F11" s="99" t="s">
        <v>1173</v>
      </c>
      <c r="G11" s="99" t="s">
        <v>1174</v>
      </c>
      <c r="H11" s="99" t="s">
        <v>1174</v>
      </c>
      <c r="I11" s="99" t="s">
        <v>1174</v>
      </c>
      <c r="J11" s="99" t="s">
        <v>1175</v>
      </c>
      <c r="K11" s="99" t="s">
        <v>1175</v>
      </c>
      <c r="L11" s="99" t="s">
        <v>1176</v>
      </c>
    </row>
    <row r="12" spans="1:12" ht="14.5">
      <c r="A12" s="99" t="s">
        <v>1177</v>
      </c>
      <c r="B12" s="99" t="s">
        <v>287</v>
      </c>
      <c r="C12" s="99" t="s">
        <v>1178</v>
      </c>
      <c r="D12" s="99" t="s">
        <v>304</v>
      </c>
      <c r="E12" s="99" t="s">
        <v>1179</v>
      </c>
      <c r="F12" s="99" t="s">
        <v>164</v>
      </c>
      <c r="G12" s="99" t="s">
        <v>1149</v>
      </c>
      <c r="H12" s="99" t="s">
        <v>1149</v>
      </c>
      <c r="I12" s="99" t="s">
        <v>1149</v>
      </c>
      <c r="J12" s="99" t="s">
        <v>1167</v>
      </c>
      <c r="K12" s="99" t="s">
        <v>1167</v>
      </c>
      <c r="L12" s="99" t="s">
        <v>1180</v>
      </c>
    </row>
    <row r="13" spans="1:12" ht="14.5">
      <c r="A13" s="99" t="s">
        <v>1166</v>
      </c>
      <c r="B13" s="99" t="s">
        <v>296</v>
      </c>
      <c r="C13" s="99" t="s">
        <v>1181</v>
      </c>
      <c r="D13" s="99" t="s">
        <v>1182</v>
      </c>
      <c r="E13" s="99" t="s">
        <v>1183</v>
      </c>
      <c r="F13" s="99" t="s">
        <v>1184</v>
      </c>
      <c r="G13" s="99" t="s">
        <v>1167</v>
      </c>
      <c r="H13" s="99" t="s">
        <v>1167</v>
      </c>
      <c r="I13" s="99" t="s">
        <v>1167</v>
      </c>
      <c r="J13" s="99" t="s">
        <v>1185</v>
      </c>
      <c r="K13" s="99" t="s">
        <v>1185</v>
      </c>
      <c r="L13" s="99" t="s">
        <v>1186</v>
      </c>
    </row>
    <row r="14" spans="1:12" ht="14.5">
      <c r="A14" s="99" t="s">
        <v>1187</v>
      </c>
      <c r="B14" s="99" t="s">
        <v>304</v>
      </c>
      <c r="C14" s="99" t="s">
        <v>164</v>
      </c>
      <c r="D14" s="99" t="s">
        <v>1188</v>
      </c>
      <c r="E14" s="99" t="s">
        <v>1189</v>
      </c>
      <c r="F14" s="99" t="s">
        <v>1190</v>
      </c>
      <c r="G14" s="99" t="s">
        <v>1191</v>
      </c>
      <c r="H14" s="99" t="s">
        <v>1191</v>
      </c>
      <c r="I14" s="99" t="s">
        <v>1191</v>
      </c>
      <c r="J14" s="99" t="s">
        <v>1192</v>
      </c>
      <c r="K14" s="99" t="s">
        <v>1192</v>
      </c>
      <c r="L14" s="99" t="s">
        <v>1193</v>
      </c>
    </row>
    <row r="15" spans="1:12" ht="14.5">
      <c r="A15" s="99" t="s">
        <v>1194</v>
      </c>
      <c r="B15" s="99" t="s">
        <v>1182</v>
      </c>
      <c r="C15" s="99" t="s">
        <v>1145</v>
      </c>
      <c r="D15" s="99" t="s">
        <v>1195</v>
      </c>
      <c r="E15" s="99" t="s">
        <v>1196</v>
      </c>
      <c r="F15" s="99" t="s">
        <v>1197</v>
      </c>
      <c r="G15" s="99" t="s">
        <v>1198</v>
      </c>
      <c r="H15" s="99" t="s">
        <v>1198</v>
      </c>
      <c r="I15" s="99" t="s">
        <v>1198</v>
      </c>
      <c r="J15" s="99" t="s">
        <v>1199</v>
      </c>
      <c r="K15" s="99" t="s">
        <v>1199</v>
      </c>
      <c r="L15" s="99" t="s">
        <v>1200</v>
      </c>
    </row>
    <row r="16" spans="1:12" ht="14.5">
      <c r="A16" s="99" t="s">
        <v>1201</v>
      </c>
      <c r="B16" s="99" t="s">
        <v>1188</v>
      </c>
      <c r="C16" s="99" t="s">
        <v>1153</v>
      </c>
      <c r="D16" s="99" t="s">
        <v>322</v>
      </c>
      <c r="E16" s="99" t="s">
        <v>1202</v>
      </c>
      <c r="F16" s="99" t="s">
        <v>164</v>
      </c>
      <c r="G16" s="99" t="s">
        <v>1203</v>
      </c>
      <c r="H16" s="99" t="s">
        <v>1203</v>
      </c>
      <c r="I16" s="99" t="s">
        <v>1203</v>
      </c>
      <c r="J16" s="99" t="s">
        <v>164</v>
      </c>
      <c r="K16" s="99" t="s">
        <v>164</v>
      </c>
      <c r="L16" s="99" t="s">
        <v>1204</v>
      </c>
    </row>
    <row r="17" spans="1:12" ht="14.5">
      <c r="A17" s="99" t="s">
        <v>1205</v>
      </c>
      <c r="B17" s="99" t="s">
        <v>1195</v>
      </c>
      <c r="C17" s="99" t="s">
        <v>1159</v>
      </c>
      <c r="D17" s="99" t="s">
        <v>339</v>
      </c>
      <c r="E17" s="99" t="s">
        <v>1206</v>
      </c>
      <c r="F17" s="99" t="s">
        <v>287</v>
      </c>
      <c r="G17" s="99" t="s">
        <v>1207</v>
      </c>
      <c r="H17" s="99" t="s">
        <v>1207</v>
      </c>
      <c r="I17" s="99" t="s">
        <v>1207</v>
      </c>
      <c r="J17" s="99" t="s">
        <v>287</v>
      </c>
      <c r="K17" s="99" t="s">
        <v>287</v>
      </c>
      <c r="L17" s="99" t="s">
        <v>237</v>
      </c>
    </row>
    <row r="18" spans="1:12" ht="14.5">
      <c r="A18" s="99" t="s">
        <v>1208</v>
      </c>
      <c r="B18" s="99" t="s">
        <v>322</v>
      </c>
      <c r="C18" s="99" t="s">
        <v>287</v>
      </c>
      <c r="D18" s="99" t="s">
        <v>361</v>
      </c>
      <c r="E18" s="99" t="s">
        <v>1209</v>
      </c>
      <c r="F18" s="99" t="s">
        <v>296</v>
      </c>
      <c r="G18" s="99" t="s">
        <v>1210</v>
      </c>
      <c r="H18" s="99" t="s">
        <v>1210</v>
      </c>
      <c r="I18" s="99" t="s">
        <v>1210</v>
      </c>
      <c r="J18" s="99" t="s">
        <v>296</v>
      </c>
      <c r="K18" s="99" t="s">
        <v>296</v>
      </c>
      <c r="L18" s="99" t="s">
        <v>1211</v>
      </c>
    </row>
    <row r="19" spans="1:12" ht="14.5">
      <c r="A19" s="99" t="s">
        <v>164</v>
      </c>
      <c r="B19" s="99" t="s">
        <v>339</v>
      </c>
      <c r="C19" s="99" t="s">
        <v>296</v>
      </c>
      <c r="D19" s="99" t="s">
        <v>403</v>
      </c>
      <c r="E19" s="99" t="s">
        <v>1212</v>
      </c>
      <c r="F19" s="99" t="s">
        <v>304</v>
      </c>
      <c r="G19" s="99" t="s">
        <v>1213</v>
      </c>
      <c r="H19" s="99" t="s">
        <v>1213</v>
      </c>
      <c r="I19" s="99" t="s">
        <v>1213</v>
      </c>
      <c r="J19" s="99" t="s">
        <v>304</v>
      </c>
      <c r="K19" s="99" t="s">
        <v>304</v>
      </c>
      <c r="L19" s="99" t="s">
        <v>1214</v>
      </c>
    </row>
    <row r="20" spans="1:12" ht="14.5">
      <c r="A20" s="99" t="s">
        <v>1145</v>
      </c>
      <c r="B20" s="99" t="s">
        <v>361</v>
      </c>
      <c r="C20" s="99" t="s">
        <v>304</v>
      </c>
      <c r="D20" s="99" t="s">
        <v>1215</v>
      </c>
      <c r="E20" s="99" t="s">
        <v>1216</v>
      </c>
      <c r="F20" s="99" t="s">
        <v>1182</v>
      </c>
      <c r="G20" s="99" t="s">
        <v>1217</v>
      </c>
      <c r="H20" s="99" t="s">
        <v>1217</v>
      </c>
      <c r="I20" s="99" t="s">
        <v>1217</v>
      </c>
      <c r="J20" s="99" t="s">
        <v>1182</v>
      </c>
      <c r="K20" s="99" t="s">
        <v>1182</v>
      </c>
      <c r="L20" s="99" t="s">
        <v>1218</v>
      </c>
    </row>
    <row r="21" spans="1:12" ht="15.75" customHeight="1">
      <c r="A21" s="99" t="s">
        <v>1153</v>
      </c>
      <c r="B21" s="99" t="s">
        <v>403</v>
      </c>
      <c r="C21" s="99" t="s">
        <v>1182</v>
      </c>
      <c r="D21" s="99" t="s">
        <v>1219</v>
      </c>
      <c r="E21" s="99" t="s">
        <v>1203</v>
      </c>
      <c r="F21" s="99" t="s">
        <v>1188</v>
      </c>
      <c r="G21" s="99" t="s">
        <v>1220</v>
      </c>
      <c r="H21" s="99" t="s">
        <v>1220</v>
      </c>
      <c r="I21" s="99" t="s">
        <v>1220</v>
      </c>
      <c r="J21" s="99" t="s">
        <v>1188</v>
      </c>
      <c r="K21" s="99" t="s">
        <v>1188</v>
      </c>
      <c r="L21" s="99" t="s">
        <v>164</v>
      </c>
    </row>
    <row r="22" spans="1:12" ht="15.75" customHeight="1">
      <c r="A22" s="99" t="s">
        <v>1159</v>
      </c>
      <c r="B22" s="99" t="s">
        <v>1215</v>
      </c>
      <c r="C22" s="99" t="s">
        <v>1188</v>
      </c>
      <c r="D22" s="99" t="s">
        <v>1221</v>
      </c>
      <c r="E22" s="99" t="s">
        <v>1222</v>
      </c>
      <c r="F22" s="99" t="s">
        <v>1195</v>
      </c>
      <c r="G22" s="99" t="s">
        <v>1223</v>
      </c>
      <c r="H22" s="99" t="s">
        <v>1223</v>
      </c>
      <c r="I22" s="99" t="s">
        <v>1223</v>
      </c>
      <c r="J22" s="99" t="s">
        <v>1195</v>
      </c>
      <c r="K22" s="99" t="s">
        <v>1195</v>
      </c>
      <c r="L22" s="99" t="s">
        <v>287</v>
      </c>
    </row>
    <row r="23" spans="1:12" ht="15.75" customHeight="1">
      <c r="A23" s="99" t="s">
        <v>287</v>
      </c>
      <c r="B23" s="99" t="s">
        <v>1219</v>
      </c>
      <c r="C23" s="99" t="s">
        <v>1195</v>
      </c>
      <c r="D23" s="99" t="s">
        <v>255</v>
      </c>
      <c r="E23" s="99" t="s">
        <v>1224</v>
      </c>
      <c r="F23" s="99" t="s">
        <v>322</v>
      </c>
      <c r="G23" s="99" t="s">
        <v>1225</v>
      </c>
      <c r="H23" s="99" t="s">
        <v>1225</v>
      </c>
      <c r="I23" s="99" t="s">
        <v>1225</v>
      </c>
      <c r="J23" s="99" t="s">
        <v>322</v>
      </c>
      <c r="K23" s="99" t="s">
        <v>322</v>
      </c>
      <c r="L23" s="99" t="s">
        <v>296</v>
      </c>
    </row>
    <row r="24" spans="1:12" ht="15.75" customHeight="1">
      <c r="A24" s="99" t="s">
        <v>296</v>
      </c>
      <c r="B24" s="99" t="s">
        <v>1221</v>
      </c>
      <c r="C24" s="99" t="s">
        <v>322</v>
      </c>
      <c r="D24" s="99" t="s">
        <v>1226</v>
      </c>
      <c r="E24" s="99" t="s">
        <v>1227</v>
      </c>
      <c r="F24" s="99" t="s">
        <v>339</v>
      </c>
      <c r="G24" s="99" t="s">
        <v>1228</v>
      </c>
      <c r="H24" s="99" t="s">
        <v>1228</v>
      </c>
      <c r="I24" s="99" t="s">
        <v>1228</v>
      </c>
      <c r="J24" s="99" t="s">
        <v>339</v>
      </c>
      <c r="K24" s="99" t="s">
        <v>339</v>
      </c>
      <c r="L24" s="99" t="s">
        <v>304</v>
      </c>
    </row>
    <row r="25" spans="1:12" ht="15.75" customHeight="1">
      <c r="A25" s="99" t="s">
        <v>304</v>
      </c>
      <c r="B25" s="99" t="s">
        <v>255</v>
      </c>
      <c r="C25" s="99" t="s">
        <v>339</v>
      </c>
      <c r="D25" s="99" t="s">
        <v>483</v>
      </c>
      <c r="E25" s="99" t="s">
        <v>1229</v>
      </c>
      <c r="F25" s="99" t="s">
        <v>361</v>
      </c>
      <c r="G25" s="99" t="s">
        <v>164</v>
      </c>
      <c r="H25" s="99" t="s">
        <v>164</v>
      </c>
      <c r="I25" s="99" t="s">
        <v>164</v>
      </c>
      <c r="J25" s="99" t="s">
        <v>361</v>
      </c>
      <c r="K25" s="99" t="s">
        <v>361</v>
      </c>
      <c r="L25" s="99" t="s">
        <v>1182</v>
      </c>
    </row>
    <row r="26" spans="1:12" ht="15.75" customHeight="1">
      <c r="A26" s="99" t="s">
        <v>1182</v>
      </c>
      <c r="B26" s="99" t="s">
        <v>1226</v>
      </c>
      <c r="C26" s="99" t="s">
        <v>361</v>
      </c>
      <c r="D26" s="99" t="s">
        <v>1230</v>
      </c>
      <c r="E26" s="99" t="s">
        <v>164</v>
      </c>
      <c r="F26" s="99" t="s">
        <v>403</v>
      </c>
      <c r="G26" s="99" t="s">
        <v>1231</v>
      </c>
      <c r="H26" s="99" t="s">
        <v>1231</v>
      </c>
      <c r="I26" s="99" t="s">
        <v>1231</v>
      </c>
      <c r="J26" s="99" t="s">
        <v>403</v>
      </c>
      <c r="K26" s="99" t="s">
        <v>403</v>
      </c>
      <c r="L26" s="99" t="s">
        <v>1188</v>
      </c>
    </row>
    <row r="27" spans="1:12" ht="15.75" customHeight="1">
      <c r="A27" s="99" t="s">
        <v>1188</v>
      </c>
      <c r="B27" s="99" t="s">
        <v>483</v>
      </c>
      <c r="C27" s="99" t="s">
        <v>403</v>
      </c>
      <c r="D27" s="99" t="s">
        <v>444</v>
      </c>
      <c r="E27" s="99" t="s">
        <v>1145</v>
      </c>
      <c r="F27" s="99" t="s">
        <v>1215</v>
      </c>
      <c r="G27" s="99" t="s">
        <v>1232</v>
      </c>
      <c r="H27" s="99" t="s">
        <v>1232</v>
      </c>
      <c r="I27" s="99" t="s">
        <v>1232</v>
      </c>
      <c r="J27" s="99" t="s">
        <v>1215</v>
      </c>
      <c r="K27" s="99" t="s">
        <v>1215</v>
      </c>
      <c r="L27" s="99" t="s">
        <v>1195</v>
      </c>
    </row>
    <row r="28" spans="1:12" ht="15.75" customHeight="1">
      <c r="A28" s="99" t="s">
        <v>1195</v>
      </c>
      <c r="B28" s="99" t="s">
        <v>1230</v>
      </c>
      <c r="C28" s="99" t="s">
        <v>1215</v>
      </c>
      <c r="D28" s="99" t="s">
        <v>1233</v>
      </c>
      <c r="E28" s="99" t="s">
        <v>1153</v>
      </c>
      <c r="F28" s="99" t="s">
        <v>1219</v>
      </c>
      <c r="G28" s="99" t="s">
        <v>1234</v>
      </c>
      <c r="H28" s="99" t="s">
        <v>1234</v>
      </c>
      <c r="I28" s="99" t="s">
        <v>1234</v>
      </c>
      <c r="J28" s="99" t="s">
        <v>1219</v>
      </c>
      <c r="K28" s="99" t="s">
        <v>1219</v>
      </c>
      <c r="L28" s="99" t="s">
        <v>322</v>
      </c>
    </row>
    <row r="29" spans="1:12" ht="15.75" customHeight="1">
      <c r="A29" s="99" t="s">
        <v>322</v>
      </c>
      <c r="B29" s="99" t="s">
        <v>444</v>
      </c>
      <c r="C29" s="99" t="s">
        <v>1219</v>
      </c>
      <c r="D29" s="99" t="s">
        <v>1235</v>
      </c>
      <c r="E29" s="99" t="s">
        <v>1159</v>
      </c>
      <c r="F29" s="99" t="s">
        <v>468</v>
      </c>
      <c r="G29" s="99" t="s">
        <v>1236</v>
      </c>
      <c r="H29" s="99" t="s">
        <v>1236</v>
      </c>
      <c r="I29" s="99" t="s">
        <v>1236</v>
      </c>
      <c r="J29" s="99" t="s">
        <v>468</v>
      </c>
      <c r="K29" s="99" t="s">
        <v>468</v>
      </c>
      <c r="L29" s="99" t="s">
        <v>339</v>
      </c>
    </row>
    <row r="30" spans="1:12" ht="15.75" customHeight="1">
      <c r="A30" s="99" t="s">
        <v>339</v>
      </c>
      <c r="B30" s="99" t="s">
        <v>1233</v>
      </c>
      <c r="C30" s="99" t="s">
        <v>1221</v>
      </c>
      <c r="D30" s="99" t="s">
        <v>1237</v>
      </c>
      <c r="E30" s="99" t="s">
        <v>287</v>
      </c>
      <c r="F30" s="99" t="s">
        <v>255</v>
      </c>
      <c r="G30" s="99" t="s">
        <v>1238</v>
      </c>
      <c r="H30" s="99" t="s">
        <v>1238</v>
      </c>
      <c r="I30" s="99" t="s">
        <v>1238</v>
      </c>
      <c r="J30" s="99" t="s">
        <v>255</v>
      </c>
      <c r="K30" s="99" t="s">
        <v>255</v>
      </c>
      <c r="L30" s="99" t="s">
        <v>361</v>
      </c>
    </row>
    <row r="31" spans="1:12" ht="15.75" customHeight="1">
      <c r="A31" s="99" t="s">
        <v>361</v>
      </c>
      <c r="B31" s="99" t="s">
        <v>1235</v>
      </c>
      <c r="C31" s="99" t="s">
        <v>255</v>
      </c>
      <c r="E31" s="99" t="s">
        <v>296</v>
      </c>
      <c r="F31" s="99" t="s">
        <v>1226</v>
      </c>
      <c r="G31" s="99" t="s">
        <v>287</v>
      </c>
      <c r="H31" s="99" t="s">
        <v>287</v>
      </c>
      <c r="I31" s="99" t="s">
        <v>287</v>
      </c>
      <c r="J31" s="99" t="s">
        <v>1226</v>
      </c>
      <c r="K31" s="99" t="s">
        <v>1226</v>
      </c>
      <c r="L31" s="99" t="s">
        <v>403</v>
      </c>
    </row>
    <row r="32" spans="1:12" ht="15.75" customHeight="1">
      <c r="A32" s="99" t="s">
        <v>403</v>
      </c>
      <c r="B32" s="99" t="s">
        <v>1237</v>
      </c>
      <c r="C32" s="99" t="s">
        <v>1226</v>
      </c>
      <c r="E32" s="99" t="s">
        <v>304</v>
      </c>
      <c r="F32" s="99" t="s">
        <v>483</v>
      </c>
      <c r="G32" s="99" t="s">
        <v>296</v>
      </c>
      <c r="H32" s="99" t="s">
        <v>296</v>
      </c>
      <c r="I32" s="99" t="s">
        <v>296</v>
      </c>
      <c r="J32" s="99" t="s">
        <v>483</v>
      </c>
      <c r="K32" s="99" t="s">
        <v>483</v>
      </c>
      <c r="L32" s="99" t="s">
        <v>1215</v>
      </c>
    </row>
    <row r="33" spans="1:12" ht="15.75" customHeight="1">
      <c r="A33" s="99" t="s">
        <v>1215</v>
      </c>
      <c r="C33" s="99" t="s">
        <v>483</v>
      </c>
      <c r="E33" s="99" t="s">
        <v>1182</v>
      </c>
      <c r="F33" s="99" t="s">
        <v>1230</v>
      </c>
      <c r="G33" s="99" t="s">
        <v>304</v>
      </c>
      <c r="H33" s="99" t="s">
        <v>304</v>
      </c>
      <c r="I33" s="99" t="s">
        <v>304</v>
      </c>
      <c r="J33" s="99" t="s">
        <v>1230</v>
      </c>
      <c r="K33" s="99" t="s">
        <v>1230</v>
      </c>
      <c r="L33" s="99" t="s">
        <v>1219</v>
      </c>
    </row>
    <row r="34" spans="1:12" ht="15.75" customHeight="1">
      <c r="A34" s="99" t="s">
        <v>1219</v>
      </c>
      <c r="C34" s="99" t="s">
        <v>1230</v>
      </c>
      <c r="E34" s="99" t="s">
        <v>1188</v>
      </c>
      <c r="F34" s="99" t="s">
        <v>444</v>
      </c>
      <c r="G34" s="99" t="s">
        <v>1182</v>
      </c>
      <c r="H34" s="99" t="s">
        <v>1182</v>
      </c>
      <c r="I34" s="99" t="s">
        <v>1182</v>
      </c>
      <c r="J34" s="99" t="s">
        <v>444</v>
      </c>
      <c r="K34" s="99" t="s">
        <v>444</v>
      </c>
      <c r="L34" s="99" t="s">
        <v>468</v>
      </c>
    </row>
    <row r="35" spans="1:12" ht="15.75" customHeight="1">
      <c r="A35" s="99" t="s">
        <v>1221</v>
      </c>
      <c r="C35" s="99" t="s">
        <v>444</v>
      </c>
      <c r="E35" s="99" t="s">
        <v>1195</v>
      </c>
      <c r="F35" s="99" t="s">
        <v>174</v>
      </c>
      <c r="G35" s="99" t="s">
        <v>1188</v>
      </c>
      <c r="H35" s="99" t="s">
        <v>1188</v>
      </c>
      <c r="I35" s="99" t="s">
        <v>1188</v>
      </c>
      <c r="J35" s="99" t="s">
        <v>174</v>
      </c>
      <c r="K35" s="99" t="s">
        <v>174</v>
      </c>
      <c r="L35" s="99" t="s">
        <v>255</v>
      </c>
    </row>
    <row r="36" spans="1:12" ht="15.75" customHeight="1">
      <c r="A36" s="99" t="s">
        <v>255</v>
      </c>
      <c r="C36" s="99" t="s">
        <v>1233</v>
      </c>
      <c r="E36" s="99" t="s">
        <v>322</v>
      </c>
      <c r="F36" s="99" t="s">
        <v>128</v>
      </c>
      <c r="G36" s="99" t="s">
        <v>1195</v>
      </c>
      <c r="H36" s="99" t="s">
        <v>1195</v>
      </c>
      <c r="I36" s="99" t="s">
        <v>1195</v>
      </c>
      <c r="J36" s="99" t="s">
        <v>128</v>
      </c>
      <c r="K36" s="99" t="s">
        <v>128</v>
      </c>
      <c r="L36" s="99" t="s">
        <v>1226</v>
      </c>
    </row>
    <row r="37" spans="1:12" ht="15.75" customHeight="1">
      <c r="A37" s="99" t="s">
        <v>1226</v>
      </c>
      <c r="C37" s="99" t="s">
        <v>1235</v>
      </c>
      <c r="E37" s="99" t="s">
        <v>339</v>
      </c>
      <c r="F37" s="99" t="s">
        <v>1237</v>
      </c>
      <c r="G37" s="99" t="s">
        <v>322</v>
      </c>
      <c r="H37" s="99" t="s">
        <v>322</v>
      </c>
      <c r="I37" s="99" t="s">
        <v>322</v>
      </c>
      <c r="J37" s="99" t="s">
        <v>1237</v>
      </c>
      <c r="K37" s="99" t="s">
        <v>1237</v>
      </c>
      <c r="L37" s="99" t="s">
        <v>483</v>
      </c>
    </row>
    <row r="38" spans="1:12" ht="15.75" customHeight="1">
      <c r="A38" s="99" t="s">
        <v>483</v>
      </c>
      <c r="C38" s="99" t="s">
        <v>1237</v>
      </c>
      <c r="E38" s="99" t="s">
        <v>361</v>
      </c>
      <c r="G38" s="99" t="s">
        <v>339</v>
      </c>
      <c r="H38" s="99" t="s">
        <v>339</v>
      </c>
      <c r="I38" s="99" t="s">
        <v>339</v>
      </c>
      <c r="L38" s="99" t="s">
        <v>1230</v>
      </c>
    </row>
    <row r="39" spans="1:12" ht="15.75" customHeight="1">
      <c r="A39" s="99" t="s">
        <v>1230</v>
      </c>
      <c r="C39" s="99" t="s">
        <v>1239</v>
      </c>
      <c r="E39" s="99" t="s">
        <v>403</v>
      </c>
      <c r="G39" s="99" t="s">
        <v>361</v>
      </c>
      <c r="H39" s="99" t="s">
        <v>361</v>
      </c>
      <c r="I39" s="99" t="s">
        <v>361</v>
      </c>
      <c r="L39" s="99" t="s">
        <v>444</v>
      </c>
    </row>
    <row r="40" spans="1:12" ht="15.75" customHeight="1">
      <c r="A40" s="99" t="s">
        <v>444</v>
      </c>
      <c r="E40" s="99" t="s">
        <v>1215</v>
      </c>
      <c r="G40" s="99" t="s">
        <v>403</v>
      </c>
      <c r="H40" s="99" t="s">
        <v>403</v>
      </c>
      <c r="I40" s="99" t="s">
        <v>403</v>
      </c>
      <c r="L40" s="99" t="s">
        <v>174</v>
      </c>
    </row>
    <row r="41" spans="1:12" ht="15.75" customHeight="1">
      <c r="A41" s="99" t="s">
        <v>1233</v>
      </c>
      <c r="E41" s="99" t="s">
        <v>1219</v>
      </c>
      <c r="G41" s="99" t="s">
        <v>1215</v>
      </c>
      <c r="H41" s="99" t="s">
        <v>1215</v>
      </c>
      <c r="I41" s="99" t="s">
        <v>1215</v>
      </c>
      <c r="L41" s="99" t="s">
        <v>128</v>
      </c>
    </row>
    <row r="42" spans="1:12" ht="15.75" customHeight="1">
      <c r="A42" s="99" t="s">
        <v>1235</v>
      </c>
      <c r="E42" s="99" t="s">
        <v>1221</v>
      </c>
      <c r="G42" s="99" t="s">
        <v>1219</v>
      </c>
      <c r="H42" s="99" t="s">
        <v>1219</v>
      </c>
      <c r="I42" s="99" t="s">
        <v>1219</v>
      </c>
      <c r="L42" s="99" t="s">
        <v>1237</v>
      </c>
    </row>
    <row r="43" spans="1:12" ht="15.75" customHeight="1">
      <c r="A43" s="99" t="s">
        <v>1237</v>
      </c>
      <c r="E43" s="99" t="s">
        <v>255</v>
      </c>
      <c r="G43" s="99" t="s">
        <v>468</v>
      </c>
      <c r="H43" s="99" t="s">
        <v>468</v>
      </c>
      <c r="I43" s="99" t="s">
        <v>468</v>
      </c>
    </row>
    <row r="44" spans="1:12" ht="15.75" customHeight="1">
      <c r="E44" s="99" t="s">
        <v>1226</v>
      </c>
      <c r="G44" s="99" t="s">
        <v>255</v>
      </c>
      <c r="H44" s="99" t="s">
        <v>255</v>
      </c>
      <c r="I44" s="99" t="s">
        <v>255</v>
      </c>
    </row>
    <row r="45" spans="1:12" ht="15.75" customHeight="1">
      <c r="E45" s="99" t="s">
        <v>483</v>
      </c>
      <c r="G45" s="99" t="s">
        <v>1226</v>
      </c>
      <c r="H45" s="99" t="s">
        <v>1226</v>
      </c>
      <c r="I45" s="99" t="s">
        <v>1226</v>
      </c>
    </row>
    <row r="46" spans="1:12" ht="15.75" customHeight="1">
      <c r="E46" s="99" t="s">
        <v>1230</v>
      </c>
      <c r="G46" s="99" t="s">
        <v>483</v>
      </c>
      <c r="H46" s="99" t="s">
        <v>483</v>
      </c>
      <c r="I46" s="99" t="s">
        <v>483</v>
      </c>
    </row>
    <row r="47" spans="1:12" ht="15.75" customHeight="1">
      <c r="E47" s="99" t="s">
        <v>444</v>
      </c>
      <c r="G47" s="99" t="s">
        <v>1230</v>
      </c>
      <c r="H47" s="99" t="s">
        <v>1230</v>
      </c>
      <c r="I47" s="99" t="s">
        <v>1230</v>
      </c>
    </row>
    <row r="48" spans="1:12" ht="15.75" customHeight="1">
      <c r="E48" s="99" t="s">
        <v>1233</v>
      </c>
      <c r="G48" s="99" t="s">
        <v>444</v>
      </c>
      <c r="H48" s="99" t="s">
        <v>444</v>
      </c>
      <c r="I48" s="99" t="s">
        <v>444</v>
      </c>
    </row>
    <row r="49" spans="5:9" ht="15.75" customHeight="1">
      <c r="E49" s="99" t="s">
        <v>1235</v>
      </c>
      <c r="G49" s="99" t="s">
        <v>174</v>
      </c>
      <c r="H49" s="99" t="s">
        <v>174</v>
      </c>
      <c r="I49" s="99" t="s">
        <v>174</v>
      </c>
    </row>
    <row r="50" spans="5:9" ht="15.75" customHeight="1">
      <c r="E50" s="99" t="s">
        <v>1237</v>
      </c>
      <c r="G50" s="99" t="s">
        <v>128</v>
      </c>
      <c r="H50" s="99" t="s">
        <v>128</v>
      </c>
      <c r="I50" s="99" t="s">
        <v>128</v>
      </c>
    </row>
    <row r="51" spans="5:9" ht="15.75" customHeight="1">
      <c r="E51" s="99" t="s">
        <v>1240</v>
      </c>
      <c r="G51" s="99" t="s">
        <v>1237</v>
      </c>
      <c r="H51" s="99" t="s">
        <v>1237</v>
      </c>
      <c r="I51" s="99" t="s">
        <v>1237</v>
      </c>
    </row>
    <row r="52" spans="5:9" ht="15.75" customHeight="1"/>
    <row r="53" spans="5:9" ht="15.75" customHeight="1"/>
    <row r="54" spans="5:9" ht="15.75" customHeight="1"/>
    <row r="55" spans="5:9" ht="15.75" customHeight="1"/>
    <row r="56" spans="5:9" ht="15.75" customHeight="1"/>
    <row r="57" spans="5:9" ht="15.75" customHeight="1"/>
    <row r="58" spans="5:9" ht="15.75" customHeight="1"/>
    <row r="59" spans="5:9" ht="15.75" customHeight="1"/>
    <row r="60" spans="5:9" ht="15.75" customHeight="1"/>
    <row r="61" spans="5:9" ht="15.75" customHeight="1"/>
    <row r="62" spans="5:9" ht="15.75" customHeight="1"/>
    <row r="63" spans="5:9" ht="15.75" customHeight="1"/>
    <row r="64" spans="5: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53125" defaultRowHeight="15" customHeight="1"/>
  <cols>
    <col min="1" max="1" width="100.1796875" customWidth="1"/>
    <col min="2" max="2" width="75" customWidth="1"/>
    <col min="3" max="3" width="159.54296875" customWidth="1"/>
    <col min="4" max="5" width="75" customWidth="1"/>
    <col min="6" max="25" width="11.453125" customWidth="1"/>
  </cols>
  <sheetData>
    <row r="1" spans="1:26" ht="14.5">
      <c r="A1" s="99" t="str">
        <f>CONCATENATE("Servicios_",'FORMATO 2'!$F$20,"")</f>
        <v>Servicios_Solar</v>
      </c>
    </row>
    <row r="3" spans="1:26" ht="14.5">
      <c r="A3" s="108" t="s">
        <v>1241</v>
      </c>
      <c r="B3" s="108" t="s">
        <v>1242</v>
      </c>
      <c r="C3" s="108" t="s">
        <v>1243</v>
      </c>
      <c r="D3" s="108" t="s">
        <v>1244</v>
      </c>
      <c r="E3" s="108" t="s">
        <v>1245</v>
      </c>
      <c r="F3" s="108"/>
      <c r="G3" s="108"/>
      <c r="H3" s="108"/>
      <c r="I3" s="108"/>
      <c r="J3" s="108"/>
      <c r="K3" s="108"/>
      <c r="L3" s="108"/>
      <c r="M3" s="108"/>
      <c r="N3" s="108"/>
      <c r="O3" s="108"/>
      <c r="P3" s="108"/>
      <c r="Q3" s="108"/>
      <c r="R3" s="108"/>
      <c r="S3" s="108"/>
      <c r="T3" s="108"/>
      <c r="U3" s="108"/>
      <c r="V3" s="108"/>
      <c r="W3" s="108"/>
      <c r="X3" s="108"/>
      <c r="Y3" s="108"/>
      <c r="Z3" s="108"/>
    </row>
    <row r="4" spans="1:26" ht="14.5">
      <c r="A4" s="99" t="s">
        <v>1246</v>
      </c>
      <c r="B4" s="99" t="s">
        <v>1247</v>
      </c>
      <c r="C4" s="99" t="s">
        <v>1248</v>
      </c>
      <c r="D4" s="99" t="s">
        <v>1249</v>
      </c>
      <c r="E4" s="99" t="s">
        <v>1250</v>
      </c>
    </row>
    <row r="5" spans="1:26" ht="14.5">
      <c r="A5" s="99" t="s">
        <v>1251</v>
      </c>
      <c r="B5" s="99" t="s">
        <v>1251</v>
      </c>
      <c r="C5" s="99" t="s">
        <v>1252</v>
      </c>
      <c r="D5" s="99" t="s">
        <v>1251</v>
      </c>
      <c r="E5" s="99" t="s">
        <v>1251</v>
      </c>
    </row>
    <row r="6" spans="1:26" ht="14.5">
      <c r="A6" s="99" t="s">
        <v>1253</v>
      </c>
      <c r="B6" s="99" t="s">
        <v>1254</v>
      </c>
      <c r="C6" s="99" t="s">
        <v>1255</v>
      </c>
      <c r="D6" s="99" t="s">
        <v>1254</v>
      </c>
      <c r="E6" s="99" t="s">
        <v>1254</v>
      </c>
    </row>
    <row r="7" spans="1:26" ht="14.5">
      <c r="A7" s="99" t="s">
        <v>492</v>
      </c>
      <c r="B7" s="99" t="s">
        <v>492</v>
      </c>
      <c r="C7" s="99" t="s">
        <v>1251</v>
      </c>
      <c r="D7" s="99" t="s">
        <v>492</v>
      </c>
      <c r="E7" s="99" t="s">
        <v>1256</v>
      </c>
    </row>
    <row r="8" spans="1:26" ht="14.5">
      <c r="A8" s="99" t="s">
        <v>1257</v>
      </c>
      <c r="B8" s="99" t="s">
        <v>1257</v>
      </c>
      <c r="C8" s="99" t="s">
        <v>1258</v>
      </c>
      <c r="D8" s="99" t="s">
        <v>1257</v>
      </c>
      <c r="E8" s="99" t="s">
        <v>492</v>
      </c>
    </row>
    <row r="9" spans="1:26" ht="14.5">
      <c r="A9" s="99" t="s">
        <v>1259</v>
      </c>
      <c r="B9" s="99" t="s">
        <v>1259</v>
      </c>
      <c r="C9" s="99" t="s">
        <v>1253</v>
      </c>
      <c r="D9" s="99" t="s">
        <v>1259</v>
      </c>
      <c r="E9" s="99" t="s">
        <v>495</v>
      </c>
    </row>
    <row r="10" spans="1:26" ht="14.5">
      <c r="A10" s="99" t="s">
        <v>500</v>
      </c>
      <c r="B10" s="99" t="s">
        <v>500</v>
      </c>
      <c r="C10" s="99" t="s">
        <v>1260</v>
      </c>
      <c r="D10" s="99" t="s">
        <v>500</v>
      </c>
      <c r="E10" s="99" t="s">
        <v>1259</v>
      </c>
    </row>
    <row r="11" spans="1:26" ht="14.5">
      <c r="A11" s="99" t="s">
        <v>498</v>
      </c>
      <c r="B11" s="99" t="s">
        <v>498</v>
      </c>
      <c r="C11" s="99" t="s">
        <v>1261</v>
      </c>
      <c r="D11" s="99" t="s">
        <v>498</v>
      </c>
      <c r="E11" s="99" t="s">
        <v>500</v>
      </c>
    </row>
    <row r="12" spans="1:26" ht="14.5">
      <c r="A12" s="99" t="s">
        <v>1262</v>
      </c>
      <c r="B12" s="99" t="s">
        <v>1263</v>
      </c>
      <c r="C12" s="99" t="s">
        <v>1264</v>
      </c>
      <c r="D12" s="99" t="s">
        <v>1262</v>
      </c>
      <c r="E12" s="99" t="s">
        <v>498</v>
      </c>
    </row>
    <row r="13" spans="1:26" ht="14.5">
      <c r="A13" s="99" t="s">
        <v>1265</v>
      </c>
      <c r="B13" s="99" t="s">
        <v>1262</v>
      </c>
      <c r="C13" s="99" t="s">
        <v>492</v>
      </c>
      <c r="E13" s="99" t="s">
        <v>1262</v>
      </c>
    </row>
    <row r="14" spans="1:26" ht="14.5">
      <c r="A14" s="99" t="s">
        <v>1266</v>
      </c>
      <c r="C14" s="99" t="s">
        <v>1267</v>
      </c>
      <c r="E14" s="99" t="s">
        <v>502</v>
      </c>
    </row>
    <row r="15" spans="1:26" ht="14.5">
      <c r="A15" s="99" t="s">
        <v>1268</v>
      </c>
      <c r="C15" s="99" t="s">
        <v>500</v>
      </c>
    </row>
    <row r="16" spans="1:26" ht="14.5">
      <c r="C16" s="99" t="s">
        <v>498</v>
      </c>
    </row>
    <row r="17" spans="3:3" ht="14.5">
      <c r="C17" s="99" t="s">
        <v>1262</v>
      </c>
    </row>
    <row r="18" spans="3:3" ht="14.5">
      <c r="C18" s="99" t="s">
        <v>1259</v>
      </c>
    </row>
    <row r="21" spans="3:3" ht="15.75" customHeight="1"/>
    <row r="22" spans="3:3" ht="15.75" customHeight="1"/>
    <row r="23" spans="3:3" ht="15.75" customHeight="1"/>
    <row r="24" spans="3:3" ht="15.75" customHeight="1"/>
    <row r="25" spans="3:3" ht="15.75" customHeight="1"/>
    <row r="26" spans="3:3" ht="15.75" customHeight="1"/>
    <row r="27" spans="3:3" ht="15.75" customHeight="1"/>
    <row r="28" spans="3:3" ht="15.75" customHeight="1"/>
    <row r="29" spans="3:3" ht="15.75" customHeight="1"/>
    <row r="30" spans="3:3" ht="15.75" customHeight="1"/>
    <row r="31" spans="3:3" ht="15.75" customHeight="1"/>
    <row r="32" spans="3: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8"/>
  <sheetViews>
    <sheetView workbookViewId="0">
      <pane ySplit="4" topLeftCell="A14" activePane="bottomLeft" state="frozen"/>
      <selection pane="bottomLeft" sqref="A1:E1"/>
    </sheetView>
  </sheetViews>
  <sheetFormatPr defaultColWidth="9.1796875" defaultRowHeight="14.5"/>
  <cols>
    <col min="1" max="1" width="6" customWidth="1"/>
    <col min="2" max="2" width="16" customWidth="1"/>
    <col min="3" max="3" width="55" customWidth="1"/>
    <col min="4" max="5" width="12" customWidth="1"/>
    <col min="6" max="6" width="50" customWidth="1"/>
  </cols>
  <sheetData>
    <row r="1" spans="1:6" ht="30" customHeight="1">
      <c r="A1" s="272" t="s">
        <v>1269</v>
      </c>
      <c r="B1" s="169"/>
      <c r="C1" s="169"/>
      <c r="D1" s="169"/>
      <c r="E1" s="169"/>
    </row>
    <row r="2" spans="1:6" ht="40" customHeight="1">
      <c r="A2" s="271" t="s">
        <v>1270</v>
      </c>
      <c r="B2" s="169"/>
      <c r="C2" s="169"/>
      <c r="D2" s="169"/>
      <c r="E2" s="169"/>
    </row>
    <row r="4" spans="1:6" ht="32.15" customHeight="1">
      <c r="A4" s="111" t="s">
        <v>1271</v>
      </c>
      <c r="B4" s="111" t="s">
        <v>1272</v>
      </c>
      <c r="C4" s="111" t="s">
        <v>1273</v>
      </c>
      <c r="D4" s="111" t="s">
        <v>256</v>
      </c>
      <c r="E4" s="111" t="s">
        <v>115</v>
      </c>
      <c r="F4" s="111" t="s">
        <v>1274</v>
      </c>
    </row>
    <row r="5" spans="1:6" ht="25">
      <c r="A5" s="112">
        <v>1</v>
      </c>
      <c r="B5" s="112" t="s">
        <v>1275</v>
      </c>
      <c r="C5" s="113" t="s">
        <v>1276</v>
      </c>
      <c r="D5" s="112" t="s">
        <v>1277</v>
      </c>
      <c r="E5" s="112">
        <v>1</v>
      </c>
      <c r="F5" s="113" t="s">
        <v>1278</v>
      </c>
    </row>
    <row r="6" spans="1:6">
      <c r="A6" s="114">
        <v>2</v>
      </c>
      <c r="B6" s="114" t="s">
        <v>1279</v>
      </c>
      <c r="C6" s="115" t="s">
        <v>1280</v>
      </c>
      <c r="D6" s="114" t="s">
        <v>1277</v>
      </c>
      <c r="E6" s="114">
        <v>1</v>
      </c>
      <c r="F6" s="115" t="s">
        <v>1281</v>
      </c>
    </row>
    <row r="7" spans="1:6" ht="25">
      <c r="A7" s="112">
        <v>3</v>
      </c>
      <c r="B7" s="112" t="s">
        <v>1282</v>
      </c>
      <c r="C7" s="113" t="s">
        <v>1283</v>
      </c>
      <c r="D7" s="112" t="s">
        <v>1284</v>
      </c>
      <c r="E7" s="112">
        <v>15</v>
      </c>
      <c r="F7" s="113" t="s">
        <v>1285</v>
      </c>
    </row>
    <row r="8" spans="1:6" ht="25">
      <c r="A8" s="114">
        <v>4</v>
      </c>
      <c r="B8" s="114" t="s">
        <v>1286</v>
      </c>
      <c r="C8" s="115" t="s">
        <v>1287</v>
      </c>
      <c r="D8" s="114" t="s">
        <v>1284</v>
      </c>
      <c r="E8" s="114">
        <v>445</v>
      </c>
      <c r="F8" s="115" t="s">
        <v>1288</v>
      </c>
    </row>
    <row r="9" spans="1:6">
      <c r="A9" s="112">
        <v>5</v>
      </c>
      <c r="B9" s="112" t="s">
        <v>1289</v>
      </c>
      <c r="C9" s="113" t="s">
        <v>1290</v>
      </c>
      <c r="D9" s="112" t="s">
        <v>1277</v>
      </c>
      <c r="E9" s="112">
        <v>1</v>
      </c>
      <c r="F9" s="113" t="s">
        <v>1291</v>
      </c>
    </row>
    <row r="10" spans="1:6" ht="25">
      <c r="A10" s="114">
        <v>6</v>
      </c>
      <c r="B10" s="114" t="s">
        <v>1292</v>
      </c>
      <c r="C10" s="115" t="s">
        <v>1293</v>
      </c>
      <c r="D10" s="114" t="s">
        <v>1284</v>
      </c>
      <c r="E10" s="114">
        <v>2000</v>
      </c>
      <c r="F10" s="115"/>
    </row>
    <row r="11" spans="1:6">
      <c r="A11" s="112">
        <v>7</v>
      </c>
      <c r="B11" s="112" t="s">
        <v>1292</v>
      </c>
      <c r="C11" s="113" t="s">
        <v>1294</v>
      </c>
      <c r="D11" s="112" t="s">
        <v>1284</v>
      </c>
      <c r="E11" s="112">
        <v>300</v>
      </c>
      <c r="F11" s="113"/>
    </row>
    <row r="12" spans="1:6">
      <c r="A12" s="114">
        <v>8</v>
      </c>
      <c r="B12" s="114" t="s">
        <v>1292</v>
      </c>
      <c r="C12" s="115" t="s">
        <v>1295</v>
      </c>
      <c r="D12" s="114" t="s">
        <v>1277</v>
      </c>
      <c r="E12" s="114">
        <v>200</v>
      </c>
      <c r="F12" s="115"/>
    </row>
    <row r="13" spans="1:6">
      <c r="A13" s="112">
        <v>9</v>
      </c>
      <c r="B13" s="112" t="s">
        <v>1292</v>
      </c>
      <c r="C13" s="113" t="s">
        <v>1296</v>
      </c>
      <c r="D13" s="112" t="s">
        <v>1277</v>
      </c>
      <c r="E13" s="112">
        <v>400</v>
      </c>
      <c r="F13" s="113"/>
    </row>
    <row r="14" spans="1:6">
      <c r="A14" s="114">
        <v>10</v>
      </c>
      <c r="B14" s="114" t="s">
        <v>1292</v>
      </c>
      <c r="C14" s="115" t="s">
        <v>1297</v>
      </c>
      <c r="D14" s="114" t="s">
        <v>1277</v>
      </c>
      <c r="E14" s="114">
        <v>6</v>
      </c>
      <c r="F14" s="115"/>
    </row>
    <row r="15" spans="1:6">
      <c r="A15" s="112">
        <v>11</v>
      </c>
      <c r="B15" s="112" t="s">
        <v>1292</v>
      </c>
      <c r="C15" s="113" t="s">
        <v>1298</v>
      </c>
      <c r="D15" s="112" t="s">
        <v>1277</v>
      </c>
      <c r="E15" s="112">
        <v>8</v>
      </c>
      <c r="F15" s="113"/>
    </row>
    <row r="16" spans="1:6">
      <c r="A16" s="114">
        <v>12</v>
      </c>
      <c r="B16" s="114" t="s">
        <v>1292</v>
      </c>
      <c r="C16" s="115" t="s">
        <v>1299</v>
      </c>
      <c r="D16" s="114" t="s">
        <v>1277</v>
      </c>
      <c r="E16" s="114">
        <v>100</v>
      </c>
      <c r="F16" s="115"/>
    </row>
    <row r="17" spans="1:6">
      <c r="A17" s="112">
        <v>13</v>
      </c>
      <c r="B17" s="112" t="s">
        <v>1292</v>
      </c>
      <c r="C17" s="113" t="s">
        <v>1300</v>
      </c>
      <c r="D17" s="112" t="s">
        <v>1284</v>
      </c>
      <c r="E17" s="112">
        <v>10</v>
      </c>
      <c r="F17" s="113"/>
    </row>
    <row r="18" spans="1:6">
      <c r="A18" s="114">
        <v>14</v>
      </c>
      <c r="B18" s="114" t="s">
        <v>1292</v>
      </c>
      <c r="C18" s="115" t="s">
        <v>1301</v>
      </c>
      <c r="D18" s="114" t="s">
        <v>1277</v>
      </c>
      <c r="E18" s="114">
        <v>4</v>
      </c>
      <c r="F18" s="115"/>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29</vt:i4>
      </vt:variant>
    </vt:vector>
  </HeadingPairs>
  <TitlesOfParts>
    <vt:vector size="39" baseType="lpstr">
      <vt:lpstr>FORMATO 1</vt:lpstr>
      <vt:lpstr>FORMATO 2</vt:lpstr>
      <vt:lpstr>FORMATO 3</vt:lpstr>
      <vt:lpstr>FORMATO 4</vt:lpstr>
      <vt:lpstr>Hoja 1</vt:lpstr>
      <vt:lpstr>Listas2</vt:lpstr>
      <vt:lpstr>Listas</vt:lpstr>
      <vt:lpstr>Bienes</vt:lpstr>
      <vt:lpstr>Servicios</vt:lpstr>
      <vt:lpstr>Items BT Faltantes</vt:lpstr>
      <vt:lpstr>Bienes_Biomasa_Biogás</vt:lpstr>
      <vt:lpstr>Bienes_Biomasa_Cultivos_energéticos</vt:lpstr>
      <vt:lpstr>Bienes_Biomasa_Gasificación</vt:lpstr>
      <vt:lpstr>Bienes_Biomasa_Generación_cogeneración</vt:lpstr>
      <vt:lpstr>Bienes_Biomasa_Pirolización</vt:lpstr>
      <vt:lpstr>Bienes_Eólica_Eólica</vt:lpstr>
      <vt:lpstr>Bienes_Geotérmica_Central_de_ciclo_binario</vt:lpstr>
      <vt:lpstr>Bienes_Geotérmica_Central_de_vapor_seco</vt:lpstr>
      <vt:lpstr>Bienes_Geotérmica_Central_flash</vt:lpstr>
      <vt:lpstr>Bienes_PCH_Hidráulica</vt:lpstr>
      <vt:lpstr>Bienes_PCH_Hidrocinética</vt:lpstr>
      <vt:lpstr>Bienes_Solar_Fotovoltaica</vt:lpstr>
      <vt:lpstr>NOMBRE</vt:lpstr>
      <vt:lpstr>re</vt:lpstr>
      <vt:lpstr>REC_Biomasa</vt:lpstr>
      <vt:lpstr>REC_Eólica</vt:lpstr>
      <vt:lpstr>REC_Geotérmica</vt:lpstr>
      <vt:lpstr>REC_PCH</vt:lpstr>
      <vt:lpstr>REC_Solar</vt:lpstr>
      <vt:lpstr>Servicios_Biomasa</vt:lpstr>
      <vt:lpstr>Servicios_Eólica</vt:lpstr>
      <vt:lpstr>Servicios_Geotérmica</vt:lpstr>
      <vt:lpstr>Servicios_PCH</vt:lpstr>
      <vt:lpstr>Servicios_Solar</vt:lpstr>
      <vt:lpstr>TEC_Biomasa</vt:lpstr>
      <vt:lpstr>TEC_Eólica</vt:lpstr>
      <vt:lpstr>TEC_Geotérmica</vt:lpstr>
      <vt:lpstr>TEC_PCH</vt:lpstr>
      <vt:lpstr>TEC_Solar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EQUIPO</dc:creator>
  <cp:lastModifiedBy>Emmanuel Florez</cp:lastModifiedBy>
  <dcterms:created xsi:type="dcterms:W3CDTF">2024-12-05T13:19:00Z</dcterms:created>
  <dcterms:modified xsi:type="dcterms:W3CDTF">2026-05-29T21:50:26Z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0x01010013EC9A511C179E43810EA5950AE55063</vt:lpwstr>
  </property>
  <property fmtid="{D5CDD505-2E9C-101B-9397-08002B2CF9AE}" pid="3" name="ICV">
    <vt:lpwstr>38FA577507424E38BFA724464902CAFD_13</vt:lpwstr>
  </property>
  <property fmtid="{D5CDD505-2E9C-101B-9397-08002B2CF9AE}" pid="4" name="KSOProductBuildVer">
    <vt:lpwstr>2058-12.2.0.22549</vt:lpwstr>
  </property>
</Properties>
</file>