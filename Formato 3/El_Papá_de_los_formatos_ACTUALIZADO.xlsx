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920" yWindow="1695" windowWidth="29040" windowHeight="15720" tabRatio="600" firstSheet="0" activeTab="2" autoFilterDateGrouping="1"/>
  </bookViews>
  <sheets>
    <sheet xmlns:r="http://schemas.openxmlformats.org/officeDocument/2006/relationships" name="FORMATO 1" sheetId="1" state="visible" r:id="rId1"/>
    <sheet xmlns:r="http://schemas.openxmlformats.org/officeDocument/2006/relationships" name="FORMATO 2" sheetId="2" state="visible" r:id="rId2"/>
    <sheet xmlns:r="http://schemas.openxmlformats.org/officeDocument/2006/relationships" name="FORMATO 3" sheetId="3" state="visible" r:id="rId3"/>
    <sheet xmlns:r="http://schemas.openxmlformats.org/officeDocument/2006/relationships" name="FORMATO 4" sheetId="4" state="visible" r:id="rId4"/>
    <sheet xmlns:r="http://schemas.openxmlformats.org/officeDocument/2006/relationships" name="Hoja 1" sheetId="5" state="visible" r:id="rId5"/>
    <sheet xmlns:r="http://schemas.openxmlformats.org/officeDocument/2006/relationships" name="Listas2" sheetId="6" state="hidden" r:id="rId6"/>
    <sheet xmlns:r="http://schemas.openxmlformats.org/officeDocument/2006/relationships" name="Listas" sheetId="7" state="hidden" r:id="rId7"/>
    <sheet xmlns:r="http://schemas.openxmlformats.org/officeDocument/2006/relationships" name="Bienes" sheetId="8" state="hidden" r:id="rId8"/>
    <sheet xmlns:r="http://schemas.openxmlformats.org/officeDocument/2006/relationships" name="Servicios" sheetId="9" state="hidden" r:id="rId9"/>
    <sheet xmlns:r="http://schemas.openxmlformats.org/officeDocument/2006/relationships" name="Items BT Faltantes" sheetId="10" state="visible" r:id="rId10"/>
  </sheets>
  <externalReferences>
    <externalReference xmlns:r="http://schemas.openxmlformats.org/officeDocument/2006/relationships" r:id="rId11"/>
  </externalReferences>
  <definedNames>
    <definedName name="Bienes_Biomasa_Biogás">Bienes!$A$4:$A$44</definedName>
    <definedName name="Bienes_Biomasa_Cultivos_energéticos">Bienes!$D$4:$D$30</definedName>
    <definedName name="Bienes_Biomasa_Gasificación">Bienes!$B$4:$B$32</definedName>
    <definedName name="Bienes_Biomasa_Generación_cogeneración">Bienes!$E$4:$E$51</definedName>
    <definedName name="Bienes_Biomasa_Pirolización">Bienes!$C$4:$C$39</definedName>
    <definedName name="Bienes_Eólica_Eólica">Bienes!$F$4:$F$37</definedName>
    <definedName name="Bienes_Geotérmica_Central_de_ciclo_binario">Bienes!$I$4:$I$51</definedName>
    <definedName name="Bienes_Geotérmica_Central_de_vapor_seco">Bienes!$G$4:$G$51</definedName>
    <definedName name="Bienes_Geotérmica_Central_flash">Bienes!$H$4:$H$51</definedName>
    <definedName name="Bienes_PCH_Hidráulica">Bienes!$J$4:$J$37</definedName>
    <definedName name="Bienes_PCH_Hidrocinética">Bienes!$K$4:$K$37</definedName>
    <definedName name="Bienes_Solar_Fotovoltaica">Bienes!$L$4:$L$42</definedName>
    <definedName name="NOMBRE">'FORMATO 1'!$A$34</definedName>
    <definedName name="re">'FORMATO 2'!$F$21</definedName>
    <definedName name="REC_Biomasa">Listas2!$F$5:$F$13</definedName>
    <definedName name="REC_Eólica">Listas2!$F$20</definedName>
    <definedName name="REC_Geotérmica">Listas2!$F$24</definedName>
    <definedName name="REC_PCH">Listas2!$F$28</definedName>
    <definedName name="REC_Solar">Listas2!$F$32</definedName>
    <definedName name="Servicios_Biomasa">Servicios!$A$4:$A$15</definedName>
    <definedName name="Servicios_Eólica">Servicios!$B$4:$B$13</definedName>
    <definedName name="Servicios_Geotérmica">Servicios!$C$4:$C$18</definedName>
    <definedName name="Servicios_PCH">Servicios!$D$4:$D$12</definedName>
    <definedName name="Servicios_Solar">Servicios!$E$4:$E$14</definedName>
    <definedName name="TEC_Biomasa">Listas2!$H$5:$H$9</definedName>
    <definedName name="TEC_Eólica">Listas2!$H$17</definedName>
    <definedName name="TEC_Geotérmica">Listas2!$H$22:$H$24</definedName>
    <definedName name="TEC_PCH">Listas2!$H$29:$H$30</definedName>
    <definedName name="TEC_Solar">Listas2!$H$35</definedName>
  </definedNames>
  <calcPr calcId="191029" fullCalcOnLoad="1"/>
</workbook>
</file>

<file path=xl/styles.xml><?xml version="1.0" encoding="utf-8"?>
<styleSheet xmlns="http://schemas.openxmlformats.org/spreadsheetml/2006/main">
  <numFmts count="3">
    <numFmt numFmtId="164" formatCode="_-&quot;$&quot;\ * #,##0.00_-;\-&quot;$&quot;\ * #,##0.00_-;_-&quot;$&quot;\ * &quot;-&quot;??_-;_-@"/>
    <numFmt numFmtId="165" formatCode="&quot;$&quot;\ #,##0.00"/>
    <numFmt numFmtId="166" formatCode="_(&quot;$&quot;* #,##0.00_);_(&quot;$&quot;* \(#,##0.00\);_(&quot;$&quot;* &quot;-&quot;??_);_(@_)"/>
  </numFmts>
  <fonts count="35">
    <font>
      <name val="Calibri"/>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Verdana"/>
      <family val="2"/>
      <color theme="1"/>
      <sz val="11"/>
    </font>
    <font>
      <name val="Verdana"/>
      <family val="2"/>
      <b val="1"/>
      <color theme="1"/>
      <sz val="10"/>
    </font>
    <font>
      <name val="Verdana"/>
      <family val="2"/>
      <color theme="1"/>
      <sz val="10"/>
    </font>
    <font>
      <name val="Verdana"/>
      <family val="2"/>
      <b val="1"/>
      <color rgb="FF0070C0"/>
      <sz val="10"/>
    </font>
    <font>
      <name val="Verdana"/>
      <family val="2"/>
      <b val="1"/>
      <color theme="1"/>
      <sz val="12"/>
    </font>
    <font>
      <name val="Calibri"/>
      <family val="2"/>
      <b val="1"/>
      <color theme="1"/>
      <sz val="11"/>
    </font>
    <font>
      <name val="Calibri"/>
      <family val="2"/>
      <color theme="1"/>
      <sz val="11"/>
    </font>
    <font>
      <name val="Calibri"/>
      <family val="2"/>
      <color rgb="FF800080"/>
      <sz val="11"/>
      <u val="single"/>
    </font>
    <font>
      <name val="Calibri"/>
      <family val="2"/>
      <color rgb="FF800080"/>
      <sz val="11"/>
      <u val="single"/>
    </font>
    <font>
      <name val="Verdana"/>
      <family val="2"/>
      <b val="1"/>
      <color theme="1"/>
      <sz val="11"/>
    </font>
    <font>
      <name val="Verdana"/>
      <family val="2"/>
      <color theme="1"/>
      <sz val="12"/>
    </font>
    <font>
      <name val="Verdana"/>
      <family val="2"/>
      <i val="1"/>
      <color rgb="FF7F7F7F"/>
      <sz val="12"/>
    </font>
    <font>
      <name val="Verdana"/>
      <family val="2"/>
      <color rgb="FF000000"/>
      <sz val="12"/>
    </font>
    <font>
      <name val="Calibri"/>
      <family val="2"/>
      <color rgb="FF000000"/>
      <sz val="12"/>
    </font>
    <font>
      <name val="Calibri"/>
      <family val="2"/>
      <color theme="1"/>
      <sz val="12"/>
    </font>
    <font>
      <name val="Verdana"/>
      <family val="2"/>
      <i val="1"/>
      <color rgb="FFA5A5A5"/>
      <sz val="12"/>
    </font>
    <font>
      <name val="Verdana"/>
      <family val="2"/>
      <color rgb="FF0000FF"/>
      <sz val="11"/>
      <u val="single"/>
    </font>
    <font>
      <name val="Verdana"/>
      <family val="2"/>
      <color rgb="FF0000FF"/>
      <sz val="11"/>
      <u val="single"/>
    </font>
    <font>
      <name val="Calibri"/>
      <family val="2"/>
      <color rgb="FF000000"/>
      <sz val="11"/>
    </font>
    <font>
      <name val="Calibri"/>
      <family val="2"/>
      <color theme="1"/>
      <sz val="11"/>
      <scheme val="minor"/>
    </font>
    <font>
      <name val="Arial"/>
      <family val="2"/>
      <color rgb="FF2E3D0F"/>
      <sz val="11"/>
    </font>
    <font>
      <name val="Arial"/>
      <family val="2"/>
      <color rgb="FF2E3D0F"/>
      <sz val="11"/>
      <u val="single"/>
    </font>
    <font>
      <name val="Arial"/>
      <family val="2"/>
      <color rgb="FF000000"/>
      <sz val="11"/>
    </font>
    <font>
      <name val="Calibri"/>
      <family val="2"/>
      <color theme="1"/>
      <sz val="9"/>
    </font>
    <font>
      <name val="Arial"/>
      <family val="2"/>
      <color theme="1"/>
      <sz val="10"/>
    </font>
    <font>
      <name val="Arial"/>
      <family val="2"/>
      <b val="1"/>
      <color rgb="FFFFFFFF"/>
      <sz val="13"/>
    </font>
    <font>
      <name val="Arial"/>
      <family val="2"/>
      <i val="1"/>
      <color rgb="FF595959"/>
      <sz val="10"/>
    </font>
    <font>
      <name val="Arial"/>
      <family val="2"/>
      <b val="1"/>
      <color rgb="FFFFFFFF"/>
      <sz val="11"/>
    </font>
    <font>
      <name val="Arial"/>
      <family val="2"/>
      <sz val="10"/>
    </font>
    <font>
      <name val="Google Sans Text"/>
      <b val="1"/>
      <color rgb="FF303030"/>
      <sz val="12"/>
    </font>
    <font>
      <name val="Calibri"/>
      <family val="2"/>
      <sz val="8"/>
      <scheme val="minor"/>
    </font>
  </fonts>
  <fills count="12">
    <fill>
      <patternFill/>
    </fill>
    <fill>
      <patternFill patternType="gray125"/>
    </fill>
    <fill>
      <patternFill patternType="solid">
        <fgColor theme="0"/>
        <bgColor theme="0"/>
      </patternFill>
    </fill>
    <fill>
      <patternFill patternType="solid">
        <fgColor rgb="FFD8D8D8"/>
        <bgColor rgb="FFD8D8D8"/>
      </patternFill>
    </fill>
    <fill>
      <patternFill patternType="solid">
        <fgColor rgb="FFFFFFFF"/>
        <bgColor rgb="FFFFFFFF"/>
      </patternFill>
    </fill>
    <fill>
      <patternFill patternType="solid">
        <fgColor rgb="FFFFFF00"/>
        <bgColor rgb="FFFFFF00"/>
      </patternFill>
    </fill>
    <fill>
      <patternFill patternType="solid">
        <fgColor rgb="FF548DD4"/>
        <bgColor rgb="FF548DD4"/>
      </patternFill>
    </fill>
    <fill>
      <patternFill patternType="solid">
        <fgColor rgb="FFC4BD97"/>
        <bgColor rgb="FFC4BD97"/>
      </patternFill>
    </fill>
    <fill>
      <patternFill patternType="solid">
        <fgColor rgb="FFDBE5F1"/>
        <bgColor rgb="FFDBE5F1"/>
      </patternFill>
    </fill>
    <fill>
      <patternFill patternType="solid">
        <fgColor rgb="FF1F4E78"/>
      </patternFill>
    </fill>
    <fill>
      <patternFill patternType="solid">
        <fgColor rgb="FF305496"/>
      </patternFill>
    </fill>
    <fill>
      <patternFill patternType="solid">
        <fgColor rgb="FFF2F2F2"/>
      </patternFill>
    </fill>
  </fills>
  <borders count="76">
    <border>
      <left/>
      <right/>
      <top/>
      <bottom/>
      <diagonal/>
    </border>
    <border>
      <left/>
      <right/>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right style="medium">
        <color rgb="FF000000"/>
      </right>
      <top style="thin">
        <color rgb="FF000000"/>
      </top>
      <bottom/>
      <diagonal/>
    </border>
    <border>
      <left style="medium">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top/>
      <bottom style="thin">
        <color rgb="FF000000"/>
      </bottom>
      <diagonal/>
    </border>
    <border>
      <left/>
      <right style="medium">
        <color rgb="FF000000"/>
      </right>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right style="thin">
        <color rgb="FF000000"/>
      </right>
      <top style="medium">
        <color rgb="FF000000"/>
      </top>
      <bottom/>
      <diagonal/>
    </border>
    <border>
      <left style="medium">
        <color rgb="FF000000"/>
      </left>
      <right/>
      <top/>
      <bottom/>
      <diagonal/>
    </border>
    <border>
      <left/>
      <right style="thin">
        <color rgb="FF000000"/>
      </right>
      <top/>
      <bottom style="medium">
        <color rgb="FF000000"/>
      </bottom>
      <diagonal/>
    </border>
    <border>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right style="medium">
        <color rgb="FF000000"/>
      </right>
      <top/>
      <bottom/>
      <diagonal/>
    </border>
    <border>
      <left/>
      <right style="thin">
        <color rgb="FF000000"/>
      </right>
      <top style="medium">
        <color rgb="FF000000"/>
      </top>
      <bottom style="medium">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thin">
        <color rgb="FF000000"/>
      </right>
      <top style="medium">
        <color rgb="FF000000"/>
      </top>
      <bottom/>
      <diagonal/>
    </border>
    <border>
      <left style="medium">
        <color rgb="FF000000"/>
      </left>
      <right style="thin">
        <color rgb="FF000000"/>
      </right>
      <top/>
      <bottom style="medium">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medium">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style="medium">
        <color rgb="FF000000"/>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medium">
        <color rgb="FFCCCCCC"/>
      </left>
      <right style="medium">
        <color rgb="FF000000"/>
      </right>
      <top style="medium">
        <color rgb="FFCCCCCC"/>
      </top>
      <bottom style="medium">
        <color rgb="FFCCCCCC"/>
      </bottom>
      <diagonal/>
    </border>
    <border>
      <left style="thin">
        <color auto="1"/>
      </left>
      <right style="medium">
        <color auto="1"/>
      </right>
      <top style="thin">
        <color auto="1"/>
      </top>
      <bottom style="thin">
        <color auto="1"/>
      </bottom>
      <diagonal/>
    </border>
    <border>
      <left style="thin">
        <color rgb="FF000000"/>
      </left>
      <right style="thin">
        <color rgb="FF000000"/>
      </right>
      <top/>
      <bottom/>
      <diagonal/>
    </border>
    <border>
      <left style="medium"/>
      <right style="medium"/>
      <top style="medium"/>
      <bottom style="medium"/>
    </border>
  </borders>
  <cellStyleXfs count="1">
    <xf numFmtId="0" fontId="0" fillId="0" borderId="1"/>
  </cellStyleXfs>
  <cellXfs count="276">
    <xf numFmtId="0" fontId="0" fillId="0" borderId="0" pivotButton="0" quotePrefix="0" xfId="0"/>
    <xf numFmtId="0" fontId="4" fillId="2" borderId="1" pivotButton="0" quotePrefix="0" xfId="0"/>
    <xf numFmtId="0" fontId="4" fillId="0" borderId="0" pivotButton="0" quotePrefix="0" xfId="0"/>
    <xf numFmtId="0" fontId="10" fillId="0" borderId="4" applyAlignment="1" pivotButton="0" quotePrefix="0" xfId="0">
      <alignment horizontal="center" vertical="center" wrapText="1"/>
    </xf>
    <xf numFmtId="0" fontId="8" fillId="0" borderId="12" applyAlignment="1" pivotButton="0" quotePrefix="0" xfId="0">
      <alignment horizontal="center" vertical="center"/>
    </xf>
    <xf numFmtId="0" fontId="4" fillId="0" borderId="0" applyAlignment="1" pivotButton="0" quotePrefix="0" xfId="0">
      <alignment wrapText="1"/>
    </xf>
    <xf numFmtId="0" fontId="8" fillId="0" borderId="32" applyAlignment="1" pivotButton="0" quotePrefix="0" xfId="0">
      <alignment horizontal="center" vertical="center"/>
    </xf>
    <xf numFmtId="0" fontId="8" fillId="0" borderId="14" applyAlignment="1" pivotButton="0" quotePrefix="0" xfId="0">
      <alignment vertical="center"/>
    </xf>
    <xf numFmtId="0" fontId="4" fillId="0" borderId="27" pivotButton="0" quotePrefix="0" xfId="0"/>
    <xf numFmtId="0" fontId="4" fillId="0" borderId="28" pivotButton="0" quotePrefix="0" xfId="0"/>
    <xf numFmtId="0" fontId="4" fillId="0" borderId="30" pivotButton="0" quotePrefix="0" xfId="0"/>
    <xf numFmtId="0" fontId="4" fillId="0" borderId="31" pivotButton="0" quotePrefix="0" xfId="0"/>
    <xf numFmtId="0" fontId="4" fillId="0" borderId="26" pivotButton="0" quotePrefix="0" xfId="0"/>
    <xf numFmtId="0" fontId="4" fillId="0" borderId="34" pivotButton="0" quotePrefix="0" xfId="0"/>
    <xf numFmtId="0" fontId="4" fillId="0" borderId="38" pivotButton="0" quotePrefix="0" xfId="0"/>
    <xf numFmtId="0" fontId="4" fillId="0" borderId="2" applyAlignment="1" pivotButton="0" quotePrefix="0" xfId="0">
      <alignment horizontal="left"/>
    </xf>
    <xf numFmtId="0" fontId="4" fillId="0" borderId="0" applyAlignment="1" pivotButton="0" quotePrefix="0" xfId="0">
      <alignment horizontal="left"/>
    </xf>
    <xf numFmtId="0" fontId="4" fillId="0" borderId="29" pivotButton="0" quotePrefix="0" xfId="0"/>
    <xf numFmtId="0" fontId="4" fillId="4" borderId="1" pivotButton="0" quotePrefix="0" xfId="0"/>
    <xf numFmtId="164" fontId="4" fillId="4" borderId="1" pivotButton="0" quotePrefix="0" xfId="0"/>
    <xf numFmtId="0" fontId="6" fillId="2" borderId="40" applyAlignment="1" pivotButton="0" quotePrefix="0" xfId="0">
      <alignment horizontal="left" vertical="center"/>
    </xf>
    <xf numFmtId="0" fontId="5" fillId="0" borderId="0" applyAlignment="1" pivotButton="0" quotePrefix="0" xfId="0">
      <alignment vertical="center" wrapText="1"/>
    </xf>
    <xf numFmtId="0" fontId="6" fillId="2" borderId="1" applyAlignment="1" pivotButton="0" quotePrefix="0" xfId="0">
      <alignment vertical="top"/>
    </xf>
    <xf numFmtId="0" fontId="6" fillId="2" borderId="43" applyAlignment="1" pivotButton="0" quotePrefix="0" xfId="0">
      <alignment horizontal="left" vertical="center"/>
    </xf>
    <xf numFmtId="0" fontId="4" fillId="4" borderId="0" pivotButton="0" quotePrefix="0" xfId="0"/>
    <xf numFmtId="164" fontId="4" fillId="4" borderId="0" pivotButton="0" quotePrefix="0" xfId="0"/>
    <xf numFmtId="0" fontId="13" fillId="5" borderId="41" applyAlignment="1" pivotButton="0" quotePrefix="0" xfId="0">
      <alignment horizontal="center" vertical="center" wrapText="1"/>
    </xf>
    <xf numFmtId="164" fontId="13" fillId="5" borderId="41" applyAlignment="1" pivotButton="0" quotePrefix="0" xfId="0">
      <alignment horizontal="center" vertical="center" wrapText="1"/>
    </xf>
    <xf numFmtId="0" fontId="13" fillId="0" borderId="44" applyAlignment="1" pivotButton="0" quotePrefix="0" xfId="0">
      <alignment horizontal="center" vertical="center" wrapText="1"/>
    </xf>
    <xf numFmtId="0" fontId="4" fillId="0" borderId="41" applyAlignment="1" pivotButton="0" quotePrefix="0" xfId="0">
      <alignment vertical="center" wrapText="1"/>
    </xf>
    <xf numFmtId="0" fontId="10" fillId="5" borderId="41" applyAlignment="1" pivotButton="0" quotePrefix="0" xfId="0">
      <alignment horizontal="center" vertical="center" wrapText="1"/>
    </xf>
    <xf numFmtId="0" fontId="10" fillId="0" borderId="44" applyAlignment="1" pivotButton="0" quotePrefix="0" xfId="0">
      <alignment wrapText="1"/>
    </xf>
    <xf numFmtId="0" fontId="20" fillId="0" borderId="44" applyAlignment="1" pivotButton="0" quotePrefix="0" xfId="0">
      <alignment wrapText="1"/>
    </xf>
    <xf numFmtId="0" fontId="4" fillId="5" borderId="41" applyAlignment="1" pivotButton="0" quotePrefix="0" xfId="0">
      <alignment horizontal="center" vertical="center" wrapText="1"/>
    </xf>
    <xf numFmtId="0" fontId="10" fillId="0" borderId="41" applyAlignment="1" pivotButton="0" quotePrefix="0" xfId="0">
      <alignment horizontal="center" vertical="center" wrapText="1"/>
    </xf>
    <xf numFmtId="165" fontId="10" fillId="5" borderId="41" applyAlignment="1" pivotButton="0" quotePrefix="0" xfId="0">
      <alignment horizontal="center" vertical="center" wrapText="1"/>
    </xf>
    <xf numFmtId="164" fontId="10" fillId="5" borderId="41" applyAlignment="1" pivotButton="0" quotePrefix="0" xfId="0">
      <alignment horizontal="center" vertical="center" wrapText="1"/>
    </xf>
    <xf numFmtId="0" fontId="10" fillId="0" borderId="44" applyAlignment="1" pivotButton="0" quotePrefix="0" xfId="0">
      <alignment horizontal="center" vertical="center" wrapText="1"/>
    </xf>
    <xf numFmtId="0" fontId="4" fillId="0" borderId="44" applyAlignment="1" pivotButton="0" quotePrefix="0" xfId="0">
      <alignment horizontal="left" vertical="center" wrapText="1"/>
    </xf>
    <xf numFmtId="165" fontId="10" fillId="5" borderId="44" applyAlignment="1" pivotButton="0" quotePrefix="0" xfId="0">
      <alignment horizontal="center" vertical="center" wrapText="1"/>
    </xf>
    <xf numFmtId="0" fontId="10" fillId="0" borderId="44" applyAlignment="1" pivotButton="0" quotePrefix="0" xfId="0">
      <alignment horizontal="left" vertical="center" wrapText="1"/>
    </xf>
    <xf numFmtId="0" fontId="10" fillId="5" borderId="44" applyAlignment="1" pivotButton="0" quotePrefix="0" xfId="0">
      <alignment horizontal="center" vertical="center" wrapText="1"/>
    </xf>
    <xf numFmtId="164" fontId="10" fillId="5" borderId="44" applyAlignment="1" pivotButton="0" quotePrefix="0" xfId="0">
      <alignment horizontal="center" vertical="center" wrapText="1"/>
    </xf>
    <xf numFmtId="0" fontId="10" fillId="0" borderId="44" applyAlignment="1" pivotButton="0" quotePrefix="0" xfId="0">
      <alignment vertical="center" wrapText="1"/>
    </xf>
    <xf numFmtId="165" fontId="10" fillId="5" borderId="44" applyAlignment="1" pivotButton="0" quotePrefix="0" xfId="0">
      <alignment vertical="center" wrapText="1"/>
    </xf>
    <xf numFmtId="164" fontId="10" fillId="5" borderId="44" applyAlignment="1" pivotButton="0" quotePrefix="0" xfId="0">
      <alignment horizontal="left" vertical="center" wrapText="1"/>
    </xf>
    <xf numFmtId="0" fontId="4" fillId="0" borderId="44" applyAlignment="1" pivotButton="0" quotePrefix="0" xfId="0">
      <alignment vertical="center" wrapText="1"/>
    </xf>
    <xf numFmtId="0" fontId="4" fillId="5" borderId="44" applyAlignment="1" pivotButton="0" quotePrefix="0" xfId="0">
      <alignment horizontal="center" vertical="center" wrapText="1"/>
    </xf>
    <xf numFmtId="0" fontId="10" fillId="5" borderId="44" applyAlignment="1" pivotButton="0" quotePrefix="0" xfId="0">
      <alignment vertical="center" wrapText="1"/>
    </xf>
    <xf numFmtId="0" fontId="4" fillId="0" borderId="44" pivotButton="0" quotePrefix="0" xfId="0"/>
    <xf numFmtId="0" fontId="4" fillId="2" borderId="44" applyAlignment="1" pivotButton="0" quotePrefix="0" xfId="0">
      <alignment horizontal="center" vertical="center" wrapText="1"/>
    </xf>
    <xf numFmtId="0" fontId="10" fillId="2" borderId="44" applyAlignment="1" pivotButton="0" quotePrefix="0" xfId="0">
      <alignment horizontal="center" vertical="center" wrapText="1"/>
    </xf>
    <xf numFmtId="0" fontId="22" fillId="0" borderId="44" applyAlignment="1" pivotButton="0" quotePrefix="0" xfId="0">
      <alignment horizontal="center" vertical="center" wrapText="1"/>
    </xf>
    <xf numFmtId="0" fontId="4" fillId="4" borderId="44" applyAlignment="1" pivotButton="0" quotePrefix="0" xfId="0">
      <alignment horizontal="center" vertical="center" wrapText="1"/>
    </xf>
    <xf numFmtId="0" fontId="4" fillId="0" borderId="44" applyAlignment="1" pivotButton="0" quotePrefix="0" xfId="0">
      <alignment horizontal="center" vertical="center" wrapText="1"/>
    </xf>
    <xf numFmtId="165" fontId="10" fillId="5" borderId="44" applyAlignment="1" pivotButton="0" quotePrefix="0" xfId="0">
      <alignment horizontal="center" vertical="center"/>
    </xf>
    <xf numFmtId="164" fontId="10" fillId="5" borderId="44" applyAlignment="1" pivotButton="0" quotePrefix="0" xfId="0">
      <alignment horizontal="center" vertical="center"/>
    </xf>
    <xf numFmtId="0" fontId="4" fillId="5" borderId="0" pivotButton="0" quotePrefix="0" xfId="0"/>
    <xf numFmtId="164" fontId="4" fillId="5" borderId="0" pivotButton="0" quotePrefix="0" xfId="0"/>
    <xf numFmtId="0" fontId="23" fillId="4" borderId="0" pivotButton="0" quotePrefix="0" xfId="0"/>
    <xf numFmtId="0" fontId="23" fillId="5" borderId="0" pivotButton="0" quotePrefix="0" xfId="0"/>
    <xf numFmtId="164" fontId="10" fillId="5" borderId="0" pivotButton="0" quotePrefix="0" xfId="0"/>
    <xf numFmtId="0" fontId="6" fillId="2" borderId="44" applyAlignment="1" pivotButton="0" quotePrefix="0" xfId="0">
      <alignment horizontal="left" vertical="center"/>
    </xf>
    <xf numFmtId="0" fontId="13" fillId="0" borderId="45" applyAlignment="1" pivotButton="0" quotePrefix="0" xfId="0">
      <alignment horizontal="center" vertical="center" wrapText="1"/>
    </xf>
    <xf numFmtId="0" fontId="13" fillId="0" borderId="46" applyAlignment="1" pivotButton="0" quotePrefix="0" xfId="0">
      <alignment horizontal="center" vertical="center" wrapText="1"/>
    </xf>
    <xf numFmtId="0" fontId="13" fillId="0" borderId="47" applyAlignment="1" pivotButton="0" quotePrefix="0" xfId="0">
      <alignment horizontal="center" vertical="center" wrapText="1"/>
    </xf>
    <xf numFmtId="0" fontId="13" fillId="0" borderId="48" applyAlignment="1" pivotButton="0" quotePrefix="0" xfId="0">
      <alignment horizontal="center" vertical="center" wrapText="1"/>
    </xf>
    <xf numFmtId="0" fontId="10" fillId="0" borderId="49" applyAlignment="1" pivotButton="0" quotePrefix="0" xfId="0">
      <alignment horizontal="center" vertical="center" wrapText="1"/>
    </xf>
    <xf numFmtId="0" fontId="10" fillId="0" borderId="50" applyAlignment="1" pivotButton="0" quotePrefix="0" xfId="0">
      <alignment horizontal="center" vertical="center" wrapText="1"/>
    </xf>
    <xf numFmtId="0" fontId="10" fillId="0" borderId="37" applyAlignment="1" pivotButton="0" quotePrefix="0" xfId="0">
      <alignment horizontal="center" vertical="center" wrapText="1"/>
    </xf>
    <xf numFmtId="166" fontId="10" fillId="0" borderId="44" applyAlignment="1" pivotButton="0" quotePrefix="0" xfId="0">
      <alignment horizontal="center" vertical="center" wrapText="1"/>
    </xf>
    <xf numFmtId="166" fontId="10" fillId="0" borderId="51" applyAlignment="1" pivotButton="0" quotePrefix="0" xfId="0">
      <alignment horizontal="center" vertical="center" wrapText="1"/>
    </xf>
    <xf numFmtId="0" fontId="10" fillId="0" borderId="52" applyAlignment="1" pivotButton="0" quotePrefix="0" xfId="0">
      <alignment horizontal="center" vertical="center" wrapText="1"/>
    </xf>
    <xf numFmtId="0" fontId="4" fillId="0" borderId="52" applyAlignment="1" pivotButton="0" quotePrefix="0" xfId="0">
      <alignment horizontal="center" vertical="center" wrapText="1"/>
    </xf>
    <xf numFmtId="0" fontId="24" fillId="4" borderId="44" applyAlignment="1" pivotButton="0" quotePrefix="0" xfId="0">
      <alignment horizontal="center" wrapText="1"/>
    </xf>
    <xf numFmtId="0" fontId="22" fillId="4" borderId="44" applyAlignment="1" pivotButton="0" quotePrefix="0" xfId="0">
      <alignment horizontal="center" wrapText="1"/>
    </xf>
    <xf numFmtId="4" fontId="24" fillId="4" borderId="44" applyAlignment="1" pivotButton="0" quotePrefix="0" xfId="0">
      <alignment horizontal="center" wrapText="1"/>
    </xf>
    <xf numFmtId="0" fontId="25" fillId="4" borderId="44" applyAlignment="1" pivotButton="0" quotePrefix="0" xfId="0">
      <alignment horizontal="center" wrapText="1"/>
    </xf>
    <xf numFmtId="0" fontId="26" fillId="4" borderId="44" applyAlignment="1" pivotButton="0" quotePrefix="0" xfId="0">
      <alignment horizontal="center" wrapText="1"/>
    </xf>
    <xf numFmtId="4" fontId="26" fillId="4" borderId="44" applyAlignment="1" pivotButton="0" quotePrefix="0" xfId="0">
      <alignment horizontal="center" wrapText="1"/>
    </xf>
    <xf numFmtId="0" fontId="4" fillId="0" borderId="53" applyAlignment="1" pivotButton="0" quotePrefix="0" xfId="0">
      <alignment horizontal="center" vertical="center" wrapText="1"/>
    </xf>
    <xf numFmtId="4" fontId="13" fillId="0" borderId="41" applyAlignment="1" pivotButton="0" quotePrefix="0" xfId="0">
      <alignment horizontal="center" vertical="center" wrapText="1"/>
    </xf>
    <xf numFmtId="4" fontId="13" fillId="0" borderId="54" applyAlignment="1" pivotButton="0" quotePrefix="0" xfId="0">
      <alignment horizontal="center" vertical="center" wrapText="1"/>
    </xf>
    <xf numFmtId="4" fontId="13" fillId="0" borderId="44" applyAlignment="1" pivotButton="0" quotePrefix="0" xfId="0">
      <alignment horizontal="center" vertical="center" wrapText="1"/>
    </xf>
    <xf numFmtId="0" fontId="4" fillId="0" borderId="55" applyAlignment="1" pivotButton="0" quotePrefix="0" xfId="0">
      <alignment horizontal="center" vertical="center" wrapText="1"/>
    </xf>
    <xf numFmtId="0" fontId="13" fillId="0" borderId="42" applyAlignment="1" pivotButton="0" quotePrefix="0" xfId="0">
      <alignment horizontal="center" vertical="center" wrapText="1"/>
    </xf>
    <xf numFmtId="4" fontId="13" fillId="0" borderId="42" applyAlignment="1" pivotButton="0" quotePrefix="0" xfId="0">
      <alignment horizontal="center" vertical="center" wrapText="1"/>
    </xf>
    <xf numFmtId="4" fontId="13" fillId="0" borderId="56" applyAlignment="1" pivotButton="0" quotePrefix="0" xfId="0">
      <alignment horizontal="center" vertical="center" wrapText="1"/>
    </xf>
    <xf numFmtId="4" fontId="13" fillId="0" borderId="51" applyAlignment="1" pivotButton="0" quotePrefix="0" xfId="0">
      <alignment horizontal="center" vertical="center" wrapText="1"/>
    </xf>
    <xf numFmtId="0" fontId="4" fillId="0" borderId="57" applyAlignment="1" pivotButton="0" quotePrefix="0" xfId="0">
      <alignment horizontal="center" vertical="center" wrapText="1"/>
    </xf>
    <xf numFmtId="0" fontId="13" fillId="0" borderId="58" applyAlignment="1" pivotButton="0" quotePrefix="0" xfId="0">
      <alignment horizontal="center" vertical="center" wrapText="1"/>
    </xf>
    <xf numFmtId="4" fontId="13" fillId="0" borderId="58" applyAlignment="1" pivotButton="0" quotePrefix="0" xfId="0">
      <alignment horizontal="center" vertical="center" wrapText="1"/>
    </xf>
    <xf numFmtId="4" fontId="13" fillId="0" borderId="59" applyAlignment="1" pivotButton="0" quotePrefix="0" xfId="0">
      <alignment horizontal="center" vertical="center" wrapText="1"/>
    </xf>
    <xf numFmtId="0" fontId="23" fillId="0" borderId="0" pivotButton="0" quotePrefix="0" xfId="0"/>
    <xf numFmtId="0" fontId="10" fillId="6" borderId="44" applyAlignment="1" pivotButton="0" quotePrefix="0" xfId="0">
      <alignment horizontal="center"/>
    </xf>
    <xf numFmtId="0" fontId="10" fillId="0" borderId="44" applyAlignment="1" pivotButton="0" quotePrefix="0" xfId="0">
      <alignment horizontal="center"/>
    </xf>
    <xf numFmtId="0" fontId="10" fillId="2" borderId="44" applyAlignment="1" pivotButton="0" quotePrefix="0" xfId="0">
      <alignment horizontal="center"/>
    </xf>
    <xf numFmtId="0" fontId="10" fillId="0" borderId="0" applyAlignment="1" pivotButton="0" quotePrefix="0" xfId="0">
      <alignment horizontal="center"/>
    </xf>
    <xf numFmtId="0" fontId="10" fillId="0" borderId="44" applyAlignment="1" pivotButton="0" quotePrefix="0" xfId="0">
      <alignment horizontal="left"/>
    </xf>
    <xf numFmtId="0" fontId="10" fillId="0" borderId="0" pivotButton="0" quotePrefix="0" xfId="0"/>
    <xf numFmtId="0" fontId="10" fillId="0" borderId="44" applyAlignment="1" pivotButton="0" quotePrefix="0" xfId="0">
      <alignment horizontal="center" wrapText="1"/>
    </xf>
    <xf numFmtId="0" fontId="10" fillId="7" borderId="1" pivotButton="0" quotePrefix="0" xfId="0"/>
    <xf numFmtId="0" fontId="10" fillId="8" borderId="44" applyAlignment="1" pivotButton="0" quotePrefix="0" xfId="0">
      <alignment horizontal="center"/>
    </xf>
    <xf numFmtId="0" fontId="27" fillId="0" borderId="44" pivotButton="0" quotePrefix="0" xfId="0"/>
    <xf numFmtId="0" fontId="27" fillId="2" borderId="44" applyAlignment="1" pivotButton="0" quotePrefix="0" xfId="0">
      <alignment vertical="top"/>
    </xf>
    <xf numFmtId="0" fontId="10" fillId="0" borderId="0" applyAlignment="1" pivotButton="0" quotePrefix="0" xfId="0">
      <alignment wrapText="1"/>
    </xf>
    <xf numFmtId="0" fontId="28" fillId="2" borderId="44" applyAlignment="1" pivotButton="0" quotePrefix="0" xfId="0">
      <alignment vertical="top"/>
    </xf>
    <xf numFmtId="0" fontId="28" fillId="0" borderId="0" pivotButton="0" quotePrefix="0" xfId="0"/>
    <xf numFmtId="0" fontId="9" fillId="0" borderId="0" pivotButton="0" quotePrefix="0" xfId="0"/>
    <xf numFmtId="0" fontId="13" fillId="0" borderId="41" applyAlignment="1" pivotButton="0" quotePrefix="0" xfId="0">
      <alignment horizontal="center" vertical="center" wrapText="1"/>
    </xf>
    <xf numFmtId="0" fontId="21" fillId="0" borderId="44" applyAlignment="1" pivotButton="0" quotePrefix="0" xfId="0">
      <alignment horizontal="center" vertical="center" wrapText="1"/>
    </xf>
    <xf numFmtId="0" fontId="31" fillId="10" borderId="70" applyAlignment="1" pivotButton="0" quotePrefix="0" xfId="0">
      <alignment horizontal="center" vertical="center" wrapText="1"/>
    </xf>
    <xf numFmtId="0" fontId="32" fillId="0" borderId="70" applyAlignment="1" pivotButton="0" quotePrefix="0" xfId="0">
      <alignment horizontal="center" vertical="center" wrapText="1"/>
    </xf>
    <xf numFmtId="0" fontId="32" fillId="0" borderId="70" applyAlignment="1" pivotButton="0" quotePrefix="0" xfId="0">
      <alignment vertical="center" wrapText="1"/>
    </xf>
    <xf numFmtId="0" fontId="32" fillId="11" borderId="70" applyAlignment="1" pivotButton="0" quotePrefix="0" xfId="0">
      <alignment horizontal="center" vertical="center" wrapText="1"/>
    </xf>
    <xf numFmtId="0" fontId="32" fillId="11" borderId="70" applyAlignment="1" pivotButton="0" quotePrefix="0" xfId="0">
      <alignment vertical="center" wrapText="1"/>
    </xf>
    <xf numFmtId="0" fontId="10" fillId="0" borderId="70" applyAlignment="1" pivotButton="0" quotePrefix="0" xfId="0">
      <alignment vertical="center" wrapText="1"/>
    </xf>
    <xf numFmtId="0" fontId="10" fillId="5" borderId="70" applyAlignment="1" pivotButton="0" quotePrefix="0" xfId="0">
      <alignment horizontal="center" vertical="center" wrapText="1"/>
    </xf>
    <xf numFmtId="0" fontId="10" fillId="0" borderId="70" applyAlignment="1" pivotButton="0" quotePrefix="0" xfId="0">
      <alignment horizontal="center" vertical="center" wrapText="1"/>
    </xf>
    <xf numFmtId="0" fontId="10" fillId="5" borderId="70" applyAlignment="1" pivotButton="0" quotePrefix="0" xfId="0">
      <alignment vertical="center" wrapText="1"/>
    </xf>
    <xf numFmtId="0" fontId="21" fillId="0" borderId="70" applyAlignment="1" pivotButton="0" quotePrefix="0" xfId="0">
      <alignment horizontal="center" vertical="center" wrapText="1"/>
    </xf>
    <xf numFmtId="0" fontId="4" fillId="0" borderId="70" pivotButton="0" quotePrefix="0" xfId="0"/>
    <xf numFmtId="0" fontId="33" fillId="0" borderId="0" applyAlignment="1" pivotButton="0" quotePrefix="0" xfId="0">
      <alignment horizontal="center" vertical="center" wrapText="1"/>
    </xf>
    <xf numFmtId="0" fontId="4" fillId="0" borderId="4" applyAlignment="1" pivotButton="0" quotePrefix="0" xfId="0">
      <alignment horizontal="center" vertical="center" wrapText="1"/>
    </xf>
    <xf numFmtId="0" fontId="10" fillId="0" borderId="6" applyAlignment="1" pivotButton="0" quotePrefix="0" xfId="0">
      <alignment horizontal="center" vertical="center" wrapText="1"/>
    </xf>
    <xf numFmtId="0" fontId="4" fillId="0" borderId="6" applyAlignment="1" pivotButton="0" quotePrefix="0" xfId="0">
      <alignment horizontal="center" vertical="center" wrapText="1"/>
    </xf>
    <xf numFmtId="0" fontId="4" fillId="0" borderId="43" applyAlignment="1" pivotButton="0" quotePrefix="0" xfId="0">
      <alignment horizontal="center" vertical="center" wrapText="1"/>
    </xf>
    <xf numFmtId="0" fontId="33" fillId="0" borderId="71" applyAlignment="1" pivotButton="0" quotePrefix="0" xfId="0">
      <alignment horizontal="center" vertical="center" wrapText="1"/>
    </xf>
    <xf numFmtId="0" fontId="10" fillId="0" borderId="71" applyAlignment="1" pivotButton="0" quotePrefix="0" xfId="0">
      <alignment horizontal="center" vertical="center" wrapText="1"/>
    </xf>
    <xf numFmtId="0" fontId="4" fillId="0" borderId="71" applyAlignment="1" pivotButton="0" quotePrefix="0" xfId="0">
      <alignment horizontal="center" vertical="center" wrapText="1"/>
    </xf>
    <xf numFmtId="0" fontId="3" fillId="0" borderId="72" applyAlignment="1" pivotButton="0" quotePrefix="0" xfId="0">
      <alignment horizontal="center" vertical="center" wrapText="1"/>
    </xf>
    <xf numFmtId="0" fontId="4" fillId="0" borderId="71" applyAlignment="1" applyProtection="1" pivotButton="0" quotePrefix="0" xfId="0">
      <alignment horizontal="left" vertical="center" wrapText="1"/>
      <protection locked="0" hidden="0"/>
    </xf>
    <xf numFmtId="0" fontId="4" fillId="0" borderId="71" applyAlignment="1" applyProtection="1" pivotButton="0" quotePrefix="0" xfId="0">
      <alignment horizontal="center" vertical="center" wrapText="1"/>
      <protection locked="0" hidden="0"/>
    </xf>
    <xf numFmtId="4" fontId="4" fillId="0" borderId="71" applyAlignment="1" applyProtection="1" pivotButton="0" quotePrefix="0" xfId="0">
      <alignment horizontal="center" vertical="center" wrapText="1"/>
      <protection locked="0" hidden="0"/>
    </xf>
    <xf numFmtId="0" fontId="4" fillId="0" borderId="73" applyAlignment="1" applyProtection="1" pivotButton="0" quotePrefix="0" xfId="0">
      <alignment horizontal="center" vertical="center" wrapText="1"/>
      <protection locked="0" hidden="0"/>
    </xf>
    <xf numFmtId="0" fontId="2" fillId="0" borderId="0" pivotButton="0" quotePrefix="0" xfId="0"/>
    <xf numFmtId="0" fontId="10" fillId="0" borderId="18" applyAlignment="1" pivotButton="0" quotePrefix="0" xfId="0">
      <alignment horizontal="center" vertical="center" wrapText="1"/>
    </xf>
    <xf numFmtId="4" fontId="10" fillId="5" borderId="6" applyAlignment="1" pivotButton="0" quotePrefix="0" xfId="0">
      <alignment horizontal="center" vertical="center" wrapText="1"/>
    </xf>
    <xf numFmtId="4" fontId="10" fillId="5" borderId="25" applyAlignment="1" pivotButton="0" quotePrefix="0" xfId="0">
      <alignment horizontal="center" vertical="center" wrapText="1"/>
    </xf>
    <xf numFmtId="0" fontId="4" fillId="0" borderId="4" pivotButton="0" quotePrefix="0" xfId="0"/>
    <xf numFmtId="0" fontId="4" fillId="0" borderId="41" pivotButton="0" quotePrefix="0" xfId="0"/>
    <xf numFmtId="0" fontId="4" fillId="0" borderId="43" pivotButton="0" quotePrefix="0" xfId="0"/>
    <xf numFmtId="0" fontId="4" fillId="0" borderId="71" pivotButton="0" quotePrefix="0" xfId="0"/>
    <xf numFmtId="0" fontId="1" fillId="0" borderId="71" pivotButton="0" quotePrefix="0" xfId="0"/>
    <xf numFmtId="0" fontId="4" fillId="4" borderId="44" applyAlignment="1" pivotButton="0" quotePrefix="0" xfId="0">
      <alignment horizontal="center"/>
    </xf>
    <xf numFmtId="0" fontId="0" fillId="0" borderId="3"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1" pivotButton="0" quotePrefix="0" xfId="0"/>
    <xf numFmtId="0" fontId="6" fillId="2" borderId="44" applyAlignment="1" pivotButton="0" quotePrefix="0" xfId="0">
      <alignment horizontal="left" vertical="center"/>
    </xf>
    <xf numFmtId="0" fontId="0" fillId="0" borderId="42" pivotButton="0" quotePrefix="0" xfId="0"/>
    <xf numFmtId="0" fontId="8" fillId="4" borderId="69" applyAlignment="1" pivotButton="0" quotePrefix="0" xfId="0">
      <alignment horizontal="center" vertical="center" wrapText="1"/>
    </xf>
    <xf numFmtId="0" fontId="0" fillId="0" borderId="27" pivotButton="0" quotePrefix="0" xfId="0"/>
    <xf numFmtId="0" fontId="0" fillId="0" borderId="28" pivotButton="0" quotePrefix="0" xfId="0"/>
    <xf numFmtId="0" fontId="5" fillId="0" borderId="44" applyAlignment="1" pivotButton="0" quotePrefix="0" xfId="0">
      <alignment horizontal="center" vertical="center" wrapText="1"/>
    </xf>
    <xf numFmtId="0" fontId="0" fillId="0" borderId="2" pivotButton="0" quotePrefix="0" xfId="0"/>
    <xf numFmtId="0" fontId="0" fillId="0" borderId="0" pivotButton="0" quotePrefix="0" xfId="0"/>
    <xf numFmtId="0" fontId="0" fillId="0" borderId="10" pivotButton="0" quotePrefix="0" xfId="0"/>
    <xf numFmtId="0" fontId="7" fillId="2" borderId="1" applyAlignment="1" pivotButton="0" quotePrefix="0" xfId="0">
      <alignment horizontal="center"/>
    </xf>
    <xf numFmtId="0" fontId="4" fillId="0" borderId="62" applyAlignment="1" pivotButton="0" quotePrefix="0" xfId="0">
      <alignment horizontal="center"/>
    </xf>
    <xf numFmtId="0" fontId="0" fillId="0" borderId="30" pivotButton="0" quotePrefix="0" xfId="0"/>
    <xf numFmtId="0" fontId="0" fillId="0" borderId="35" pivotButton="0" quotePrefix="0" xfId="0"/>
    <xf numFmtId="0" fontId="4" fillId="0" borderId="64" applyAlignment="1" pivotButton="0" quotePrefix="0" xfId="0">
      <alignment horizontal="center" vertical="center" wrapText="1"/>
    </xf>
    <xf numFmtId="0" fontId="0" fillId="0" borderId="21" pivotButton="0" quotePrefix="0" xfId="0"/>
    <xf numFmtId="0" fontId="0" fillId="0" borderId="23" pivotButton="0" quotePrefix="0" xfId="0"/>
    <xf numFmtId="0" fontId="13" fillId="0" borderId="34" applyAlignment="1" pivotButton="0" quotePrefix="0" xfId="0">
      <alignment horizontal="left"/>
    </xf>
    <xf numFmtId="0" fontId="8" fillId="0" borderId="12" applyAlignment="1" pivotButton="0" quotePrefix="0" xfId="0">
      <alignment horizontal="center" vertical="center"/>
    </xf>
    <xf numFmtId="0" fontId="0" fillId="0" borderId="13" pivotButton="0" quotePrefix="0" xfId="0"/>
    <xf numFmtId="0" fontId="4" fillId="0" borderId="51" applyAlignment="1" pivotButton="0" quotePrefix="0" xfId="0">
      <alignment horizontal="center"/>
    </xf>
    <xf numFmtId="0" fontId="0" fillId="0" borderId="5" pivotButton="0" quotePrefix="0" xfId="0"/>
    <xf numFmtId="0" fontId="0" fillId="0" borderId="19" pivotButton="0" quotePrefix="0" xfId="0"/>
    <xf numFmtId="0" fontId="10" fillId="0" borderId="18" applyAlignment="1" pivotButton="0" quotePrefix="0" xfId="0">
      <alignment horizontal="left" vertical="center"/>
    </xf>
    <xf numFmtId="0" fontId="11" fillId="0" borderId="59" applyAlignment="1" pivotButton="0" quotePrefix="0" xfId="0">
      <alignment horizontal="center" wrapText="1"/>
    </xf>
    <xf numFmtId="0" fontId="10" fillId="0" borderId="51" applyAlignment="1" pivotButton="0" quotePrefix="0" xfId="0">
      <alignment horizontal="center" wrapText="1" readingOrder="1"/>
    </xf>
    <xf numFmtId="0" fontId="10" fillId="0" borderId="52" applyAlignment="1" pivotButton="0" quotePrefix="0" xfId="0">
      <alignment horizontal="left" vertical="center"/>
    </xf>
    <xf numFmtId="0" fontId="0" fillId="0" borderId="6" pivotButton="0" quotePrefix="0" xfId="0"/>
    <xf numFmtId="0" fontId="10" fillId="0" borderId="56" applyAlignment="1" pivotButton="0" quotePrefix="0" xfId="0">
      <alignment horizontal="center"/>
    </xf>
    <xf numFmtId="0" fontId="0" fillId="0" borderId="25" pivotButton="0" quotePrefix="0" xfId="0"/>
    <xf numFmtId="0" fontId="10" fillId="0" borderId="52" applyAlignment="1" pivotButton="0" quotePrefix="0" xfId="0">
      <alignment horizontal="left"/>
    </xf>
    <xf numFmtId="0" fontId="10" fillId="0" borderId="18" applyAlignment="1" pivotButton="0" quotePrefix="0" xfId="0">
      <alignment horizontal="left"/>
    </xf>
    <xf numFmtId="0" fontId="10" fillId="0" borderId="20" applyAlignment="1" pivotButton="0" quotePrefix="0" xfId="0">
      <alignment horizontal="left"/>
    </xf>
    <xf numFmtId="0" fontId="8" fillId="3" borderId="32" applyAlignment="1" pivotButton="0" quotePrefix="0" xfId="0">
      <alignment horizontal="center" vertical="center"/>
    </xf>
    <xf numFmtId="0" fontId="0" fillId="0" borderId="14" pivotButton="0" quotePrefix="0" xfId="0"/>
    <xf numFmtId="164" fontId="4" fillId="0" borderId="63" applyAlignment="1" pivotButton="0" quotePrefix="0" xfId="0">
      <alignment horizontal="center" vertical="center"/>
    </xf>
    <xf numFmtId="0" fontId="0" fillId="0" borderId="15" pivotButton="0" quotePrefix="0" xfId="0"/>
    <xf numFmtId="0" fontId="0" fillId="0" borderId="16" pivotButton="0" quotePrefix="0" xfId="0"/>
    <xf numFmtId="0" fontId="4" fillId="0" borderId="61" applyAlignment="1" pivotButton="0" quotePrefix="0" xfId="0">
      <alignment horizontal="center"/>
    </xf>
    <xf numFmtId="0" fontId="0" fillId="0" borderId="33" pivotButton="0" quotePrefix="0" xfId="0"/>
    <xf numFmtId="0" fontId="10" fillId="0" borderId="24" applyAlignment="1" pivotButton="0" quotePrefix="0" xfId="0">
      <alignment horizontal="left"/>
    </xf>
    <xf numFmtId="0" fontId="10" fillId="0" borderId="51" applyAlignment="1" pivotButton="0" quotePrefix="0" xfId="0">
      <alignment horizontal="center"/>
    </xf>
    <xf numFmtId="0" fontId="4" fillId="0" borderId="44" applyAlignment="1" pivotButton="0" quotePrefix="0" xfId="0">
      <alignment horizontal="center" wrapText="1"/>
    </xf>
    <xf numFmtId="0" fontId="10" fillId="0" borderId="67" applyAlignment="1" pivotButton="0" quotePrefix="0" xfId="0">
      <alignment horizontal="left" vertical="center"/>
    </xf>
    <xf numFmtId="0" fontId="12" fillId="0" borderId="59" applyAlignment="1" pivotButton="0" quotePrefix="0" xfId="0">
      <alignment horizontal="center"/>
    </xf>
    <xf numFmtId="0" fontId="9" fillId="0" borderId="65" applyAlignment="1" pivotButton="0" quotePrefix="0" xfId="0">
      <alignment horizontal="left"/>
    </xf>
    <xf numFmtId="0" fontId="10" fillId="0" borderId="51" applyAlignment="1" pivotButton="0" quotePrefix="0" xfId="0">
      <alignment horizontal="center" vertical="center" wrapText="1" readingOrder="1"/>
    </xf>
    <xf numFmtId="0" fontId="8" fillId="0" borderId="32" applyAlignment="1" pivotButton="0" quotePrefix="0" xfId="0">
      <alignment horizontal="center" vertical="center" wrapText="1"/>
    </xf>
    <xf numFmtId="0" fontId="10" fillId="0" borderId="51" applyAlignment="1" pivotButton="0" quotePrefix="0" xfId="0">
      <alignment horizontal="center" wrapText="1"/>
    </xf>
    <xf numFmtId="0" fontId="10" fillId="0" borderId="18" applyAlignment="1" pivotButton="0" quotePrefix="0" xfId="0">
      <alignment horizontal="left" vertical="center" wrapText="1"/>
    </xf>
    <xf numFmtId="0" fontId="4" fillId="0" borderId="44" applyAlignment="1" pivotButton="0" quotePrefix="0" xfId="0">
      <alignment horizontal="center"/>
    </xf>
    <xf numFmtId="0" fontId="10" fillId="0" borderId="66" applyAlignment="1" pivotButton="0" quotePrefix="0" xfId="0">
      <alignment horizontal="left" vertical="center"/>
    </xf>
    <xf numFmtId="0" fontId="0" fillId="0" borderId="17" pivotButton="0" quotePrefix="0" xfId="0"/>
    <xf numFmtId="0" fontId="4" fillId="0" borderId="0" applyAlignment="1" pivotButton="0" quotePrefix="0" xfId="0">
      <alignment horizontal="center"/>
    </xf>
    <xf numFmtId="0" fontId="10" fillId="0" borderId="57" applyAlignment="1" pivotButton="0" quotePrefix="0" xfId="0">
      <alignment horizontal="left"/>
    </xf>
    <xf numFmtId="0" fontId="0" fillId="0" borderId="22" pivotButton="0" quotePrefix="0" xfId="0"/>
    <xf numFmtId="0" fontId="5" fillId="0" borderId="6" applyAlignment="1" pivotButton="0" quotePrefix="0" xfId="0">
      <alignment horizontal="center" vertical="center" wrapText="1"/>
    </xf>
    <xf numFmtId="0" fontId="8" fillId="0" borderId="32" applyAlignment="1" pivotButton="0" quotePrefix="0" xfId="0">
      <alignment horizontal="left" vertical="center" wrapText="1"/>
    </xf>
    <xf numFmtId="0" fontId="10" fillId="0" borderId="55" applyAlignment="1" pivotButton="0" quotePrefix="0" xfId="0">
      <alignment horizontal="left"/>
    </xf>
    <xf numFmtId="0" fontId="8" fillId="3" borderId="60" applyAlignment="1" pivotButton="0" quotePrefix="0" xfId="0">
      <alignment horizontal="center" vertical="center"/>
    </xf>
    <xf numFmtId="0" fontId="13" fillId="0" borderId="49" applyAlignment="1" pivotButton="0" quotePrefix="0" xfId="0">
      <alignment horizontal="center" vertical="center"/>
    </xf>
    <xf numFmtId="0" fontId="0" fillId="0" borderId="36" pivotButton="0" quotePrefix="0" xfId="0"/>
    <xf numFmtId="0" fontId="8" fillId="0" borderId="14" applyAlignment="1" pivotButton="0" quotePrefix="0" xfId="0">
      <alignment horizontal="center" vertical="center" wrapText="1"/>
    </xf>
    <xf numFmtId="0" fontId="8" fillId="0" borderId="32" applyAlignment="1" pivotButton="0" quotePrefix="0" xfId="0">
      <alignment horizontal="center" vertical="center"/>
    </xf>
    <xf numFmtId="49" fontId="8" fillId="0" borderId="32" applyAlignment="1" pivotButton="0" quotePrefix="0" xfId="0">
      <alignment horizontal="center" vertical="center"/>
    </xf>
    <xf numFmtId="0" fontId="0" fillId="0" borderId="29" pivotButton="0" quotePrefix="0" xfId="0"/>
    <xf numFmtId="0" fontId="0" fillId="0" borderId="31" pivotButton="0" quotePrefix="0" xfId="0"/>
    <xf numFmtId="37" fontId="4" fillId="0" borderId="63" applyAlignment="1" pivotButton="0" quotePrefix="0" xfId="0">
      <alignment horizontal="center" vertical="center"/>
    </xf>
    <xf numFmtId="0" fontId="4" fillId="0" borderId="27" applyAlignment="1" pivotButton="0" quotePrefix="0" xfId="0">
      <alignment horizontal="center"/>
    </xf>
    <xf numFmtId="0" fontId="14" fillId="0" borderId="51" applyAlignment="1" pivotButton="0" quotePrefix="0" xfId="0">
      <alignment horizontal="center" vertical="center"/>
    </xf>
    <xf numFmtId="0" fontId="9" fillId="3" borderId="32" applyAlignment="1" pivotButton="0" quotePrefix="0" xfId="0">
      <alignment horizontal="center"/>
    </xf>
    <xf numFmtId="0" fontId="13" fillId="0" borderId="7" applyAlignment="1" pivotButton="0" quotePrefix="0" xfId="0">
      <alignment horizontal="left"/>
    </xf>
    <xf numFmtId="0" fontId="10" fillId="0" borderId="51" applyAlignment="1" pivotButton="0" quotePrefix="0" xfId="0">
      <alignment horizontal="center" vertical="center" wrapText="1"/>
    </xf>
    <xf numFmtId="0" fontId="8" fillId="3" borderId="32" applyAlignment="1" pivotButton="0" quotePrefix="0" xfId="0">
      <alignment horizontal="center"/>
    </xf>
    <xf numFmtId="4" fontId="14" fillId="0" borderId="67" applyAlignment="1" pivotButton="0" quotePrefix="0" xfId="0">
      <alignment horizontal="center" vertical="center" wrapText="1"/>
    </xf>
    <xf numFmtId="0" fontId="15" fillId="0" borderId="32" applyAlignment="1" pivotButton="0" quotePrefix="0" xfId="0">
      <alignment horizontal="center" vertical="center" wrapText="1"/>
    </xf>
    <xf numFmtId="0" fontId="14" fillId="0" borderId="32" applyAlignment="1" pivotButton="0" quotePrefix="0" xfId="0">
      <alignment horizontal="left"/>
    </xf>
    <xf numFmtId="0" fontId="19" fillId="0" borderId="64" applyAlignment="1" pivotButton="0" quotePrefix="0" xfId="0">
      <alignment horizontal="center" vertical="center" wrapText="1"/>
    </xf>
    <xf numFmtId="0" fontId="17" fillId="0" borderId="32" applyAlignment="1" pivotButton="0" quotePrefix="0" xfId="0">
      <alignment horizontal="center" vertical="center" wrapText="1"/>
    </xf>
    <xf numFmtId="0" fontId="14" fillId="0" borderId="45" applyAlignment="1" pivotButton="0" quotePrefix="0" xfId="0">
      <alignment vertical="center"/>
    </xf>
    <xf numFmtId="0" fontId="0" fillId="0" borderId="34" pivotButton="0" quotePrefix="0" xfId="0"/>
    <xf numFmtId="0" fontId="14" fillId="0" borderId="32" applyAlignment="1" pivotButton="0" quotePrefix="0" xfId="0">
      <alignment horizontal="left" vertical="center" wrapText="1"/>
    </xf>
    <xf numFmtId="0" fontId="14" fillId="0" borderId="64" applyAlignment="1" pivotButton="0" quotePrefix="0" xfId="0">
      <alignment horizontal="left" vertical="center" wrapText="1"/>
    </xf>
    <xf numFmtId="0" fontId="16" fillId="0" borderId="34" applyAlignment="1" pivotButton="0" quotePrefix="0" xfId="0">
      <alignment horizontal="left" vertical="center" wrapText="1"/>
    </xf>
    <xf numFmtId="0" fontId="14" fillId="0" borderId="68" applyAlignment="1" pivotButton="0" quotePrefix="0" xfId="0">
      <alignment vertical="center"/>
    </xf>
    <xf numFmtId="0" fontId="0" fillId="0" borderId="38" pivotButton="0" quotePrefix="0" xfId="0"/>
    <xf numFmtId="0" fontId="14" fillId="0" borderId="14" applyAlignment="1" pivotButton="0" quotePrefix="0" xfId="0">
      <alignment horizontal="center" vertical="center" wrapText="1"/>
    </xf>
    <xf numFmtId="49" fontId="4" fillId="0" borderId="32" applyAlignment="1" pivotButton="0" quotePrefix="0" xfId="0">
      <alignment horizontal="center"/>
    </xf>
    <xf numFmtId="4" fontId="14" fillId="0" borderId="65" applyAlignment="1" pivotButton="0" quotePrefix="0" xfId="0">
      <alignment horizontal="center" vertical="center" wrapText="1"/>
    </xf>
    <xf numFmtId="0" fontId="14" fillId="0" borderId="67" applyAlignment="1" pivotButton="0" quotePrefix="0" xfId="0">
      <alignment horizontal="left" vertical="center" wrapText="1"/>
    </xf>
    <xf numFmtId="0" fontId="16" fillId="0" borderId="49" applyAlignment="1" pivotButton="0" quotePrefix="0" xfId="0">
      <alignment horizontal="left" vertical="center" wrapText="1"/>
    </xf>
    <xf numFmtId="14" fontId="15" fillId="0" borderId="67" applyAlignment="1" pivotButton="0" quotePrefix="0" xfId="0">
      <alignment horizontal="center" vertical="center" wrapText="1"/>
    </xf>
    <xf numFmtId="0" fontId="16" fillId="0" borderId="57" applyAlignment="1" pivotButton="0" quotePrefix="0" xfId="0">
      <alignment horizontal="left" vertical="center" wrapText="1"/>
    </xf>
    <xf numFmtId="0" fontId="14" fillId="0" borderId="52" applyAlignment="1" pivotButton="0" quotePrefix="0" xfId="0">
      <alignment horizontal="left" vertical="center" wrapText="1"/>
    </xf>
    <xf numFmtId="0" fontId="16" fillId="0" borderId="52" applyAlignment="1" pivotButton="0" quotePrefix="0" xfId="0">
      <alignment horizontal="left" vertical="center" wrapText="1"/>
    </xf>
    <xf numFmtId="0" fontId="14" fillId="0" borderId="65" applyAlignment="1" pivotButton="0" quotePrefix="0" xfId="0">
      <alignment horizontal="left" vertical="center" wrapText="1"/>
    </xf>
    <xf numFmtId="0" fontId="14" fillId="0" borderId="32" applyAlignment="1" pivotButton="0" quotePrefix="0" xfId="0">
      <alignment horizontal="center" vertical="center" wrapText="1"/>
    </xf>
    <xf numFmtId="0" fontId="16" fillId="0" borderId="65" applyAlignment="1" pivotButton="0" quotePrefix="0" xfId="0">
      <alignment horizontal="left" vertical="center" wrapText="1"/>
    </xf>
    <xf numFmtId="0" fontId="14" fillId="0" borderId="64" applyAlignment="1" pivotButton="0" quotePrefix="0" xfId="0">
      <alignment vertical="center"/>
    </xf>
    <xf numFmtId="0" fontId="14" fillId="0" borderId="32" applyAlignment="1" pivotButton="0" quotePrefix="0" xfId="0">
      <alignment vertical="center"/>
    </xf>
    <xf numFmtId="0" fontId="14" fillId="2" borderId="32" applyAlignment="1" pivotButton="0" quotePrefix="0" xfId="0">
      <alignment horizontal="center"/>
    </xf>
    <xf numFmtId="0" fontId="14" fillId="0" borderId="65" applyAlignment="1" pivotButton="0" quotePrefix="0" xfId="0">
      <alignment vertical="center"/>
    </xf>
    <xf numFmtId="0" fontId="0" fillId="0" borderId="24" pivotButton="0" quotePrefix="0" xfId="0"/>
    <xf numFmtId="0" fontId="14" fillId="0" borderId="67" applyAlignment="1" pivotButton="0" quotePrefix="0" xfId="0">
      <alignment horizontal="center" vertical="center" wrapText="1"/>
    </xf>
    <xf numFmtId="0" fontId="14" fillId="0" borderId="32" applyAlignment="1" pivotButton="0" quotePrefix="0" xfId="0">
      <alignment horizontal="left" vertical="center"/>
    </xf>
    <xf numFmtId="0" fontId="14" fillId="0" borderId="45" applyAlignment="1" pivotButton="0" quotePrefix="0" xfId="0">
      <alignment horizontal="center" vertical="center" wrapText="1"/>
    </xf>
    <xf numFmtId="0" fontId="0" fillId="0" borderId="39" pivotButton="0" quotePrefix="0" xfId="0"/>
    <xf numFmtId="0" fontId="16" fillId="0" borderId="68" applyAlignment="1" pivotButton="0" quotePrefix="0" xfId="0">
      <alignment horizontal="left" vertical="center" wrapText="1"/>
    </xf>
    <xf numFmtId="0" fontId="18" fillId="0" borderId="65" applyAlignment="1" pivotButton="0" quotePrefix="0" xfId="0">
      <alignment horizontal="center" vertical="center" wrapText="1"/>
    </xf>
    <xf numFmtId="0" fontId="5" fillId="0" borderId="4" applyAlignment="1" pivotButton="0" quotePrefix="0" xfId="0">
      <alignment horizontal="center" vertical="center" wrapText="1"/>
    </xf>
    <xf numFmtId="0" fontId="30" fillId="0" borderId="0" applyAlignment="1" pivotButton="0" quotePrefix="0" xfId="0">
      <alignment horizontal="left" vertical="center" wrapText="1"/>
    </xf>
    <xf numFmtId="0" fontId="29" fillId="9" borderId="0" applyAlignment="1" pivotButton="0" quotePrefix="0" xfId="0">
      <alignment horizontal="center" vertical="center" wrapText="1"/>
    </xf>
    <xf numFmtId="0" fontId="4" fillId="0" borderId="70" applyAlignment="1" pivotButton="0" quotePrefix="0" xfId="0">
      <alignment horizontal="center"/>
    </xf>
    <xf numFmtId="0" fontId="6" fillId="2" borderId="70" applyAlignment="1" pivotButton="0" quotePrefix="0" xfId="0">
      <alignment horizontal="left" vertical="center"/>
    </xf>
    <xf numFmtId="0" fontId="8" fillId="3" borderId="69" applyAlignment="1" pivotButton="0" quotePrefix="0" xfId="0">
      <alignment horizontal="center" vertical="center"/>
    </xf>
    <xf numFmtId="0" fontId="4" fillId="0" borderId="70" applyAlignment="1" pivotButton="0" quotePrefix="0" xfId="0">
      <alignment horizontal="center" wrapText="1"/>
    </xf>
    <xf numFmtId="0" fontId="4" fillId="0" borderId="1" applyAlignment="1" pivotButton="0" quotePrefix="0" xfId="0">
      <alignment horizontal="center"/>
    </xf>
    <xf numFmtId="0" fontId="5" fillId="0" borderId="70" applyAlignment="1" pivotButton="0" quotePrefix="0" xfId="0">
      <alignment horizontal="center" vertical="center" wrapText="1"/>
    </xf>
    <xf numFmtId="0" fontId="4" fillId="4" borderId="70" applyAlignment="1" pivotButton="0" quotePrefix="0" xfId="0">
      <alignment horizontal="center"/>
    </xf>
    <xf numFmtId="0" fontId="0" fillId="0" borderId="43" pivotButton="0" quotePrefix="0" xfId="0"/>
    <xf numFmtId="0" fontId="13" fillId="5" borderId="75" applyAlignment="1" pivotButton="0" quotePrefix="0" xfId="0">
      <alignment horizontal="center" vertical="center" wrapText="1"/>
    </xf>
    <xf numFmtId="0" fontId="13" fillId="0" borderId="75" applyAlignment="1" pivotButton="0" quotePrefix="0" xfId="0">
      <alignment horizontal="center" vertical="center" wrapText="1"/>
    </xf>
    <xf numFmtId="164" fontId="13" fillId="5" borderId="75" applyAlignment="1" pivotButton="0" quotePrefix="0" xfId="0">
      <alignment horizontal="center" vertical="center" wrapText="1"/>
    </xf>
    <xf numFmtId="0" fontId="4" fillId="0" borderId="75" pivotButton="0" quotePrefix="0" xfId="0"/>
    <xf numFmtId="0" fontId="0" fillId="0" borderId="75" pivotButton="0" quotePrefix="0" xfId="0"/>
    <xf numFmtId="0" fontId="29" fillId="9" borderId="1" applyAlignment="1" pivotButton="0" quotePrefix="0" xfId="0">
      <alignment horizontal="center" vertical="center" wrapText="1"/>
    </xf>
    <xf numFmtId="0" fontId="30" fillId="0" borderId="1" applyAlignment="1" pivotButton="0" quotePrefix="0" xfId="0">
      <alignment horizontal="left"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externalLink" Target="/xl/externalLinks/externalLink1.xml" Id="rId11"/><Relationship Type="http://schemas.openxmlformats.org/officeDocument/2006/relationships/styles" Target="styles.xml" Id="rId12"/><Relationship Type="http://schemas.openxmlformats.org/officeDocument/2006/relationships/theme" Target="theme/theme1.xml" Id="rId1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s>
</file>

<file path=xl/drawings/_rels/drawing2.xml.rels><Relationships xmlns="http://schemas.openxmlformats.org/package/2006/relationships"><Relationship Type="http://schemas.openxmlformats.org/officeDocument/2006/relationships/image" Target="/xl/media/image5.png" Id="rId1"/><Relationship Type="http://schemas.openxmlformats.org/officeDocument/2006/relationships/image" Target="/xl/media/image6.png" Id="rId2"/><Relationship Type="http://schemas.openxmlformats.org/officeDocument/2006/relationships/image" Target="/xl/media/image7.png" Id="rId3"/><Relationship Type="http://schemas.openxmlformats.org/officeDocument/2006/relationships/image" Target="/xl/media/image8.png" Id="rId4"/></Relationships>
</file>

<file path=xl/drawings/_rels/drawing3.xml.rels><Relationships xmlns="http://schemas.openxmlformats.org/package/2006/relationships"><Relationship Type="http://schemas.openxmlformats.org/officeDocument/2006/relationships/image" Target="/xl/media/image9.png" Id="rId1"/></Relationships>
</file>

<file path=xl/drawings/_rels/drawing4.xml.rels><Relationships xmlns="http://schemas.openxmlformats.org/package/2006/relationships"><Relationship Type="http://schemas.openxmlformats.org/officeDocument/2006/relationships/image" Target="/xl/media/image10.png" Id="rId1"/></Relationships>
</file>

<file path=xl/drawings/drawing1.xml><?xml version="1.0" encoding="utf-8"?>
<wsDr xmlns="http://schemas.openxmlformats.org/drawingml/2006/spreadsheetDrawing">
  <oneCellAnchor>
    <from>
      <col>4</col>
      <colOff>19050</colOff>
      <row>27</row>
      <rowOff>9525</rowOff>
    </from>
    <ext cx="171450" cy="171450"/>
    <pic>
      <nvPicPr>
        <cNvPr id="2" name="image3.png" descr="Información"/>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0</col>
      <colOff>647700</colOff>
      <row>1</row>
      <rowOff>57150</rowOff>
    </from>
    <ext cx="628650" cy="762000"/>
    <pic>
      <nvPicPr>
        <cNvPr id="3" name="image2.png"/>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3</col>
      <colOff>9525</colOff>
      <row>27</row>
      <rowOff>9525</rowOff>
    </from>
    <ext cx="171450" cy="180975"/>
    <pic>
      <nvPicPr>
        <cNvPr id="4" name="image1.png" descr="Información"/>
        <cNvPicPr preferRelativeResize="0"/>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18</col>
      <colOff>371475</colOff>
      <row>27</row>
      <rowOff>9525</rowOff>
    </from>
    <ext cx="171450" cy="171450"/>
    <pic>
      <nvPicPr>
        <cNvPr id="5" name="image1.png" descr="Información"/>
        <cNvPicPr preferRelativeResize="0"/>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2.xml><?xml version="1.0" encoding="utf-8"?>
<wsDr xmlns="http://schemas.openxmlformats.org/drawingml/2006/spreadsheetDrawing">
  <oneCellAnchor>
    <from>
      <col>1</col>
      <colOff>228600</colOff>
      <row>22</row>
      <rowOff>123825</rowOff>
    </from>
    <ext cx="180975" cy="171450"/>
    <pic>
      <nvPicPr>
        <cNvPr id="2" name="image3.png" descr="Información"/>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0</col>
      <colOff>438150</colOff>
      <row>1</row>
      <rowOff>38100</rowOff>
    </from>
    <ext cx="619125" cy="762000"/>
    <pic>
      <nvPicPr>
        <cNvPr id="3" name="image4.png"/>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0</col>
      <colOff>228600</colOff>
      <row>45</row>
      <rowOff>47625</rowOff>
    </from>
    <ext cx="200025" cy="190500"/>
    <pic>
      <nvPicPr>
        <cNvPr id="4" name="image1.png" descr="Información"/>
        <cNvPicPr preferRelativeResize="0"/>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0</col>
      <colOff>9525</colOff>
      <row>45</row>
      <rowOff>47625</rowOff>
    </from>
    <ext cx="209550" cy="190500"/>
    <pic>
      <nvPicPr>
        <cNvPr id="5" name="image1.png" descr="Información"/>
        <cNvPicPr preferRelativeResize="0"/>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3.xml><?xml version="1.0" encoding="utf-8"?>
<wsDr xmlns="http://schemas.openxmlformats.org/drawingml/2006/spreadsheetDrawing">
  <oneCellAnchor>
    <from>
      <col>1</col>
      <colOff>504825</colOff>
      <row>1</row>
      <rowOff>38100</rowOff>
    </from>
    <ext cx="657225" cy="752475"/>
    <pic>
      <nvPicPr>
        <cNvPr id="2" name="image5.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4.xml><?xml version="1.0" encoding="utf-8"?>
<wsDr xmlns="http://schemas.openxmlformats.org/drawingml/2006/spreadsheetDrawing">
  <oneCellAnchor>
    <from>
      <col>1</col>
      <colOff>381000</colOff>
      <row>1</row>
      <rowOff>19050</rowOff>
    </from>
    <ext cx="657225" cy="771525"/>
    <pic>
      <nvPicPr>
        <cNvPr id="2" name="image5.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externalLinks/_rels/externalLink1.xml.rels><Relationships xmlns="http://schemas.openxmlformats.org/package/2006/relationships"><Relationship Type="http://schemas.openxmlformats.org/officeDocument/2006/relationships/externalLinkPath" Target="file:///G:\.shortcut-targets-by-id\1Yel3u3vQe47YNUfn-FnuDApv-8Xunsop\04_GP\02_PPA\02098_Ladrillera%20del%20Meta\06_Financial\03_Tax%20benefits\01.Principal\LadrilleradelMeta-BT.xlsm"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FORMATO 1"/>
      <sheetName val="FORMATO 2"/>
      <sheetName val="FORMATO 3"/>
      <sheetName val="FORMATO 4"/>
      <sheetName val="Listas2"/>
      <sheetName val="Listas"/>
      <sheetName val="Bienes"/>
      <sheetName val="Servicios"/>
    </sheetNames>
    <sheetDataSet>
      <sheetData sheetId="0"/>
      <sheetData sheetId="1"/>
      <sheetData sheetId="2"/>
      <sheetData sheetId="3"/>
      <sheetData sheetId="4"/>
      <sheetData sheetId="5"/>
      <sheetData sheetId="6"/>
      <sheetData sheetId="7"/>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outlinePr summaryBelow="1" summaryRight="1"/>
    <pageSetUpPr fitToPage="1"/>
  </sheetPr>
  <dimension ref="A1:AS257"/>
  <sheetViews>
    <sheetView showGridLines="0" topLeftCell="A13" workbookViewId="0">
      <selection activeCell="A1" sqref="A1"/>
    </sheetView>
  </sheetViews>
  <sheetFormatPr baseColWidth="8" defaultColWidth="14.453125" defaultRowHeight="15" customHeight="1"/>
  <cols>
    <col width="11.453125" customWidth="1" style="157" min="1" max="2"/>
    <col width="5.54296875" customWidth="1" style="157" min="3" max="3"/>
    <col width="5.1796875" customWidth="1" style="157" min="4" max="4"/>
    <col width="4.453125" customWidth="1" style="157" min="5" max="5"/>
    <col width="2.54296875" customWidth="1" style="157" min="6" max="6"/>
    <col width="5.453125" customWidth="1" style="157" min="7" max="7"/>
    <col width="11.453125" customWidth="1" style="157" min="8" max="8"/>
    <col width="5" customWidth="1" style="157" min="9" max="9"/>
    <col width="1.81640625" customWidth="1" style="157" min="10" max="10"/>
    <col width="10.81640625" customWidth="1" style="157" min="11" max="11"/>
    <col width="5.453125" customWidth="1" style="157" min="12" max="12"/>
    <col width="4.54296875" customWidth="1" style="157" min="13" max="13"/>
    <col width="3.1796875" customWidth="1" style="157" min="14" max="14"/>
    <col width="0.81640625" customWidth="1" style="157" min="15" max="15"/>
    <col width="9.453125" customWidth="1" style="157" min="16" max="16"/>
    <col width="5.453125" customWidth="1" style="157" min="17" max="17"/>
    <col width="4.81640625" customWidth="1" style="157" min="18" max="18"/>
    <col width="8.54296875" customWidth="1" style="157" min="19" max="19"/>
    <col width="11.81640625" customWidth="1" style="157" min="20" max="20"/>
    <col width="7.54296875" customWidth="1" style="157" min="21" max="21"/>
    <col width="9.81640625" customWidth="1" style="157" min="22" max="22"/>
    <col width="5.54296875" customWidth="1" style="157" min="23" max="23"/>
    <col width="3.81640625" customWidth="1" style="157" min="24" max="24"/>
    <col width="5.453125" customWidth="1" style="157" min="25" max="25"/>
    <col width="8.81640625" customWidth="1" style="157" min="26" max="26"/>
    <col hidden="1" width="0.453125" customWidth="1" style="157" min="27" max="27"/>
    <col hidden="1" width="0.54296875" customWidth="1" style="157" min="28" max="28"/>
    <col width="5" customWidth="1" style="157" min="29" max="29"/>
    <col width="0.54296875" customWidth="1" style="157" min="30" max="30"/>
    <col width="2.54296875" customWidth="1" style="157" min="31" max="31"/>
    <col width="3.1796875" customWidth="1" style="157" min="32" max="32"/>
    <col hidden="1" width="11.453125" customWidth="1" style="157" min="33" max="45"/>
    <col hidden="1" width="14.453125" customWidth="1" style="157" min="46" max="49"/>
  </cols>
  <sheetData>
    <row r="1" ht="14.25" customHeight="1" s="157">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row>
    <row r="2" ht="23.25" customHeight="1" s="157">
      <c r="A2" s="261" t="n"/>
      <c r="B2" s="156" t="n"/>
      <c r="C2" s="145" t="n"/>
      <c r="D2" s="205" t="inlineStr">
        <is>
          <t>FORMATO
SOLICITUD DE INCENTIVOS TRIBUTARIOS
PARA PROYECTOS DE FNCE
EXCLUSIÓN DE IVA, DEDUCCIÓN EN RENTA
EXENCIÓN DE ARANCEL Y DEPRECIACIÓN ACELERADA</t>
        </is>
      </c>
      <c r="E2" s="156" t="n"/>
      <c r="F2" s="156" t="n"/>
      <c r="G2" s="156" t="n"/>
      <c r="H2" s="156" t="n"/>
      <c r="I2" s="156" t="n"/>
      <c r="J2" s="156" t="n"/>
      <c r="K2" s="156" t="n"/>
      <c r="L2" s="156" t="n"/>
      <c r="M2" s="156" t="n"/>
      <c r="N2" s="156" t="n"/>
      <c r="O2" s="156" t="n"/>
      <c r="P2" s="156" t="n"/>
      <c r="Q2" s="156" t="n"/>
      <c r="R2" s="156" t="n"/>
      <c r="S2" s="156" t="n"/>
      <c r="T2" s="156" t="n"/>
      <c r="U2" s="156" t="n"/>
      <c r="V2" s="156" t="n"/>
      <c r="W2" s="156" t="n"/>
      <c r="X2" s="145" t="n"/>
      <c r="Y2" s="262" t="inlineStr">
        <is>
          <t>Código: : F-CT-01</t>
        </is>
      </c>
      <c r="Z2" s="170" t="n"/>
      <c r="AA2" s="170" t="n"/>
      <c r="AB2" s="170" t="n"/>
      <c r="AC2" s="176" t="n"/>
      <c r="AD2" s="1" t="n"/>
      <c r="AE2" s="1" t="n"/>
      <c r="AF2" s="1" t="n"/>
      <c r="AG2" s="1" t="n"/>
      <c r="AH2" s="1" t="n"/>
      <c r="AI2" s="1" t="n"/>
      <c r="AJ2" s="1" t="n"/>
      <c r="AK2" s="1" t="n"/>
      <c r="AL2" s="1" t="n"/>
      <c r="AM2" s="1" t="n"/>
      <c r="AN2" s="1" t="n"/>
      <c r="AO2" s="1" t="n"/>
      <c r="AP2" s="1" t="n"/>
      <c r="AQ2" s="1" t="n"/>
      <c r="AR2" s="1" t="n"/>
      <c r="AS2" s="1" t="n"/>
    </row>
    <row r="3" ht="11.25" customHeight="1" s="157">
      <c r="A3" s="146" t="n"/>
      <c r="C3" s="147" t="n"/>
      <c r="X3" s="147" t="n"/>
      <c r="Y3" s="262" t="inlineStr">
        <is>
          <t>Fecha: 04/12/2024</t>
        </is>
      </c>
      <c r="Z3" s="156" t="n"/>
      <c r="AA3" s="156" t="n"/>
      <c r="AB3" s="156" t="n"/>
      <c r="AC3" s="145" t="n"/>
      <c r="AD3" s="1" t="n"/>
      <c r="AE3" s="1" t="n"/>
      <c r="AF3" s="1" t="n"/>
      <c r="AG3" s="1" t="n"/>
      <c r="AH3" s="1" t="n"/>
      <c r="AI3" s="1" t="n"/>
      <c r="AJ3" s="1" t="n"/>
      <c r="AK3" s="1" t="n"/>
      <c r="AL3" s="1" t="n"/>
      <c r="AM3" s="1" t="n"/>
      <c r="AN3" s="1" t="n"/>
      <c r="AO3" s="1" t="n"/>
      <c r="AP3" s="1" t="n"/>
      <c r="AQ3" s="1" t="n"/>
      <c r="AR3" s="1" t="n"/>
      <c r="AS3" s="1" t="n"/>
    </row>
    <row r="4" ht="9.75" customHeight="1" s="157">
      <c r="A4" s="146" t="n"/>
      <c r="C4" s="147" t="n"/>
      <c r="X4" s="147" t="n"/>
      <c r="Y4" s="148" t="n"/>
      <c r="Z4" s="158" t="n"/>
      <c r="AA4" s="158" t="n"/>
      <c r="AB4" s="158" t="n"/>
      <c r="AC4" s="149" t="n"/>
      <c r="AD4" s="1" t="n"/>
      <c r="AE4" s="1" t="n"/>
      <c r="AF4" s="1" t="n"/>
      <c r="AG4" s="1" t="n"/>
      <c r="AH4" s="1" t="n"/>
      <c r="AI4" s="1" t="n"/>
      <c r="AJ4" s="1" t="n"/>
      <c r="AK4" s="1" t="n"/>
      <c r="AL4" s="1" t="n"/>
      <c r="AM4" s="1" t="n"/>
      <c r="AN4" s="1" t="n"/>
      <c r="AO4" s="1" t="n"/>
      <c r="AP4" s="1" t="n"/>
      <c r="AQ4" s="1" t="n"/>
      <c r="AR4" s="1" t="n"/>
      <c r="AS4" s="1" t="n"/>
    </row>
    <row r="5" ht="23.25" customHeight="1" s="157">
      <c r="A5" s="148" t="n"/>
      <c r="B5" s="158" t="n"/>
      <c r="C5" s="149" t="n"/>
      <c r="D5" s="158" t="n"/>
      <c r="E5" s="158" t="n"/>
      <c r="F5" s="158" t="n"/>
      <c r="G5" s="158" t="n"/>
      <c r="H5" s="158" t="n"/>
      <c r="I5" s="158" t="n"/>
      <c r="J5" s="158" t="n"/>
      <c r="K5" s="158" t="n"/>
      <c r="L5" s="158" t="n"/>
      <c r="M5" s="158" t="n"/>
      <c r="N5" s="158" t="n"/>
      <c r="O5" s="158" t="n"/>
      <c r="P5" s="158" t="n"/>
      <c r="Q5" s="158" t="n"/>
      <c r="R5" s="158" t="n"/>
      <c r="S5" s="158" t="n"/>
      <c r="T5" s="158" t="n"/>
      <c r="U5" s="158" t="n"/>
      <c r="V5" s="158" t="n"/>
      <c r="W5" s="158" t="n"/>
      <c r="X5" s="149" t="n"/>
      <c r="Y5" s="262" t="inlineStr">
        <is>
          <t>Versión: 03</t>
        </is>
      </c>
      <c r="Z5" s="170" t="n"/>
      <c r="AA5" s="170" t="n"/>
      <c r="AB5" s="170" t="n"/>
      <c r="AC5" s="176" t="n"/>
      <c r="AD5" s="1" t="n"/>
      <c r="AE5" s="1" t="n"/>
      <c r="AF5" s="1" t="n"/>
      <c r="AG5" s="1" t="n"/>
      <c r="AH5" s="1" t="n"/>
      <c r="AI5" s="1" t="n"/>
      <c r="AJ5" s="1" t="n"/>
      <c r="AK5" s="1" t="n"/>
      <c r="AL5" s="1" t="n"/>
      <c r="AM5" s="1" t="n"/>
      <c r="AN5" s="1" t="n"/>
      <c r="AO5" s="1" t="n"/>
      <c r="AP5" s="1" t="n"/>
      <c r="AQ5" s="1" t="n"/>
      <c r="AR5" s="1" t="n"/>
      <c r="AS5" s="1" t="n"/>
    </row>
    <row r="6" ht="14.25" customHeight="1" s="157">
      <c r="A6" s="1" t="n"/>
      <c r="B6" s="159" t="n"/>
      <c r="L6" s="1" t="n"/>
      <c r="M6" s="1" t="n"/>
      <c r="N6" s="1" t="n"/>
      <c r="O6" s="1" t="n"/>
      <c r="P6" s="1" t="n"/>
      <c r="Q6" s="1" t="n"/>
      <c r="R6" s="1" t="n"/>
      <c r="S6" s="1" t="n"/>
      <c r="T6" s="1" t="n"/>
      <c r="U6" s="1" t="n"/>
      <c r="V6" s="1" t="n"/>
      <c r="W6" s="1" t="n"/>
      <c r="X6" s="1" t="n"/>
      <c r="Y6" s="1" t="n"/>
      <c r="Z6" s="1" t="n"/>
      <c r="AA6" s="1" t="n"/>
      <c r="AB6" s="1" t="n"/>
      <c r="AC6" s="1" t="n"/>
      <c r="AD6" s="1" t="n"/>
      <c r="AE6" s="1" t="n"/>
      <c r="AF6" s="1" t="n"/>
      <c r="AG6" s="1" t="n"/>
      <c r="AH6" s="1" t="n"/>
      <c r="AI6" s="1" t="n"/>
      <c r="AJ6" s="1" t="n"/>
      <c r="AK6" s="1" t="n"/>
      <c r="AL6" s="1" t="n"/>
      <c r="AM6" s="1" t="n"/>
      <c r="AN6" s="1" t="n"/>
      <c r="AO6" s="1" t="n"/>
      <c r="AP6" s="1" t="n"/>
      <c r="AQ6" s="1" t="n"/>
      <c r="AR6" s="1" t="n"/>
      <c r="AS6" s="1" t="n"/>
    </row>
    <row r="7" ht="14.25" customHeight="1" s="157">
      <c r="A7" s="2" t="n"/>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c r="AA7" s="2" t="n"/>
      <c r="AB7" s="2" t="n"/>
      <c r="AC7" s="2" t="n"/>
      <c r="AD7" s="2" t="n"/>
      <c r="AE7" s="2" t="n"/>
      <c r="AF7" s="2" t="n"/>
      <c r="AG7" s="2" t="n"/>
      <c r="AH7" s="2" t="n"/>
      <c r="AI7" s="2" t="n"/>
      <c r="AJ7" s="2" t="n"/>
      <c r="AK7" s="2" t="n"/>
      <c r="AL7" s="2" t="n"/>
      <c r="AM7" s="2" t="n"/>
      <c r="AN7" s="2" t="n"/>
      <c r="AO7" s="2" t="n"/>
      <c r="AP7" s="2" t="n"/>
      <c r="AQ7" s="2" t="n"/>
      <c r="AR7" s="2" t="n"/>
      <c r="AS7" s="2" t="n"/>
    </row>
    <row r="8" ht="14.25" customHeight="1" s="157">
      <c r="A8" s="2" t="n"/>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c r="AA8" s="2" t="n"/>
      <c r="AB8" s="2" t="n"/>
      <c r="AC8" s="2" t="n"/>
      <c r="AD8" s="2" t="n"/>
      <c r="AE8" s="2" t="n"/>
      <c r="AF8" s="2" t="n"/>
      <c r="AG8" s="2" t="n"/>
      <c r="AH8" s="2" t="n"/>
      <c r="AI8" s="2" t="n"/>
      <c r="AJ8" s="2" t="n"/>
      <c r="AK8" s="2" t="n"/>
      <c r="AL8" s="2" t="n"/>
      <c r="AM8" s="2" t="n"/>
      <c r="AN8" s="2" t="n"/>
      <c r="AO8" s="2" t="n"/>
      <c r="AP8" s="2" t="n"/>
      <c r="AQ8" s="2" t="n"/>
      <c r="AR8" s="2" t="n"/>
      <c r="AS8" s="2" t="n"/>
    </row>
    <row r="9" ht="14.25" customHeight="1" s="157">
      <c r="A9" s="2" t="n"/>
      <c r="B9" s="2" t="n"/>
      <c r="C9" s="2" t="n"/>
      <c r="D9" s="2" t="n"/>
      <c r="E9" s="2" t="n"/>
      <c r="F9" s="2" t="n"/>
      <c r="G9" s="2" t="n"/>
      <c r="H9" s="2" t="n"/>
      <c r="I9" s="2" t="n"/>
      <c r="J9" s="2" t="n"/>
      <c r="K9" s="2" t="n"/>
      <c r="L9" s="2" t="n"/>
      <c r="M9" s="2" t="n"/>
      <c r="N9" s="2" t="n"/>
      <c r="O9" s="2" t="n"/>
      <c r="P9" s="2" t="n"/>
      <c r="Q9" s="2" t="n"/>
      <c r="R9" s="2" t="n"/>
      <c r="S9" s="2" t="n"/>
      <c r="T9" s="2" t="n"/>
      <c r="U9" s="2" t="n"/>
      <c r="V9" s="2" t="n"/>
      <c r="W9" s="2" t="n"/>
      <c r="X9" s="2" t="n"/>
      <c r="Y9" s="2" t="n"/>
      <c r="Z9" s="2" t="n"/>
      <c r="AA9" s="2" t="n"/>
      <c r="AB9" s="2" t="n"/>
      <c r="AC9" s="2" t="n"/>
      <c r="AD9" s="2" t="n"/>
      <c r="AE9" s="2" t="n"/>
      <c r="AF9" s="2" t="n"/>
      <c r="AG9" s="2" t="n"/>
      <c r="AH9" s="2" t="n"/>
      <c r="AI9" s="2" t="n"/>
      <c r="AJ9" s="2" t="n"/>
      <c r="AK9" s="2" t="n"/>
      <c r="AL9" s="2" t="n"/>
      <c r="AM9" s="2" t="n"/>
      <c r="AN9" s="2" t="n"/>
      <c r="AO9" s="2" t="n"/>
      <c r="AP9" s="2" t="n"/>
      <c r="AQ9" s="2" t="n"/>
      <c r="AR9" s="2" t="n"/>
      <c r="AS9" s="2" t="n"/>
    </row>
    <row r="10" ht="14.25" customHeight="1" s="157">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c r="AA10" s="2" t="n"/>
      <c r="AB10" s="2" t="n"/>
      <c r="AC10" s="2" t="n"/>
      <c r="AD10" s="2" t="n"/>
      <c r="AE10" s="2" t="n"/>
      <c r="AF10" s="2" t="n"/>
      <c r="AG10" s="2" t="n"/>
      <c r="AH10" s="2" t="n"/>
      <c r="AI10" s="2" t="n"/>
      <c r="AJ10" s="2" t="n"/>
      <c r="AK10" s="2" t="n"/>
      <c r="AL10" s="2" t="n"/>
      <c r="AM10" s="2" t="n"/>
      <c r="AN10" s="2" t="n"/>
      <c r="AO10" s="2" t="n"/>
      <c r="AP10" s="2" t="n"/>
      <c r="AQ10" s="2" t="n"/>
      <c r="AR10" s="2" t="n"/>
      <c r="AS10" s="2" t="n"/>
    </row>
    <row r="11" ht="14.25" customHeight="1" s="157">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c r="AA11" s="2" t="n"/>
      <c r="AB11" s="2" t="n"/>
      <c r="AC11" s="2" t="n"/>
      <c r="AD11" s="2" t="n"/>
      <c r="AE11" s="2" t="n"/>
      <c r="AF11" s="2" t="n"/>
      <c r="AG11" s="2" t="n"/>
      <c r="AH11" s="2" t="n"/>
      <c r="AI11" s="2" t="n"/>
      <c r="AJ11" s="2" t="n"/>
      <c r="AK11" s="2" t="n"/>
      <c r="AL11" s="2" t="n"/>
      <c r="AM11" s="2" t="n"/>
      <c r="AN11" s="2" t="n"/>
      <c r="AO11" s="2" t="n"/>
      <c r="AP11" s="2" t="n"/>
      <c r="AQ11" s="2" t="n"/>
      <c r="AR11" s="2" t="n"/>
      <c r="AS11" s="2" t="n"/>
    </row>
    <row r="12" ht="14.25" customHeight="1" s="157">
      <c r="A12" s="2" t="n"/>
      <c r="B12" s="2" t="n"/>
      <c r="C12" s="2" t="n"/>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c r="AA12" s="2" t="n"/>
      <c r="AB12" s="2" t="n"/>
      <c r="AC12" s="2" t="n"/>
      <c r="AD12" s="2" t="n"/>
      <c r="AE12" s="2" t="n"/>
      <c r="AF12" s="2" t="n"/>
      <c r="AG12" s="2" t="n"/>
      <c r="AH12" s="2" t="n"/>
      <c r="AI12" s="2" t="n"/>
      <c r="AJ12" s="2" t="n"/>
      <c r="AK12" s="2" t="n"/>
      <c r="AL12" s="2" t="n"/>
      <c r="AM12" s="2" t="n"/>
      <c r="AN12" s="2" t="n"/>
      <c r="AO12" s="2" t="n"/>
      <c r="AP12" s="2" t="n"/>
      <c r="AQ12" s="2" t="n"/>
      <c r="AR12" s="2" t="n"/>
      <c r="AS12" s="2" t="n"/>
    </row>
    <row r="13" ht="57" customHeight="1" s="157">
      <c r="A13" s="196" t="inlineStr">
        <is>
          <t>FORMATO 1
FORMATO ÚNICO DE SOLICITUD PARA INCENTIVOS A LA INVERSIÓN EN PROYECTOS DE FNCE 
(CAPÍTULO III DE LA LEY 1715 DE 2014)</t>
        </is>
      </c>
      <c r="B13" s="168" t="n"/>
      <c r="C13" s="168" t="n"/>
      <c r="D13" s="168" t="n"/>
      <c r="E13" s="168" t="n"/>
      <c r="F13" s="168" t="n"/>
      <c r="G13" s="168" t="n"/>
      <c r="H13" s="168" t="n"/>
      <c r="I13" s="168" t="n"/>
      <c r="J13" s="168" t="n"/>
      <c r="K13" s="168" t="n"/>
      <c r="L13" s="168" t="n"/>
      <c r="M13" s="168" t="n"/>
      <c r="N13" s="168" t="n"/>
      <c r="O13" s="168" t="n"/>
      <c r="P13" s="168" t="n"/>
      <c r="Q13" s="168" t="n"/>
      <c r="R13" s="168" t="n"/>
      <c r="S13" s="168" t="n"/>
      <c r="T13" s="168" t="n"/>
      <c r="U13" s="168" t="n"/>
      <c r="V13" s="168" t="n"/>
      <c r="W13" s="168" t="n"/>
      <c r="X13" s="168" t="n"/>
      <c r="Y13" s="168" t="n"/>
      <c r="Z13" s="168" t="n"/>
      <c r="AA13" s="168" t="n"/>
      <c r="AB13" s="168" t="n"/>
      <c r="AC13" s="168" t="n"/>
      <c r="AD13" s="183" t="n"/>
      <c r="AE13" s="2" t="n"/>
      <c r="AF13" s="2" t="n"/>
      <c r="AG13" s="2" t="n"/>
      <c r="AH13" s="2" t="n"/>
      <c r="AI13" s="2" t="n"/>
      <c r="AJ13" s="2" t="n"/>
      <c r="AK13" s="2" t="n"/>
      <c r="AL13" s="2" t="n"/>
      <c r="AM13" s="2" t="n"/>
      <c r="AN13" s="2" t="n"/>
      <c r="AO13" s="2" t="n"/>
      <c r="AP13" s="2" t="n"/>
      <c r="AQ13" s="2" t="n"/>
      <c r="AR13" s="2" t="n"/>
      <c r="AS13" s="2" t="n"/>
    </row>
    <row r="14" ht="14.25" customHeight="1" s="157">
      <c r="A14" s="182" t="inlineStr">
        <is>
          <t>1. SOLICITANTES</t>
        </is>
      </c>
      <c r="B14" s="168" t="n"/>
      <c r="C14" s="168" t="n"/>
      <c r="D14" s="168" t="n"/>
      <c r="E14" s="168" t="n"/>
      <c r="F14" s="168" t="n"/>
      <c r="G14" s="168" t="n"/>
      <c r="H14" s="168" t="n"/>
      <c r="I14" s="168" t="n"/>
      <c r="J14" s="168" t="n"/>
      <c r="K14" s="168" t="n"/>
      <c r="L14" s="168" t="n"/>
      <c r="M14" s="168" t="n"/>
      <c r="N14" s="168" t="n"/>
      <c r="O14" s="168" t="n"/>
      <c r="P14" s="168" t="n"/>
      <c r="Q14" s="168" t="n"/>
      <c r="R14" s="168" t="n"/>
      <c r="S14" s="168" t="n"/>
      <c r="T14" s="168" t="n"/>
      <c r="U14" s="168" t="n"/>
      <c r="V14" s="168" t="n"/>
      <c r="W14" s="168" t="n"/>
      <c r="X14" s="168" t="n"/>
      <c r="Y14" s="168" t="n"/>
      <c r="Z14" s="168" t="n"/>
      <c r="AA14" s="168" t="n"/>
      <c r="AB14" s="168" t="n"/>
      <c r="AC14" s="168" t="n"/>
      <c r="AD14" s="183" t="n"/>
      <c r="AE14" s="2" t="n"/>
      <c r="AF14" s="2" t="n"/>
      <c r="AG14" s="2" t="n"/>
      <c r="AH14" s="2" t="n"/>
      <c r="AI14" s="2" t="n"/>
      <c r="AJ14" s="2" t="n"/>
      <c r="AK14" s="2" t="n"/>
      <c r="AL14" s="2" t="n"/>
      <c r="AM14" s="2" t="n"/>
      <c r="AN14" s="2" t="n"/>
      <c r="AO14" s="2" t="n"/>
      <c r="AP14" s="2" t="n"/>
      <c r="AQ14" s="2" t="n"/>
      <c r="AR14" s="2" t="n"/>
      <c r="AS14" s="2" t="n"/>
    </row>
    <row r="15" ht="14.25" customHeight="1" s="157">
      <c r="A15" s="194" t="inlineStr">
        <is>
          <t>1.1 Solicitante Principal</t>
        </is>
      </c>
      <c r="B15" s="185" t="n"/>
      <c r="C15" s="185" t="n"/>
      <c r="D15" s="185" t="n"/>
      <c r="E15" s="185" t="n"/>
      <c r="F15" s="185" t="n"/>
      <c r="G15" s="185" t="n"/>
      <c r="H15" s="185" t="n"/>
      <c r="I15" s="185" t="n"/>
      <c r="J15" s="185" t="n"/>
      <c r="K15" s="185" t="n"/>
      <c r="L15" s="185" t="n"/>
      <c r="M15" s="185" t="n"/>
      <c r="N15" s="185" t="n"/>
      <c r="O15" s="186" t="n"/>
      <c r="P15" s="194" t="inlineStr">
        <is>
          <t>1.2 Solicitante Secundario</t>
        </is>
      </c>
      <c r="Q15" s="185" t="n"/>
      <c r="R15" s="185" t="n"/>
      <c r="S15" s="185" t="n"/>
      <c r="T15" s="185" t="n"/>
      <c r="U15" s="185" t="n"/>
      <c r="V15" s="185" t="n"/>
      <c r="W15" s="185" t="n"/>
      <c r="X15" s="185" t="n"/>
      <c r="Y15" s="185" t="n"/>
      <c r="Z15" s="185" t="n"/>
      <c r="AA15" s="185" t="n"/>
      <c r="AB15" s="185" t="n"/>
      <c r="AC15" s="185" t="n"/>
      <c r="AD15" s="186" t="n"/>
      <c r="AE15" s="2" t="n"/>
      <c r="AF15" s="2" t="n"/>
      <c r="AG15" s="2" t="n"/>
      <c r="AH15" s="2" t="n"/>
      <c r="AI15" s="2" t="n"/>
      <c r="AJ15" s="2" t="n"/>
      <c r="AK15" s="2" t="n"/>
      <c r="AL15" s="2" t="n"/>
      <c r="AM15" s="2" t="n"/>
      <c r="AN15" s="2" t="n"/>
      <c r="AO15" s="2" t="n"/>
      <c r="AP15" s="2" t="n"/>
      <c r="AQ15" s="2" t="n"/>
      <c r="AR15" s="2" t="n"/>
      <c r="AS15" s="2" t="n"/>
    </row>
    <row r="16" ht="14.25" customHeight="1" s="157">
      <c r="A16" s="200" t="inlineStr">
        <is>
          <t>Nombre o razón social</t>
        </is>
      </c>
      <c r="B16" s="156" t="n"/>
      <c r="C16" s="156" t="n"/>
      <c r="D16" s="156" t="n"/>
      <c r="E16" s="156" t="n"/>
      <c r="F16" s="156" t="n"/>
      <c r="G16" s="156" t="n"/>
      <c r="H16" s="156" t="n"/>
      <c r="I16" s="156" t="n"/>
      <c r="J16" s="156" t="n"/>
      <c r="K16" s="156" t="n"/>
      <c r="L16" s="156" t="n"/>
      <c r="M16" s="156" t="n"/>
      <c r="N16" s="156" t="n"/>
      <c r="O16" s="201" t="n"/>
      <c r="P16" s="200" t="inlineStr">
        <is>
          <t>Nombre o razón social</t>
        </is>
      </c>
      <c r="Q16" s="156" t="n"/>
      <c r="R16" s="156" t="n"/>
      <c r="S16" s="156" t="n"/>
      <c r="T16" s="156" t="n"/>
      <c r="U16" s="156" t="n"/>
      <c r="V16" s="156" t="n"/>
      <c r="W16" s="156" t="n"/>
      <c r="X16" s="156" t="n"/>
      <c r="Y16" s="156" t="n"/>
      <c r="Z16" s="156" t="n"/>
      <c r="AA16" s="156" t="n"/>
      <c r="AB16" s="156" t="n"/>
      <c r="AC16" s="156" t="n"/>
      <c r="AD16" s="201" t="n"/>
      <c r="AE16" s="2" t="n"/>
      <c r="AF16" s="2" t="n"/>
      <c r="AG16" s="2" t="n"/>
      <c r="AH16" s="2" t="n"/>
      <c r="AI16" s="2" t="n"/>
      <c r="AJ16" s="2" t="n"/>
      <c r="AK16" s="2" t="n"/>
      <c r="AL16" s="2" t="n"/>
      <c r="AM16" s="2" t="n"/>
      <c r="AN16" s="2" t="n"/>
      <c r="AO16" s="2" t="n"/>
      <c r="AP16" s="2" t="n"/>
      <c r="AQ16" s="2" t="n"/>
      <c r="AR16" s="2" t="n"/>
      <c r="AS16" s="2" t="n"/>
    </row>
    <row r="17" ht="14.25" customHeight="1" s="157">
      <c r="A17" s="192" t="inlineStr">
        <is>
          <t>SUN FACTORY SAS ESP</t>
        </is>
      </c>
      <c r="B17" s="170" t="n"/>
      <c r="C17" s="170" t="n"/>
      <c r="D17" s="170" t="n"/>
      <c r="E17" s="170" t="n"/>
      <c r="F17" s="170" t="n"/>
      <c r="G17" s="170" t="n"/>
      <c r="H17" s="170" t="n"/>
      <c r="I17" s="170" t="n"/>
      <c r="J17" s="170" t="n"/>
      <c r="K17" s="170" t="n"/>
      <c r="L17" s="170" t="n"/>
      <c r="M17" s="170" t="n"/>
      <c r="N17" s="170" t="n"/>
      <c r="O17" s="171" t="n"/>
      <c r="P17" s="192" t="inlineStr">
        <is>
          <t>Solenium S.A.S</t>
        </is>
      </c>
      <c r="Q17" s="170" t="n"/>
      <c r="R17" s="170" t="n"/>
      <c r="S17" s="170" t="n"/>
      <c r="T17" s="170" t="n"/>
      <c r="U17" s="170" t="n"/>
      <c r="V17" s="170" t="n"/>
      <c r="W17" s="170" t="n"/>
      <c r="X17" s="170" t="n"/>
      <c r="Y17" s="170" t="n"/>
      <c r="Z17" s="170" t="n"/>
      <c r="AA17" s="170" t="n"/>
      <c r="AB17" s="170" t="n"/>
      <c r="AC17" s="170" t="n"/>
      <c r="AD17" s="171" t="n"/>
      <c r="AE17" s="2" t="n"/>
      <c r="AF17" s="2" t="n"/>
      <c r="AG17" s="2" t="n"/>
      <c r="AH17" s="2" t="n"/>
      <c r="AI17" s="2" t="n"/>
      <c r="AJ17" s="2" t="n"/>
      <c r="AK17" s="2" t="n"/>
      <c r="AL17" s="2" t="n"/>
      <c r="AM17" s="2" t="n"/>
      <c r="AN17" s="2" t="n"/>
      <c r="AO17" s="2" t="n"/>
      <c r="AP17" s="2" t="n"/>
      <c r="AQ17" s="2" t="n"/>
      <c r="AR17" s="2" t="n"/>
      <c r="AS17" s="2" t="n"/>
    </row>
    <row r="18" ht="14.25" customHeight="1" s="157">
      <c r="A18" s="175" t="inlineStr">
        <is>
          <t>Sector productivo</t>
        </is>
      </c>
      <c r="B18" s="170" t="n"/>
      <c r="C18" s="170" t="n"/>
      <c r="D18" s="170" t="n"/>
      <c r="E18" s="170" t="n"/>
      <c r="F18" s="176" t="n"/>
      <c r="G18" s="190" t="n"/>
      <c r="H18" s="170" t="n"/>
      <c r="I18" s="170" t="n"/>
      <c r="J18" s="170" t="n"/>
      <c r="K18" s="170" t="n"/>
      <c r="L18" s="170" t="n"/>
      <c r="M18" s="170" t="n"/>
      <c r="N18" s="170" t="n"/>
      <c r="O18" s="171" t="n"/>
      <c r="P18" s="172" t="inlineStr">
        <is>
          <t>Sector productivo</t>
        </is>
      </c>
      <c r="Q18" s="170" t="n"/>
      <c r="R18" s="170" t="n"/>
      <c r="S18" s="170" t="n"/>
      <c r="T18" s="170" t="n"/>
      <c r="U18" s="170" t="n"/>
      <c r="V18" s="174" t="inlineStr">
        <is>
          <t>Instalaciones Eléctricas</t>
        </is>
      </c>
      <c r="W18" s="170" t="n"/>
      <c r="X18" s="170" t="n"/>
      <c r="Y18" s="170" t="n"/>
      <c r="Z18" s="170" t="n"/>
      <c r="AA18" s="170" t="n"/>
      <c r="AB18" s="170" t="n"/>
      <c r="AC18" s="170" t="n"/>
      <c r="AD18" s="171" t="n"/>
      <c r="AE18" s="2" t="n"/>
      <c r="AF18" s="2" t="n"/>
      <c r="AG18" s="2" t="n"/>
      <c r="AH18" s="2" t="n"/>
      <c r="AI18" s="2" t="n"/>
      <c r="AJ18" s="2" t="n"/>
      <c r="AK18" s="2" t="n"/>
      <c r="AL18" s="2" t="n"/>
      <c r="AM18" s="2" t="n"/>
      <c r="AN18" s="2" t="n"/>
      <c r="AO18" s="2" t="n"/>
      <c r="AP18" s="2" t="n"/>
      <c r="AQ18" s="2" t="n"/>
      <c r="AR18" s="2" t="n"/>
      <c r="AS18" s="2" t="n"/>
    </row>
    <row r="19" ht="14.25" customHeight="1" s="157">
      <c r="A19" s="179" t="inlineStr">
        <is>
          <t>Código CIIU</t>
        </is>
      </c>
      <c r="B19" s="170" t="n"/>
      <c r="C19" s="170" t="n"/>
      <c r="D19" s="170" t="n"/>
      <c r="E19" s="170" t="n"/>
      <c r="F19" s="176" t="n"/>
      <c r="G19" s="169" t="n"/>
      <c r="H19" s="170" t="n"/>
      <c r="I19" s="170" t="n"/>
      <c r="J19" s="170" t="n"/>
      <c r="K19" s="170" t="n"/>
      <c r="L19" s="170" t="n"/>
      <c r="M19" s="170" t="n"/>
      <c r="N19" s="170" t="n"/>
      <c r="O19" s="171" t="n"/>
      <c r="P19" s="180" t="inlineStr">
        <is>
          <t>Código CIIU</t>
        </is>
      </c>
      <c r="Q19" s="170" t="n"/>
      <c r="R19" s="170" t="n"/>
      <c r="S19" s="170" t="n"/>
      <c r="T19" s="170" t="n"/>
      <c r="U19" s="170" t="n"/>
      <c r="V19" s="174" t="inlineStr">
        <is>
          <t>4321 - Instalaciones eléctricas</t>
        </is>
      </c>
      <c r="W19" s="170" t="n"/>
      <c r="X19" s="170" t="n"/>
      <c r="Y19" s="170" t="n"/>
      <c r="Z19" s="170" t="n"/>
      <c r="AA19" s="170" t="n"/>
      <c r="AB19" s="170" t="n"/>
      <c r="AC19" s="170" t="n"/>
      <c r="AD19" s="171" t="n"/>
      <c r="AE19" s="2" t="n"/>
      <c r="AF19" s="2" t="n"/>
      <c r="AG19" s="2" t="n"/>
      <c r="AH19" s="2" t="n"/>
      <c r="AI19" s="2" t="n"/>
      <c r="AJ19" s="2" t="n"/>
      <c r="AK19" s="2" t="n"/>
      <c r="AL19" s="2" t="n"/>
      <c r="AM19" s="2" t="n"/>
      <c r="AN19" s="2" t="n"/>
      <c r="AO19" s="2" t="n"/>
      <c r="AP19" s="2" t="n"/>
      <c r="AQ19" s="2" t="n"/>
      <c r="AR19" s="2" t="n"/>
      <c r="AS19" s="2" t="n"/>
    </row>
    <row r="20" ht="14.25" customHeight="1" s="157">
      <c r="A20" s="179" t="inlineStr">
        <is>
          <t>Rol</t>
        </is>
      </c>
      <c r="B20" s="170" t="n"/>
      <c r="C20" s="170" t="n"/>
      <c r="D20" s="170" t="n"/>
      <c r="E20" s="170" t="n"/>
      <c r="F20" s="176" t="n"/>
      <c r="G20" s="169" t="n"/>
      <c r="H20" s="170" t="n"/>
      <c r="I20" s="170" t="n"/>
      <c r="J20" s="170" t="n"/>
      <c r="K20" s="170" t="n"/>
      <c r="L20" s="170" t="n"/>
      <c r="M20" s="170" t="n"/>
      <c r="N20" s="170" t="n"/>
      <c r="O20" s="171" t="n"/>
      <c r="P20" s="180" t="inlineStr">
        <is>
          <t>Rol</t>
        </is>
      </c>
      <c r="Q20" s="170" t="n"/>
      <c r="R20" s="170" t="n"/>
      <c r="S20" s="170" t="n"/>
      <c r="T20" s="170" t="n"/>
      <c r="U20" s="170" t="n"/>
      <c r="V20" s="174" t="inlineStr">
        <is>
          <t>Instalador</t>
        </is>
      </c>
      <c r="W20" s="170" t="n"/>
      <c r="X20" s="170" t="n"/>
      <c r="Y20" s="170" t="n"/>
      <c r="Z20" s="170" t="n"/>
      <c r="AA20" s="170" t="n"/>
      <c r="AB20" s="170" t="n"/>
      <c r="AC20" s="170" t="n"/>
      <c r="AD20" s="171" t="n"/>
      <c r="AE20" s="2" t="n"/>
      <c r="AF20" s="2" t="n"/>
      <c r="AG20" s="2" t="n"/>
      <c r="AH20" s="2" t="n"/>
      <c r="AI20" s="2" t="n"/>
      <c r="AJ20" s="2" t="n"/>
      <c r="AK20" s="2" t="n"/>
      <c r="AL20" s="2" t="n"/>
      <c r="AM20" s="2" t="n"/>
      <c r="AN20" s="2" t="n"/>
      <c r="AO20" s="2" t="n"/>
      <c r="AP20" s="2" t="n"/>
      <c r="AQ20" s="2" t="n"/>
      <c r="AR20" s="2" t="n"/>
      <c r="AS20" s="2" t="n"/>
    </row>
    <row r="21" ht="14.25" customHeight="1" s="157">
      <c r="A21" s="175" t="inlineStr">
        <is>
          <t>C.C ó NIT</t>
        </is>
      </c>
      <c r="B21" s="170" t="n"/>
      <c r="C21" s="170" t="n"/>
      <c r="D21" s="170" t="n"/>
      <c r="E21" s="170" t="n"/>
      <c r="F21" s="176" t="n"/>
      <c r="G21" s="190" t="n"/>
      <c r="H21" s="170" t="n"/>
      <c r="I21" s="170" t="n"/>
      <c r="J21" s="170" t="n"/>
      <c r="K21" s="170" t="n"/>
      <c r="L21" s="170" t="n"/>
      <c r="M21" s="170" t="n"/>
      <c r="N21" s="170" t="n"/>
      <c r="O21" s="171" t="n"/>
      <c r="P21" s="172" t="inlineStr">
        <is>
          <t>C.C ó NIT</t>
        </is>
      </c>
      <c r="Q21" s="170" t="n"/>
      <c r="R21" s="170" t="n"/>
      <c r="S21" s="170" t="n"/>
      <c r="T21" s="170" t="n"/>
      <c r="U21" s="170" t="n"/>
      <c r="V21" s="174" t="inlineStr">
        <is>
          <t>901097244-5</t>
        </is>
      </c>
      <c r="W21" s="170" t="n"/>
      <c r="X21" s="170" t="n"/>
      <c r="Y21" s="170" t="n"/>
      <c r="Z21" s="170" t="n"/>
      <c r="AA21" s="170" t="n"/>
      <c r="AB21" s="170" t="n"/>
      <c r="AC21" s="170" t="n"/>
      <c r="AD21" s="171" t="n"/>
      <c r="AE21" s="2" t="n"/>
      <c r="AF21" s="2" t="n"/>
      <c r="AG21" s="2" t="n"/>
      <c r="AH21" s="2" t="n"/>
      <c r="AI21" s="2" t="n"/>
      <c r="AJ21" s="2" t="n"/>
      <c r="AK21" s="2" t="n"/>
      <c r="AL21" s="2" t="n"/>
      <c r="AM21" s="2" t="n"/>
      <c r="AN21" s="2" t="n"/>
      <c r="AO21" s="2" t="n"/>
      <c r="AP21" s="2" t="n"/>
      <c r="AQ21" s="2" t="n"/>
      <c r="AR21" s="2" t="n"/>
      <c r="AS21" s="2" t="n"/>
    </row>
    <row r="22" ht="14.25" customHeight="1" s="157">
      <c r="A22" s="175" t="inlineStr">
        <is>
          <t>Departamento</t>
        </is>
      </c>
      <c r="B22" s="170" t="n"/>
      <c r="C22" s="170" t="n"/>
      <c r="D22" s="170" t="n"/>
      <c r="E22" s="170" t="n"/>
      <c r="F22" s="176" t="n"/>
      <c r="G22" s="221" t="n"/>
      <c r="H22" s="170" t="n"/>
      <c r="I22" s="170" t="n"/>
      <c r="J22" s="170" t="n"/>
      <c r="K22" s="170" t="n"/>
      <c r="L22" s="170" t="n"/>
      <c r="M22" s="170" t="n"/>
      <c r="N22" s="170" t="n"/>
      <c r="O22" s="171" t="n"/>
      <c r="P22" s="198" t="inlineStr">
        <is>
          <t>Departamento</t>
        </is>
      </c>
      <c r="Q22" s="170" t="n"/>
      <c r="R22" s="170" t="n"/>
      <c r="S22" s="170" t="n"/>
      <c r="T22" s="170" t="n"/>
      <c r="U22" s="170" t="n"/>
      <c r="V22" s="195" t="inlineStr">
        <is>
          <t>ANTIOQUIA</t>
        </is>
      </c>
      <c r="W22" s="170" t="n"/>
      <c r="X22" s="170" t="n"/>
      <c r="Y22" s="170" t="n"/>
      <c r="Z22" s="170" t="n"/>
      <c r="AA22" s="170" t="n"/>
      <c r="AB22" s="170" t="n"/>
      <c r="AC22" s="170" t="n"/>
      <c r="AD22" s="171" t="n"/>
      <c r="AE22" s="2" t="n"/>
      <c r="AF22" s="2" t="n"/>
      <c r="AG22" s="2" t="n"/>
      <c r="AH22" s="2" t="n"/>
      <c r="AI22" s="2" t="n"/>
      <c r="AJ22" s="2" t="n"/>
      <c r="AK22" s="2" t="n"/>
      <c r="AL22" s="2" t="n"/>
      <c r="AM22" s="2" t="n"/>
      <c r="AN22" s="2" t="n"/>
      <c r="AO22" s="2" t="n"/>
      <c r="AP22" s="2" t="n"/>
      <c r="AQ22" s="2" t="n"/>
      <c r="AR22" s="2" t="n"/>
      <c r="AS22" s="2" t="n"/>
    </row>
    <row r="23" ht="15" customHeight="1" s="157">
      <c r="A23" s="179" t="inlineStr">
        <is>
          <t>Municipio</t>
        </is>
      </c>
      <c r="B23" s="170" t="n"/>
      <c r="C23" s="170" t="n"/>
      <c r="D23" s="170" t="n"/>
      <c r="E23" s="170" t="n"/>
      <c r="F23" s="176" t="n"/>
      <c r="G23" s="197" t="inlineStr">
        <is>
          <t xml:space="preserve"> 
BOGOTÁ. D.C.</t>
        </is>
      </c>
      <c r="H23" s="170" t="n"/>
      <c r="I23" s="170" t="n"/>
      <c r="J23" s="170" t="n"/>
      <c r="K23" s="170" t="n"/>
      <c r="L23" s="170" t="n"/>
      <c r="M23" s="170" t="n"/>
      <c r="N23" s="170" t="n"/>
      <c r="O23" s="171" t="n"/>
      <c r="P23" s="180" t="inlineStr">
        <is>
          <t>Municipio</t>
        </is>
      </c>
      <c r="Q23" s="170" t="n"/>
      <c r="R23" s="170" t="n"/>
      <c r="S23" s="170" t="n"/>
      <c r="T23" s="170" t="n"/>
      <c r="U23" s="170" t="n"/>
      <c r="V23" s="174" t="inlineStr">
        <is>
          <t>MEDELLÍN</t>
        </is>
      </c>
      <c r="W23" s="170" t="n"/>
      <c r="X23" s="170" t="n"/>
      <c r="Y23" s="170" t="n"/>
      <c r="Z23" s="170" t="n"/>
      <c r="AA23" s="170" t="n"/>
      <c r="AB23" s="170" t="n"/>
      <c r="AC23" s="170" t="n"/>
      <c r="AD23" s="171" t="n"/>
      <c r="AE23" s="2" t="n"/>
      <c r="AF23" s="2" t="n"/>
      <c r="AG23" s="2" t="n"/>
      <c r="AH23" s="2" t="n"/>
      <c r="AI23" s="2" t="n"/>
      <c r="AJ23" s="2" t="n"/>
      <c r="AK23" s="2" t="n"/>
      <c r="AL23" s="2" t="n"/>
      <c r="AM23" s="2" t="n"/>
      <c r="AN23" s="2" t="n"/>
      <c r="AO23" s="2" t="n"/>
      <c r="AP23" s="2" t="n"/>
      <c r="AQ23" s="2" t="n"/>
      <c r="AR23" s="2" t="n"/>
      <c r="AS23" s="2" t="n"/>
    </row>
    <row r="24" ht="14.25" customHeight="1" s="157">
      <c r="A24" s="179" t="inlineStr">
        <is>
          <t>Dirección</t>
        </is>
      </c>
      <c r="B24" s="170" t="n"/>
      <c r="C24" s="170" t="n"/>
      <c r="D24" s="170" t="n"/>
      <c r="E24" s="170" t="n"/>
      <c r="F24" s="176" t="n"/>
      <c r="G24" s="197" t="n"/>
      <c r="H24" s="170" t="n"/>
      <c r="I24" s="170" t="n"/>
      <c r="J24" s="170" t="n"/>
      <c r="K24" s="170" t="n"/>
      <c r="L24" s="170" t="n"/>
      <c r="M24" s="170" t="n"/>
      <c r="N24" s="170" t="n"/>
      <c r="O24" s="171" t="n"/>
      <c r="P24" s="180" t="inlineStr">
        <is>
          <t>Dirección</t>
        </is>
      </c>
      <c r="Q24" s="170" t="n"/>
      <c r="R24" s="170" t="n"/>
      <c r="S24" s="170" t="n"/>
      <c r="T24" s="170" t="n"/>
      <c r="U24" s="170" t="n"/>
      <c r="V24" s="174" t="inlineStr">
        <is>
          <t>CALLE 46 #70A-79</t>
        </is>
      </c>
      <c r="W24" s="170" t="n"/>
      <c r="X24" s="170" t="n"/>
      <c r="Y24" s="170" t="n"/>
      <c r="Z24" s="170" t="n"/>
      <c r="AA24" s="170" t="n"/>
      <c r="AB24" s="170" t="n"/>
      <c r="AC24" s="170" t="n"/>
      <c r="AD24" s="171" t="n"/>
      <c r="AE24" s="2" t="n"/>
      <c r="AF24" s="2" t="n"/>
      <c r="AG24" s="2" t="n"/>
      <c r="AH24" s="2" t="n"/>
      <c r="AI24" s="2" t="n"/>
      <c r="AJ24" s="2" t="n"/>
      <c r="AK24" s="2" t="n"/>
      <c r="AL24" s="2" t="n"/>
      <c r="AM24" s="2" t="n"/>
      <c r="AN24" s="2" t="n"/>
      <c r="AO24" s="2" t="n"/>
      <c r="AP24" s="2" t="n"/>
      <c r="AQ24" s="2" t="n"/>
      <c r="AR24" s="2" t="n"/>
      <c r="AS24" s="2" t="n"/>
    </row>
    <row r="25" ht="14.25" customHeight="1" s="157">
      <c r="A25" s="179" t="inlineStr">
        <is>
          <t>Teléfono</t>
        </is>
      </c>
      <c r="B25" s="170" t="n"/>
      <c r="C25" s="170" t="n"/>
      <c r="D25" s="170" t="n"/>
      <c r="E25" s="170" t="n"/>
      <c r="F25" s="176" t="n"/>
      <c r="G25" s="197" t="n"/>
      <c r="H25" s="170" t="n"/>
      <c r="I25" s="170" t="n"/>
      <c r="J25" s="170" t="n"/>
      <c r="K25" s="170" t="n"/>
      <c r="L25" s="170" t="n"/>
      <c r="M25" s="170" t="n"/>
      <c r="N25" s="170" t="n"/>
      <c r="O25" s="171" t="n"/>
      <c r="P25" s="180" t="inlineStr">
        <is>
          <t>Teléfono</t>
        </is>
      </c>
      <c r="Q25" s="170" t="n"/>
      <c r="R25" s="170" t="n"/>
      <c r="S25" s="170" t="n"/>
      <c r="T25" s="170" t="n"/>
      <c r="U25" s="170" t="n"/>
      <c r="V25" s="174" t="inlineStr">
        <is>
          <t>(+57) 316 1935991</t>
        </is>
      </c>
      <c r="W25" s="170" t="n"/>
      <c r="X25" s="170" t="n"/>
      <c r="Y25" s="170" t="n"/>
      <c r="Z25" s="170" t="n"/>
      <c r="AA25" s="170" t="n"/>
      <c r="AB25" s="170" t="n"/>
      <c r="AC25" s="170" t="n"/>
      <c r="AD25" s="171" t="n"/>
      <c r="AE25" s="2" t="n"/>
      <c r="AF25" s="2" t="n"/>
      <c r="AG25" s="2" t="n"/>
      <c r="AH25" s="2" t="n"/>
      <c r="AI25" s="2" t="n"/>
      <c r="AJ25" s="2" t="n"/>
      <c r="AK25" s="2" t="n"/>
      <c r="AL25" s="2" t="n"/>
      <c r="AM25" s="2" t="n"/>
      <c r="AN25" s="2" t="n"/>
      <c r="AO25" s="2" t="n"/>
      <c r="AP25" s="2" t="n"/>
      <c r="AQ25" s="2" t="n"/>
      <c r="AR25" s="2" t="n"/>
      <c r="AS25" s="2" t="n"/>
    </row>
    <row r="26" ht="15" customHeight="1" s="157">
      <c r="A26" s="175" t="inlineStr">
        <is>
          <t>Nombre del Representante Legal (R.L.)</t>
        </is>
      </c>
      <c r="B26" s="170" t="n"/>
      <c r="C26" s="170" t="n"/>
      <c r="D26" s="170" t="n"/>
      <c r="E26" s="170" t="n"/>
      <c r="F26" s="176" t="n"/>
      <c r="G26" s="190" t="n"/>
      <c r="H26" s="170" t="n"/>
      <c r="I26" s="170" t="n"/>
      <c r="J26" s="170" t="n"/>
      <c r="K26" s="170" t="n"/>
      <c r="L26" s="170" t="n"/>
      <c r="M26" s="170" t="n"/>
      <c r="N26" s="170" t="n"/>
      <c r="O26" s="171" t="n"/>
      <c r="P26" s="172" t="inlineStr">
        <is>
          <t>Nombre del Representante Legal (R.L.)</t>
        </is>
      </c>
      <c r="Q26" s="170" t="n"/>
      <c r="R26" s="170" t="n"/>
      <c r="S26" s="170" t="n"/>
      <c r="T26" s="170" t="n"/>
      <c r="U26" s="170" t="n"/>
      <c r="V26" s="174" t="inlineStr">
        <is>
          <t>Jaibet Paola Santiago Ribón</t>
        </is>
      </c>
      <c r="W26" s="170" t="n"/>
      <c r="X26" s="170" t="n"/>
      <c r="Y26" s="170" t="n"/>
      <c r="Z26" s="170" t="n"/>
      <c r="AA26" s="170" t="n"/>
      <c r="AB26" s="170" t="n"/>
      <c r="AC26" s="170" t="n"/>
      <c r="AD26" s="171" t="n"/>
      <c r="AE26" s="2" t="n"/>
      <c r="AF26" s="2" t="n"/>
      <c r="AG26" s="2" t="n"/>
      <c r="AH26" s="2" t="n"/>
      <c r="AI26" s="2" t="n"/>
      <c r="AJ26" s="2" t="n"/>
      <c r="AK26" s="2" t="n"/>
      <c r="AL26" s="2" t="n"/>
      <c r="AM26" s="2" t="n"/>
      <c r="AN26" s="2" t="n"/>
      <c r="AO26" s="2" t="n"/>
      <c r="AP26" s="2" t="n"/>
      <c r="AQ26" s="2" t="n"/>
      <c r="AR26" s="2" t="n"/>
      <c r="AS26" s="2" t="n"/>
    </row>
    <row r="27" ht="14.25" customHeight="1" s="157">
      <c r="A27" s="175" t="inlineStr">
        <is>
          <t>C.C o C.E Representante Legal</t>
        </is>
      </c>
      <c r="B27" s="170" t="n"/>
      <c r="C27" s="170" t="n"/>
      <c r="D27" s="170" t="n"/>
      <c r="E27" s="170" t="n"/>
      <c r="F27" s="176" t="n"/>
      <c r="G27" s="190" t="n"/>
      <c r="H27" s="170" t="n"/>
      <c r="I27" s="170" t="n"/>
      <c r="J27" s="170" t="n"/>
      <c r="K27" s="170" t="n"/>
      <c r="L27" s="170" t="n"/>
      <c r="M27" s="170" t="n"/>
      <c r="N27" s="170" t="n"/>
      <c r="O27" s="171" t="n"/>
      <c r="P27" s="172" t="inlineStr">
        <is>
          <t>C.C o C.E Representante Legal</t>
        </is>
      </c>
      <c r="Q27" s="170" t="n"/>
      <c r="R27" s="170" t="n"/>
      <c r="S27" s="170" t="n"/>
      <c r="T27" s="170" t="n"/>
      <c r="U27" s="170" t="n"/>
      <c r="V27" s="174" t="n">
        <v>1152203750</v>
      </c>
      <c r="W27" s="170" t="n"/>
      <c r="X27" s="170" t="n"/>
      <c r="Y27" s="170" t="n"/>
      <c r="Z27" s="170" t="n"/>
      <c r="AA27" s="170" t="n"/>
      <c r="AB27" s="170" t="n"/>
      <c r="AC27" s="170" t="n"/>
      <c r="AD27" s="171" t="n"/>
      <c r="AE27" s="2" t="n"/>
      <c r="AF27" s="2" t="n"/>
      <c r="AG27" s="2" t="n"/>
      <c r="AH27" s="2" t="n"/>
      <c r="AI27" s="2" t="n"/>
      <c r="AJ27" s="2" t="n"/>
      <c r="AK27" s="2" t="n"/>
      <c r="AL27" s="2" t="n"/>
      <c r="AM27" s="2" t="n"/>
      <c r="AN27" s="2" t="n"/>
      <c r="AO27" s="2" t="n"/>
      <c r="AP27" s="2" t="n"/>
      <c r="AQ27" s="2" t="n"/>
      <c r="AR27" s="2" t="n"/>
      <c r="AS27" s="2" t="n"/>
    </row>
    <row r="28" ht="14.25" customHeight="1" s="157">
      <c r="A28" s="203" t="inlineStr">
        <is>
          <t>correo electrónico de notificación</t>
        </is>
      </c>
      <c r="B28" s="164" t="n"/>
      <c r="C28" s="164" t="n"/>
      <c r="D28" s="164" t="n"/>
      <c r="E28" s="164" t="n"/>
      <c r="F28" s="204" t="n"/>
      <c r="G28" s="173" t="n"/>
      <c r="H28" s="164" t="n"/>
      <c r="I28" s="164" t="n"/>
      <c r="J28" s="164" t="n"/>
      <c r="K28" s="164" t="n"/>
      <c r="L28" s="164" t="n"/>
      <c r="M28" s="164" t="n"/>
      <c r="N28" s="164" t="n"/>
      <c r="O28" s="165" t="n"/>
      <c r="P28" s="181" t="inlineStr">
        <is>
          <t>correo electrónico de notificación</t>
        </is>
      </c>
      <c r="Q28" s="164" t="n"/>
      <c r="R28" s="164" t="n"/>
      <c r="S28" s="164" t="n"/>
      <c r="T28" s="164" t="n"/>
      <c r="U28" s="164" t="n"/>
      <c r="V28" s="174" t="inlineStr">
        <is>
          <t>info@solenium.co</t>
        </is>
      </c>
      <c r="W28" s="170" t="n"/>
      <c r="X28" s="170" t="n"/>
      <c r="Y28" s="170" t="n"/>
      <c r="Z28" s="170" t="n"/>
      <c r="AA28" s="170" t="n"/>
      <c r="AB28" s="170" t="n"/>
      <c r="AC28" s="170" t="n"/>
      <c r="AD28" s="171" t="n"/>
      <c r="AE28" s="2" t="n"/>
      <c r="AF28" s="2" t="n"/>
      <c r="AG28" s="2" t="n"/>
      <c r="AH28" s="2" t="n"/>
      <c r="AI28" s="2" t="n"/>
      <c r="AJ28" s="2" t="n"/>
      <c r="AK28" s="2" t="n"/>
      <c r="AL28" s="2" t="n"/>
      <c r="AM28" s="2" t="n"/>
      <c r="AN28" s="2" t="n"/>
      <c r="AO28" s="2" t="n"/>
      <c r="AP28" s="2" t="n"/>
      <c r="AQ28" s="2" t="n"/>
      <c r="AR28" s="2" t="n"/>
      <c r="AS28" s="2" t="n"/>
    </row>
    <row r="29" ht="14.25" customHeight="1" s="157">
      <c r="A29" s="219" t="inlineStr">
        <is>
          <t>CONTACTO</t>
        </is>
      </c>
      <c r="B29" s="168" t="n"/>
      <c r="C29" s="168" t="n"/>
      <c r="D29" s="168" t="n"/>
      <c r="E29" s="168" t="n"/>
      <c r="F29" s="168" t="n"/>
      <c r="G29" s="168" t="n"/>
      <c r="H29" s="168" t="n"/>
      <c r="I29" s="168" t="n"/>
      <c r="J29" s="168" t="n"/>
      <c r="K29" s="168" t="n"/>
      <c r="L29" s="168" t="n"/>
      <c r="M29" s="168" t="n"/>
      <c r="N29" s="168" t="n"/>
      <c r="O29" s="183" t="n"/>
      <c r="P29" s="219" t="inlineStr">
        <is>
          <t>CONTACTO</t>
        </is>
      </c>
      <c r="Q29" s="168" t="n"/>
      <c r="R29" s="168" t="n"/>
      <c r="S29" s="168" t="n"/>
      <c r="T29" s="168" t="n"/>
      <c r="U29" s="168" t="n"/>
      <c r="V29" s="168" t="n"/>
      <c r="W29" s="168" t="n"/>
      <c r="X29" s="168" t="n"/>
      <c r="Y29" s="168" t="n"/>
      <c r="Z29" s="168" t="n"/>
      <c r="AA29" s="168" t="n"/>
      <c r="AB29" s="168" t="n"/>
      <c r="AC29" s="168" t="n"/>
      <c r="AD29" s="183" t="n"/>
      <c r="AE29" s="2" t="n"/>
      <c r="AF29" s="2" t="n"/>
      <c r="AG29" s="2" t="n"/>
      <c r="AH29" s="2" t="n"/>
      <c r="AI29" s="2" t="n"/>
      <c r="AJ29" s="2" t="n"/>
      <c r="AK29" s="2" t="n"/>
      <c r="AL29" s="2" t="n"/>
      <c r="AM29" s="2" t="n"/>
      <c r="AN29" s="2" t="n"/>
      <c r="AO29" s="2" t="n"/>
      <c r="AP29" s="2" t="n"/>
      <c r="AQ29" s="2" t="n"/>
      <c r="AR29" s="2" t="n"/>
      <c r="AS29" s="2" t="n"/>
    </row>
    <row r="30" ht="14.25" customHeight="1" s="157">
      <c r="A30" s="207" t="inlineStr">
        <is>
          <t>Nombre de la persona de contacto</t>
        </is>
      </c>
      <c r="B30" s="158" t="n"/>
      <c r="C30" s="158" t="n"/>
      <c r="D30" s="158" t="n"/>
      <c r="E30" s="158" t="n"/>
      <c r="F30" s="149" t="n"/>
      <c r="G30" s="177" t="n"/>
      <c r="H30" s="158" t="n"/>
      <c r="I30" s="158" t="n"/>
      <c r="J30" s="158" t="n"/>
      <c r="K30" s="158" t="n"/>
      <c r="L30" s="158" t="n"/>
      <c r="M30" s="158" t="n"/>
      <c r="N30" s="158" t="n"/>
      <c r="O30" s="178" t="n"/>
      <c r="P30" s="189" t="inlineStr">
        <is>
          <t>Nombre de la persona de contacto</t>
        </is>
      </c>
      <c r="Q30" s="158" t="n"/>
      <c r="R30" s="158" t="n"/>
      <c r="S30" s="158" t="n"/>
      <c r="T30" s="158" t="n"/>
      <c r="U30" s="158" t="n"/>
      <c r="V30" s="174" t="inlineStr">
        <is>
          <t>Sergio Danny Camacho Guzman</t>
        </is>
      </c>
      <c r="W30" s="170" t="n"/>
      <c r="X30" s="170" t="n"/>
      <c r="Y30" s="170" t="n"/>
      <c r="Z30" s="170" t="n"/>
      <c r="AA30" s="170" t="n"/>
      <c r="AB30" s="170" t="n"/>
      <c r="AC30" s="170" t="n"/>
      <c r="AD30" s="171" t="n"/>
      <c r="AE30" s="2" t="n"/>
      <c r="AF30" s="2" t="n"/>
      <c r="AG30" s="2" t="n"/>
      <c r="AH30" s="2" t="n"/>
      <c r="AI30" s="2" t="n"/>
      <c r="AJ30" s="2" t="n"/>
      <c r="AK30" s="2" t="n"/>
      <c r="AL30" s="2" t="n"/>
      <c r="AM30" s="2" t="n"/>
      <c r="AN30" s="2" t="n"/>
      <c r="AO30" s="2" t="n"/>
      <c r="AP30" s="2" t="n"/>
      <c r="AQ30" s="2" t="n"/>
      <c r="AR30" s="2" t="n"/>
      <c r="AS30" s="2" t="n"/>
    </row>
    <row r="31" ht="14.25" customHeight="1" s="157">
      <c r="A31" s="179" t="inlineStr">
        <is>
          <t>Teléfono de la persona de contacto</t>
        </is>
      </c>
      <c r="B31" s="170" t="n"/>
      <c r="C31" s="170" t="n"/>
      <c r="D31" s="170" t="n"/>
      <c r="E31" s="170" t="n"/>
      <c r="F31" s="176" t="n"/>
      <c r="G31" s="190" t="n"/>
      <c r="H31" s="170" t="n"/>
      <c r="I31" s="170" t="n"/>
      <c r="J31" s="170" t="n"/>
      <c r="K31" s="170" t="n"/>
      <c r="L31" s="170" t="n"/>
      <c r="M31" s="170" t="n"/>
      <c r="N31" s="170" t="n"/>
      <c r="O31" s="171" t="n"/>
      <c r="P31" s="180" t="inlineStr">
        <is>
          <t>Teléfono de la persona de contacto</t>
        </is>
      </c>
      <c r="Q31" s="170" t="n"/>
      <c r="R31" s="170" t="n"/>
      <c r="S31" s="170" t="n"/>
      <c r="T31" s="170" t="n"/>
      <c r="U31" s="170" t="n"/>
      <c r="V31" s="174" t="inlineStr">
        <is>
          <t>(+57) 301 2950511</t>
        </is>
      </c>
      <c r="W31" s="170" t="n"/>
      <c r="X31" s="170" t="n"/>
      <c r="Y31" s="170" t="n"/>
      <c r="Z31" s="170" t="n"/>
      <c r="AA31" s="170" t="n"/>
      <c r="AB31" s="170" t="n"/>
      <c r="AC31" s="170" t="n"/>
      <c r="AD31" s="171" t="n"/>
      <c r="AE31" s="2" t="n"/>
      <c r="AF31" s="2" t="n"/>
      <c r="AG31" s="2" t="n"/>
      <c r="AH31" s="2" t="n"/>
      <c r="AI31" s="2" t="n"/>
      <c r="AJ31" s="2" t="n"/>
      <c r="AK31" s="2" t="n"/>
      <c r="AL31" s="2" t="n"/>
      <c r="AM31" s="2" t="n"/>
      <c r="AN31" s="2" t="n"/>
      <c r="AO31" s="2" t="n"/>
      <c r="AP31" s="2" t="n"/>
      <c r="AQ31" s="2" t="n"/>
      <c r="AR31" s="2" t="n"/>
      <c r="AS31" s="2" t="n"/>
    </row>
    <row r="32" ht="14.25" customHeight="1" s="157">
      <c r="A32" s="203" t="inlineStr">
        <is>
          <t>Correo Electrónico persona de contacto</t>
        </is>
      </c>
      <c r="B32" s="164" t="n"/>
      <c r="C32" s="164" t="n"/>
      <c r="D32" s="164" t="n"/>
      <c r="E32" s="164" t="n"/>
      <c r="F32" s="204" t="n"/>
      <c r="G32" s="193" t="n"/>
      <c r="H32" s="164" t="n"/>
      <c r="I32" s="164" t="n"/>
      <c r="J32" s="164" t="n"/>
      <c r="K32" s="164" t="n"/>
      <c r="L32" s="164" t="n"/>
      <c r="M32" s="164" t="n"/>
      <c r="N32" s="164" t="n"/>
      <c r="O32" s="165" t="n"/>
      <c r="P32" s="181" t="inlineStr">
        <is>
          <t>Correo Electrónico persona de contacto</t>
        </is>
      </c>
      <c r="Q32" s="164" t="n"/>
      <c r="R32" s="164" t="n"/>
      <c r="S32" s="164" t="n"/>
      <c r="T32" s="164" t="n"/>
      <c r="U32" s="164" t="n"/>
      <c r="V32" s="174" t="inlineStr">
        <is>
          <t>tramites@solenium.co</t>
        </is>
      </c>
      <c r="W32" s="170" t="n"/>
      <c r="X32" s="170" t="n"/>
      <c r="Y32" s="170" t="n"/>
      <c r="Z32" s="170" t="n"/>
      <c r="AA32" s="170" t="n"/>
      <c r="AB32" s="170" t="n"/>
      <c r="AC32" s="170" t="n"/>
      <c r="AD32" s="171" t="n"/>
      <c r="AE32" s="2" t="n"/>
      <c r="AF32" s="2" t="n"/>
      <c r="AG32" s="2" t="n"/>
      <c r="AH32" s="2" t="n"/>
      <c r="AI32" s="2" t="n"/>
      <c r="AJ32" s="2" t="n"/>
      <c r="AK32" s="2" t="n"/>
      <c r="AL32" s="2" t="n"/>
      <c r="AM32" s="2" t="n"/>
      <c r="AN32" s="2" t="n"/>
      <c r="AO32" s="2" t="n"/>
      <c r="AP32" s="2" t="n"/>
      <c r="AQ32" s="2" t="n"/>
      <c r="AR32" s="2" t="n"/>
      <c r="AS32" s="2" t="n"/>
    </row>
    <row r="33" ht="14.25" customHeight="1" s="157">
      <c r="A33" s="182" t="inlineStr">
        <is>
          <t>2. NOMBRE DEL PROYECTO DE FNCE</t>
        </is>
      </c>
      <c r="B33" s="168" t="n"/>
      <c r="C33" s="168" t="n"/>
      <c r="D33" s="168" t="n"/>
      <c r="E33" s="168" t="n"/>
      <c r="F33" s="168" t="n"/>
      <c r="G33" s="168" t="n"/>
      <c r="H33" s="168" t="n"/>
      <c r="I33" s="168" t="n"/>
      <c r="J33" s="168" t="n"/>
      <c r="K33" s="168" t="n"/>
      <c r="L33" s="168" t="n"/>
      <c r="M33" s="168" t="n"/>
      <c r="N33" s="168" t="n"/>
      <c r="O33" s="168" t="n"/>
      <c r="P33" s="168" t="n"/>
      <c r="Q33" s="168" t="n"/>
      <c r="R33" s="168" t="n"/>
      <c r="S33" s="168" t="n"/>
      <c r="T33" s="168" t="n"/>
      <c r="U33" s="168" t="n"/>
      <c r="V33" s="168" t="n"/>
      <c r="W33" s="168" t="n"/>
      <c r="X33" s="168" t="n"/>
      <c r="Y33" s="168" t="n"/>
      <c r="Z33" s="168" t="n"/>
      <c r="AA33" s="168" t="n"/>
      <c r="AB33" s="168" t="n"/>
      <c r="AC33" s="168" t="n"/>
      <c r="AD33" s="183" t="n"/>
      <c r="AE33" s="2" t="n"/>
      <c r="AF33" s="2" t="n"/>
      <c r="AG33" s="2" t="n"/>
      <c r="AH33" s="2" t="n"/>
      <c r="AI33" s="2" t="n"/>
      <c r="AJ33" s="2" t="n"/>
      <c r="AK33" s="2" t="n"/>
      <c r="AL33" s="2" t="n"/>
      <c r="AM33" s="2" t="n"/>
      <c r="AN33" s="2" t="n"/>
      <c r="AO33" s="2" t="n"/>
      <c r="AP33" s="2" t="n"/>
      <c r="AQ33" s="2" t="n"/>
      <c r="AR33" s="2" t="n"/>
      <c r="AS33" s="2" t="n"/>
    </row>
    <row r="34" ht="14.25" customHeight="1" s="157">
      <c r="A34" s="213" t="inlineStr">
        <is>
          <t>MGS 0000</t>
        </is>
      </c>
      <c r="B34" s="153" t="n"/>
      <c r="C34" s="153" t="n"/>
      <c r="D34" s="153" t="n"/>
      <c r="E34" s="153" t="n"/>
      <c r="F34" s="153" t="n"/>
      <c r="G34" s="153" t="n"/>
      <c r="H34" s="153" t="n"/>
      <c r="I34" s="153" t="n"/>
      <c r="J34" s="153" t="n"/>
      <c r="K34" s="153" t="n"/>
      <c r="L34" s="153" t="n"/>
      <c r="M34" s="153" t="n"/>
      <c r="N34" s="153" t="n"/>
      <c r="O34" s="153" t="n"/>
      <c r="P34" s="153" t="n"/>
      <c r="Q34" s="153" t="n"/>
      <c r="R34" s="153" t="n"/>
      <c r="S34" s="153" t="n"/>
      <c r="T34" s="153" t="n"/>
      <c r="U34" s="153" t="n"/>
      <c r="V34" s="153" t="n"/>
      <c r="W34" s="153" t="n"/>
      <c r="X34" s="153" t="n"/>
      <c r="Y34" s="153" t="n"/>
      <c r="Z34" s="153" t="n"/>
      <c r="AA34" s="153" t="n"/>
      <c r="AB34" s="153" t="n"/>
      <c r="AC34" s="153" t="n"/>
      <c r="AD34" s="154" t="n"/>
      <c r="AE34" s="2" t="n"/>
      <c r="AF34" s="2" t="n"/>
      <c r="AG34" s="2" t="n"/>
      <c r="AH34" s="2" t="n"/>
      <c r="AI34" s="2" t="n"/>
      <c r="AJ34" s="2" t="n"/>
      <c r="AK34" s="2" t="n"/>
      <c r="AL34" s="2" t="n"/>
      <c r="AM34" s="2" t="n"/>
      <c r="AN34" s="2" t="n"/>
      <c r="AO34" s="2" t="n"/>
      <c r="AP34" s="2" t="n"/>
      <c r="AQ34" s="2" t="n"/>
      <c r="AR34" s="2" t="n"/>
      <c r="AS34" s="2" t="n"/>
    </row>
    <row r="35" ht="15" customHeight="1" s="157">
      <c r="A35" s="214" t="n"/>
      <c r="B35" s="161" t="n"/>
      <c r="C35" s="161" t="n"/>
      <c r="D35" s="161" t="n"/>
      <c r="E35" s="161" t="n"/>
      <c r="F35" s="161" t="n"/>
      <c r="G35" s="161" t="n"/>
      <c r="H35" s="161" t="n"/>
      <c r="I35" s="161" t="n"/>
      <c r="J35" s="161" t="n"/>
      <c r="K35" s="161" t="n"/>
      <c r="L35" s="161" t="n"/>
      <c r="M35" s="161" t="n"/>
      <c r="N35" s="161" t="n"/>
      <c r="O35" s="161" t="n"/>
      <c r="P35" s="161" t="n"/>
      <c r="Q35" s="161" t="n"/>
      <c r="R35" s="161" t="n"/>
      <c r="S35" s="161" t="n"/>
      <c r="T35" s="161" t="n"/>
      <c r="U35" s="161" t="n"/>
      <c r="V35" s="161" t="n"/>
      <c r="W35" s="161" t="n"/>
      <c r="X35" s="161" t="n"/>
      <c r="Y35" s="161" t="n"/>
      <c r="Z35" s="161" t="n"/>
      <c r="AA35" s="161" t="n"/>
      <c r="AB35" s="161" t="n"/>
      <c r="AC35" s="161" t="n"/>
      <c r="AD35" s="215" t="n"/>
      <c r="AE35" s="2" t="n"/>
      <c r="AF35" s="2" t="n"/>
      <c r="AG35" s="2" t="n"/>
      <c r="AH35" s="2" t="n"/>
      <c r="AI35" s="2" t="n"/>
      <c r="AJ35" s="2" t="n"/>
      <c r="AK35" s="2" t="n"/>
      <c r="AL35" s="2" t="n"/>
      <c r="AM35" s="2" t="n"/>
      <c r="AN35" s="2" t="n"/>
      <c r="AO35" s="2" t="n"/>
      <c r="AP35" s="2" t="n"/>
      <c r="AQ35" s="2" t="n"/>
      <c r="AR35" s="2" t="n"/>
      <c r="AS35" s="2" t="n"/>
    </row>
    <row r="36" ht="14.25" customHeight="1" s="157">
      <c r="A36" s="182" t="inlineStr">
        <is>
          <t>3. ETAPA DEL PROYECTO EN FNCE</t>
        </is>
      </c>
      <c r="B36" s="168" t="n"/>
      <c r="C36" s="168" t="n"/>
      <c r="D36" s="168" t="n"/>
      <c r="E36" s="168" t="n"/>
      <c r="F36" s="168" t="n"/>
      <c r="G36" s="168" t="n"/>
      <c r="H36" s="168" t="n"/>
      <c r="I36" s="168" t="n"/>
      <c r="J36" s="168" t="n"/>
      <c r="K36" s="168" t="n"/>
      <c r="L36" s="168" t="n"/>
      <c r="M36" s="168" t="n"/>
      <c r="N36" s="168" t="n"/>
      <c r="O36" s="168" t="n"/>
      <c r="P36" s="168" t="n"/>
      <c r="Q36" s="168" t="n"/>
      <c r="R36" s="168" t="n"/>
      <c r="S36" s="168" t="n"/>
      <c r="T36" s="168" t="n"/>
      <c r="U36" s="168" t="n"/>
      <c r="V36" s="168" t="n"/>
      <c r="W36" s="168" t="n"/>
      <c r="X36" s="168" t="n"/>
      <c r="Y36" s="168" t="n"/>
      <c r="Z36" s="168" t="n"/>
      <c r="AA36" s="168" t="n"/>
      <c r="AB36" s="168" t="n"/>
      <c r="AC36" s="168" t="n"/>
      <c r="AD36" s="183" t="n"/>
      <c r="AE36" s="2" t="n"/>
      <c r="AF36" s="2" t="n"/>
      <c r="AG36" s="2" t="n"/>
      <c r="AH36" s="2" t="n"/>
      <c r="AI36" s="2" t="n"/>
      <c r="AJ36" s="2" t="n"/>
      <c r="AK36" s="2" t="n"/>
      <c r="AL36" s="2" t="n"/>
      <c r="AM36" s="2" t="n"/>
      <c r="AN36" s="2" t="n"/>
      <c r="AO36" s="2" t="n"/>
      <c r="AP36" s="2" t="n"/>
      <c r="AQ36" s="2" t="n"/>
      <c r="AR36" s="2" t="n"/>
      <c r="AS36" s="2" t="n"/>
    </row>
    <row r="37" ht="15" customHeight="1" s="157">
      <c r="A37" s="212" t="inlineStr">
        <is>
          <t>Inversión</t>
        </is>
      </c>
      <c r="B37" s="168" t="n"/>
      <c r="C37" s="168" t="n"/>
      <c r="D37" s="168" t="n"/>
      <c r="E37" s="168" t="n"/>
      <c r="F37" s="168" t="n"/>
      <c r="G37" s="168" t="n"/>
      <c r="H37" s="168" t="n"/>
      <c r="I37" s="168" t="n"/>
      <c r="J37" s="168" t="n"/>
      <c r="K37" s="168" t="n"/>
      <c r="L37" s="168" t="n"/>
      <c r="M37" s="168" t="n"/>
      <c r="N37" s="168" t="n"/>
      <c r="O37" s="168" t="n"/>
      <c r="P37" s="168" t="n"/>
      <c r="Q37" s="168" t="n"/>
      <c r="R37" s="168" t="n"/>
      <c r="S37" s="168" t="n"/>
      <c r="T37" s="168" t="n"/>
      <c r="U37" s="168" t="n"/>
      <c r="V37" s="168" t="n"/>
      <c r="W37" s="168" t="n"/>
      <c r="X37" s="168" t="n"/>
      <c r="Y37" s="168" t="n"/>
      <c r="Z37" s="168" t="n"/>
      <c r="AA37" s="168" t="n"/>
      <c r="AB37" s="168" t="n"/>
      <c r="AC37" s="168" t="n"/>
      <c r="AD37" s="183" t="n"/>
      <c r="AE37" s="2" t="n"/>
      <c r="AF37" s="2" t="n"/>
      <c r="AG37" s="2" t="n"/>
      <c r="AH37" s="2" t="n"/>
      <c r="AI37" s="2" t="n"/>
      <c r="AJ37" s="2" t="n"/>
      <c r="AK37" s="2" t="n"/>
      <c r="AL37" s="2" t="n"/>
      <c r="AM37" s="2" t="n"/>
      <c r="AN37" s="2" t="n"/>
      <c r="AO37" s="2" t="n"/>
      <c r="AP37" s="2" t="n"/>
      <c r="AQ37" s="2" t="n"/>
      <c r="AR37" s="2" t="n"/>
      <c r="AS37" s="2" t="n"/>
    </row>
    <row r="38" ht="15" customHeight="1" s="157">
      <c r="A38" s="182" t="inlineStr">
        <is>
          <t>4. INFORMACIÓN DE REGISTRO DEL PROYECTO</t>
        </is>
      </c>
      <c r="B38" s="168" t="n"/>
      <c r="C38" s="168" t="n"/>
      <c r="D38" s="168" t="n"/>
      <c r="E38" s="168" t="n"/>
      <c r="F38" s="168" t="n"/>
      <c r="G38" s="168" t="n"/>
      <c r="H38" s="168" t="n"/>
      <c r="I38" s="168" t="n"/>
      <c r="J38" s="168" t="n"/>
      <c r="K38" s="168" t="n"/>
      <c r="L38" s="168" t="n"/>
      <c r="M38" s="168" t="n"/>
      <c r="N38" s="168" t="n"/>
      <c r="O38" s="168" t="n"/>
      <c r="P38" s="168" t="n"/>
      <c r="Q38" s="168" t="n"/>
      <c r="R38" s="168" t="n"/>
      <c r="S38" s="168" t="n"/>
      <c r="T38" s="168" t="n"/>
      <c r="U38" s="168" t="n"/>
      <c r="V38" s="168" t="n"/>
      <c r="W38" s="168" t="n"/>
      <c r="X38" s="168" t="n"/>
      <c r="Y38" s="168" t="n"/>
      <c r="Z38" s="168" t="n"/>
      <c r="AA38" s="168" t="n"/>
      <c r="AB38" s="168" t="n"/>
      <c r="AC38" s="168" t="n"/>
      <c r="AD38" s="183" t="n"/>
      <c r="AE38" s="2" t="n"/>
      <c r="AF38" s="2" t="n"/>
      <c r="AG38" s="2" t="n"/>
      <c r="AH38" s="2" t="n"/>
      <c r="AI38" s="2" t="n"/>
      <c r="AJ38" s="2" t="n"/>
      <c r="AK38" s="2" t="n"/>
      <c r="AL38" s="2" t="n"/>
      <c r="AM38" s="2" t="n"/>
      <c r="AN38" s="2" t="n"/>
      <c r="AO38" s="2" t="n"/>
      <c r="AP38" s="2" t="n"/>
      <c r="AQ38" s="2" t="n"/>
      <c r="AR38" s="2" t="n"/>
      <c r="AS38" s="2" t="n"/>
    </row>
    <row r="39" ht="30" customHeight="1" s="157">
      <c r="A39" s="206" t="inlineStr">
        <is>
          <t>Número de radicado del registro del proyecto expedido por la UPME (Si aplica)</t>
        </is>
      </c>
      <c r="B39" s="168" t="n"/>
      <c r="C39" s="168" t="n"/>
      <c r="D39" s="168" t="n"/>
      <c r="E39" s="168" t="n"/>
      <c r="F39" s="168" t="n"/>
      <c r="G39" s="168" t="n"/>
      <c r="H39" s="168" t="n"/>
      <c r="I39" s="168" t="n"/>
      <c r="J39" s="168" t="n"/>
      <c r="K39" s="183" t="n"/>
      <c r="L39" s="211" t="n"/>
      <c r="M39" s="168" t="n"/>
      <c r="N39" s="168" t="n"/>
      <c r="O39" s="168" t="n"/>
      <c r="P39" s="168" t="n"/>
      <c r="Q39" s="183" t="n"/>
      <c r="R39" s="206" t="inlineStr">
        <is>
          <t>Fecha del radicado</t>
        </is>
      </c>
      <c r="S39" s="168" t="n"/>
      <c r="T39" s="183" t="n"/>
      <c r="U39" s="211" t="n"/>
      <c r="V39" s="168" t="n"/>
      <c r="W39" s="168" t="n"/>
      <c r="X39" s="168" t="n"/>
      <c r="Y39" s="168" t="n"/>
      <c r="Z39" s="168" t="n"/>
      <c r="AA39" s="168" t="n"/>
      <c r="AB39" s="168" t="n"/>
      <c r="AC39" s="168" t="n"/>
      <c r="AD39" s="183" t="n"/>
      <c r="AE39" s="5" t="n"/>
      <c r="AF39" s="5" t="n"/>
      <c r="AG39" s="5" t="n"/>
      <c r="AH39" s="5" t="n"/>
      <c r="AI39" s="5" t="n"/>
      <c r="AJ39" s="5" t="n"/>
      <c r="AK39" s="5" t="n"/>
      <c r="AL39" s="5" t="n"/>
      <c r="AM39" s="5" t="n"/>
      <c r="AN39" s="5" t="n"/>
      <c r="AO39" s="5" t="n"/>
      <c r="AP39" s="5" t="n"/>
      <c r="AQ39" s="5" t="n"/>
      <c r="AR39" s="5" t="n"/>
      <c r="AS39" s="5" t="n"/>
    </row>
    <row r="40" ht="15.75" customHeight="1" s="157">
      <c r="A40" s="263" t="inlineStr">
        <is>
          <t>5. INCENTIVOS A LOS CUALES APLICA (Marque con una X)</t>
        </is>
      </c>
      <c r="B40" s="153" t="n"/>
      <c r="C40" s="153" t="n"/>
      <c r="D40" s="153" t="n"/>
      <c r="E40" s="153" t="n"/>
      <c r="F40" s="153" t="n"/>
      <c r="G40" s="153" t="n"/>
      <c r="H40" s="153" t="n"/>
      <c r="I40" s="153" t="n"/>
      <c r="J40" s="153" t="n"/>
      <c r="K40" s="153" t="n"/>
      <c r="L40" s="153" t="n"/>
      <c r="M40" s="153" t="n"/>
      <c r="N40" s="153" t="n"/>
      <c r="O40" s="153" t="n"/>
      <c r="P40" s="153" t="n"/>
      <c r="Q40" s="153" t="n"/>
      <c r="R40" s="153" t="n"/>
      <c r="S40" s="153" t="n"/>
      <c r="T40" s="153" t="n"/>
      <c r="U40" s="153" t="n"/>
      <c r="V40" s="153" t="n"/>
      <c r="W40" s="153" t="n"/>
      <c r="X40" s="153" t="n"/>
      <c r="Y40" s="153" t="n"/>
      <c r="Z40" s="153" t="n"/>
      <c r="AA40" s="153" t="n"/>
      <c r="AB40" s="153" t="n"/>
      <c r="AC40" s="153" t="n"/>
      <c r="AD40" s="154" t="n"/>
      <c r="AE40" s="2" t="n"/>
      <c r="AF40" s="2" t="n"/>
      <c r="AG40" s="2" t="n"/>
      <c r="AH40" s="2" t="n"/>
      <c r="AI40" s="2" t="n"/>
      <c r="AJ40" s="2" t="n"/>
      <c r="AK40" s="2" t="n"/>
      <c r="AL40" s="2" t="n"/>
      <c r="AM40" s="2" t="n"/>
      <c r="AN40" s="2" t="n"/>
      <c r="AO40" s="2" t="n"/>
      <c r="AP40" s="2" t="n"/>
      <c r="AQ40" s="2" t="n"/>
      <c r="AR40" s="2" t="n"/>
      <c r="AS40" s="2" t="n"/>
    </row>
    <row r="41" ht="14.25" customHeight="1" s="157">
      <c r="A41" s="167" t="inlineStr">
        <is>
          <t>Exclusión de IVA</t>
        </is>
      </c>
      <c r="B41" s="168" t="n"/>
      <c r="C41" s="168" t="n"/>
      <c r="D41" s="212" t="inlineStr">
        <is>
          <t>X</t>
        </is>
      </c>
      <c r="E41" s="212" t="inlineStr">
        <is>
          <t>Exención de Arancel</t>
        </is>
      </c>
      <c r="F41" s="168" t="n"/>
      <c r="G41" s="168" t="n"/>
      <c r="H41" s="168" t="n"/>
      <c r="I41" s="168" t="n"/>
      <c r="J41" s="168" t="n"/>
      <c r="K41" s="183" t="n"/>
      <c r="L41" s="212" t="inlineStr">
        <is>
          <t>X</t>
        </is>
      </c>
      <c r="M41" s="167" t="inlineStr">
        <is>
          <t>Deducción de Renta</t>
        </is>
      </c>
      <c r="N41" s="168" t="n"/>
      <c r="O41" s="168" t="n"/>
      <c r="P41" s="168" t="n"/>
      <c r="Q41" s="168" t="n"/>
      <c r="R41" s="168" t="n"/>
      <c r="S41" s="168" t="n"/>
      <c r="T41" s="212" t="inlineStr">
        <is>
          <t>X</t>
        </is>
      </c>
      <c r="U41" s="167" t="inlineStr">
        <is>
          <t>Depreciación acelerada</t>
        </is>
      </c>
      <c r="V41" s="168" t="n"/>
      <c r="W41" s="168" t="n"/>
      <c r="X41" s="168" t="n"/>
      <c r="Y41" s="168" t="n"/>
      <c r="Z41" s="168" t="n"/>
      <c r="AA41" s="168" t="n"/>
      <c r="AB41" s="168" t="n"/>
      <c r="AC41" s="167" t="inlineStr">
        <is>
          <t>X</t>
        </is>
      </c>
      <c r="AD41" s="7" t="n"/>
      <c r="AE41" s="2" t="n"/>
      <c r="AF41" s="2" t="n"/>
      <c r="AG41" s="2" t="n"/>
      <c r="AH41" s="2" t="n"/>
      <c r="AI41" s="2" t="n"/>
      <c r="AJ41" s="2" t="n"/>
      <c r="AK41" s="2" t="n"/>
      <c r="AL41" s="2" t="n"/>
      <c r="AM41" s="2" t="n"/>
      <c r="AN41" s="2" t="n"/>
      <c r="AO41" s="2" t="n"/>
      <c r="AP41" s="2" t="n"/>
      <c r="AQ41" s="2" t="n"/>
      <c r="AR41" s="2" t="n"/>
      <c r="AS41" s="2" t="n"/>
    </row>
    <row r="42" ht="14.25" customHeight="1" s="157">
      <c r="A42" s="182" t="inlineStr">
        <is>
          <t>6. LUGAR DE UBICACIÓN DE LA INVERSION</t>
        </is>
      </c>
      <c r="B42" s="168" t="n"/>
      <c r="C42" s="168" t="n"/>
      <c r="D42" s="168" t="n"/>
      <c r="E42" s="168" t="n"/>
      <c r="F42" s="168" t="n"/>
      <c r="G42" s="168" t="n"/>
      <c r="H42" s="168" t="n"/>
      <c r="I42" s="168" t="n"/>
      <c r="J42" s="168" t="n"/>
      <c r="K42" s="168" t="n"/>
      <c r="L42" s="168" t="n"/>
      <c r="M42" s="168" t="n"/>
      <c r="N42" s="168" t="n"/>
      <c r="O42" s="168" t="n"/>
      <c r="P42" s="168" t="n"/>
      <c r="Q42" s="168" t="n"/>
      <c r="R42" s="168" t="n"/>
      <c r="S42" s="168" t="n"/>
      <c r="T42" s="168" t="n"/>
      <c r="U42" s="168" t="n"/>
      <c r="V42" s="168" t="n"/>
      <c r="W42" s="168" t="n"/>
      <c r="X42" s="168" t="n"/>
      <c r="Y42" s="168" t="n"/>
      <c r="Z42" s="168" t="n"/>
      <c r="AA42" s="168" t="n"/>
      <c r="AB42" s="168" t="n"/>
      <c r="AC42" s="168" t="n"/>
      <c r="AD42" s="183" t="n"/>
      <c r="AE42" s="2" t="n"/>
      <c r="AF42" s="2" t="n"/>
      <c r="AG42" s="2" t="n"/>
      <c r="AH42" s="2" t="n"/>
      <c r="AI42" s="2" t="n"/>
      <c r="AJ42" s="2" t="n"/>
      <c r="AK42" s="2" t="n"/>
      <c r="AL42" s="2" t="n"/>
      <c r="AM42" s="2" t="n"/>
      <c r="AN42" s="2" t="n"/>
      <c r="AO42" s="2" t="n"/>
      <c r="AP42" s="2" t="n"/>
      <c r="AQ42" s="2" t="n"/>
      <c r="AR42" s="2" t="n"/>
      <c r="AS42" s="2" t="n"/>
    </row>
    <row r="43" ht="14.25" customHeight="1" s="157">
      <c r="A43" s="187" t="n"/>
      <c r="B43" s="153" t="n"/>
      <c r="C43" s="153" t="n"/>
      <c r="D43" s="153" t="n"/>
      <c r="E43" s="153" t="n"/>
      <c r="F43" s="153" t="n"/>
      <c r="G43" s="153" t="n"/>
      <c r="H43" s="153" t="n"/>
      <c r="I43" s="153" t="n"/>
      <c r="J43" s="153" t="n"/>
      <c r="K43" s="153" t="n"/>
      <c r="L43" s="153" t="n"/>
      <c r="M43" s="153" t="n"/>
      <c r="N43" s="153" t="n"/>
      <c r="O43" s="188" t="n"/>
      <c r="P43" s="8" t="n"/>
      <c r="Q43" s="8" t="n"/>
      <c r="R43" s="8" t="n"/>
      <c r="S43" s="8" t="n"/>
      <c r="T43" s="8" t="n"/>
      <c r="U43" s="8" t="n"/>
      <c r="V43" s="8" t="n"/>
      <c r="W43" s="8" t="n"/>
      <c r="X43" s="8" t="n"/>
      <c r="Y43" s="8" t="n"/>
      <c r="Z43" s="8" t="n"/>
      <c r="AA43" s="8" t="n"/>
      <c r="AB43" s="8" t="n"/>
      <c r="AC43" s="8" t="n"/>
      <c r="AD43" s="9" t="n"/>
      <c r="AE43" s="2" t="n"/>
      <c r="AF43" s="2" t="n"/>
      <c r="AG43" s="2" t="n"/>
      <c r="AH43" s="2" t="n"/>
      <c r="AI43" s="2" t="n"/>
      <c r="AJ43" s="2" t="n"/>
      <c r="AK43" s="2" t="n"/>
      <c r="AL43" s="2" t="n"/>
      <c r="AM43" s="2" t="n"/>
      <c r="AN43" s="2" t="n"/>
      <c r="AO43" s="2" t="n"/>
      <c r="AP43" s="2" t="n"/>
      <c r="AQ43" s="2" t="n"/>
      <c r="AR43" s="2" t="n"/>
      <c r="AS43" s="2" t="n"/>
    </row>
    <row r="44" ht="14.25" customHeight="1" s="157">
      <c r="A44" s="166" t="inlineStr">
        <is>
          <t xml:space="preserve">    Departamento</t>
        </is>
      </c>
      <c r="F44" s="264" t="inlineStr">
        <is>
          <t>Antioquia</t>
        </is>
      </c>
      <c r="G44" s="170" t="n"/>
      <c r="H44" s="170" t="n"/>
      <c r="I44" s="170" t="n"/>
      <c r="J44" s="170" t="n"/>
      <c r="K44" s="170" t="n"/>
      <c r="L44" s="170" t="n"/>
      <c r="M44" s="170" t="n"/>
      <c r="N44" s="170" t="n"/>
      <c r="O44" s="176" t="n"/>
      <c r="P44" s="220" t="inlineStr">
        <is>
          <t xml:space="preserve">    Municipio</t>
        </is>
      </c>
      <c r="T44" s="218" t="inlineStr">
        <is>
          <t>Titiribí</t>
        </is>
      </c>
      <c r="U44" s="170" t="n"/>
      <c r="V44" s="170" t="n"/>
      <c r="W44" s="170" t="n"/>
      <c r="X44" s="170" t="n"/>
      <c r="Y44" s="170" t="n"/>
      <c r="Z44" s="170" t="n"/>
      <c r="AA44" s="170" t="n"/>
      <c r="AB44" s="170" t="n"/>
      <c r="AC44" s="170" t="n"/>
      <c r="AD44" s="171" t="n"/>
      <c r="AE44" s="2" t="n"/>
      <c r="AF44" s="2" t="n"/>
      <c r="AG44" s="2" t="n"/>
      <c r="AH44" s="2" t="n"/>
      <c r="AI44" s="2" t="n"/>
      <c r="AJ44" s="2" t="n"/>
      <c r="AK44" s="2" t="n"/>
      <c r="AL44" s="2" t="n"/>
      <c r="AM44" s="2" t="n"/>
      <c r="AN44" s="2" t="n"/>
      <c r="AO44" s="2" t="n"/>
      <c r="AP44" s="2" t="n"/>
      <c r="AQ44" s="2" t="n"/>
      <c r="AR44" s="2" t="n"/>
      <c r="AS44" s="2" t="n"/>
    </row>
    <row r="45" ht="14.25" customHeight="1" s="157">
      <c r="A45" s="160" t="n"/>
      <c r="B45" s="161" t="n"/>
      <c r="C45" s="161" t="n"/>
      <c r="D45" s="161" t="n"/>
      <c r="E45" s="161" t="n"/>
      <c r="F45" s="161" t="n"/>
      <c r="G45" s="161" t="n"/>
      <c r="H45" s="161" t="n"/>
      <c r="I45" s="161" t="n"/>
      <c r="J45" s="161" t="n"/>
      <c r="K45" s="161" t="n"/>
      <c r="L45" s="161" t="n"/>
      <c r="M45" s="161" t="n"/>
      <c r="N45" s="161" t="n"/>
      <c r="O45" s="162" t="n"/>
      <c r="P45" s="10" t="n"/>
      <c r="Q45" s="10" t="n"/>
      <c r="R45" s="10" t="n"/>
      <c r="S45" s="10" t="n"/>
      <c r="T45" s="10" t="n"/>
      <c r="U45" s="10" t="n"/>
      <c r="V45" s="10" t="n"/>
      <c r="W45" s="10" t="n"/>
      <c r="X45" s="10" t="n"/>
      <c r="Y45" s="10" t="n"/>
      <c r="Z45" s="10" t="n"/>
      <c r="AA45" s="10" t="n"/>
      <c r="AB45" s="10" t="n"/>
      <c r="AC45" s="10" t="n"/>
      <c r="AD45" s="11" t="n"/>
      <c r="AE45" s="2" t="n"/>
      <c r="AF45" s="2" t="n"/>
      <c r="AG45" s="2" t="n"/>
      <c r="AH45" s="2" t="n"/>
      <c r="AI45" s="2" t="n"/>
      <c r="AJ45" s="2" t="n"/>
      <c r="AK45" s="2" t="n"/>
      <c r="AL45" s="2" t="n"/>
      <c r="AM45" s="2" t="n"/>
      <c r="AN45" s="2" t="n"/>
      <c r="AO45" s="2" t="n"/>
      <c r="AP45" s="2" t="n"/>
      <c r="AQ45" s="2" t="n"/>
      <c r="AR45" s="2" t="n"/>
      <c r="AS45" s="2" t="n"/>
    </row>
    <row r="46" ht="14.25" customHeight="1" s="157">
      <c r="A46" s="182" t="inlineStr">
        <is>
          <t>7. VALOR DE LA INVERSION OBJETO DEL BENEFICIO ANTES DE IMPUESTOS</t>
        </is>
      </c>
      <c r="B46" s="168" t="n"/>
      <c r="C46" s="168" t="n"/>
      <c r="D46" s="168" t="n"/>
      <c r="E46" s="168" t="n"/>
      <c r="F46" s="168" t="n"/>
      <c r="G46" s="168" t="n"/>
      <c r="H46" s="168" t="n"/>
      <c r="I46" s="168" t="n"/>
      <c r="J46" s="168" t="n"/>
      <c r="K46" s="168" t="n"/>
      <c r="L46" s="168" t="n"/>
      <c r="M46" s="168" t="n"/>
      <c r="N46" s="168" t="n"/>
      <c r="O46" s="168" t="n"/>
      <c r="P46" s="168" t="n"/>
      <c r="Q46" s="168" t="n"/>
      <c r="R46" s="168" t="n"/>
      <c r="S46" s="168" t="n"/>
      <c r="T46" s="168" t="n"/>
      <c r="U46" s="168" t="n"/>
      <c r="V46" s="168" t="n"/>
      <c r="W46" s="168" t="n"/>
      <c r="X46" s="168" t="n"/>
      <c r="Y46" s="168" t="n"/>
      <c r="Z46" s="168" t="n"/>
      <c r="AA46" s="168" t="n"/>
      <c r="AB46" s="168" t="n"/>
      <c r="AC46" s="168" t="n"/>
      <c r="AD46" s="183" t="n"/>
      <c r="AE46" s="2" t="n"/>
      <c r="AF46" s="2" t="n"/>
      <c r="AG46" s="2" t="n"/>
      <c r="AH46" s="2" t="n"/>
      <c r="AI46" s="2" t="n"/>
      <c r="AJ46" s="2" t="n"/>
      <c r="AK46" s="2" t="n"/>
      <c r="AL46" s="2" t="n"/>
      <c r="AM46" s="2" t="n"/>
      <c r="AN46" s="2" t="n"/>
      <c r="AO46" s="2" t="n"/>
      <c r="AP46" s="2" t="n"/>
      <c r="AQ46" s="2" t="n"/>
      <c r="AR46" s="2" t="n"/>
      <c r="AS46" s="2" t="n"/>
    </row>
    <row r="47" ht="14.25" customHeight="1" s="157">
      <c r="A47" s="209" t="inlineStr">
        <is>
          <t>Valor total en COP</t>
        </is>
      </c>
      <c r="B47" s="185" t="n"/>
      <c r="C47" s="185" t="n"/>
      <c r="D47" s="185" t="n"/>
      <c r="E47" s="185" t="n"/>
      <c r="F47" s="185" t="n"/>
      <c r="G47" s="185" t="n"/>
      <c r="H47" s="185" t="n"/>
      <c r="I47" s="185" t="n"/>
      <c r="J47" s="210" t="n"/>
      <c r="K47" s="184" t="n"/>
      <c r="L47" s="185" t="n"/>
      <c r="M47" s="185" t="n"/>
      <c r="N47" s="185" t="n"/>
      <c r="O47" s="185" t="n"/>
      <c r="P47" s="185" t="n"/>
      <c r="Q47" s="185" t="n"/>
      <c r="R47" s="185" t="n"/>
      <c r="S47" s="185" t="n"/>
      <c r="T47" s="185" t="n"/>
      <c r="U47" s="185" t="n"/>
      <c r="V47" s="185" t="n"/>
      <c r="W47" s="185" t="n"/>
      <c r="X47" s="185" t="n"/>
      <c r="Y47" s="185" t="n"/>
      <c r="Z47" s="185" t="n"/>
      <c r="AA47" s="185" t="n"/>
      <c r="AB47" s="185" t="n"/>
      <c r="AC47" s="185" t="n"/>
      <c r="AD47" s="186" t="n"/>
      <c r="AE47" s="2" t="n"/>
      <c r="AF47" s="2" t="n"/>
      <c r="AG47" s="2" t="n"/>
      <c r="AH47" s="2" t="n"/>
      <c r="AI47" s="2" t="n"/>
      <c r="AJ47" s="2" t="n"/>
      <c r="AK47" s="2" t="n"/>
      <c r="AL47" s="2" t="n"/>
      <c r="AM47" s="2" t="n"/>
      <c r="AN47" s="2" t="n"/>
      <c r="AO47" s="2" t="n"/>
      <c r="AP47" s="2" t="n"/>
      <c r="AQ47" s="2" t="n"/>
      <c r="AR47" s="2" t="n"/>
      <c r="AS47" s="2" t="n"/>
    </row>
    <row r="48" ht="14.25" customHeight="1" s="157">
      <c r="A48" s="182" t="inlineStr">
        <is>
          <t>8. NÚMERO DE ACREDITACIÓN O REFERENCIA DE PAGO DE LA TARIFA</t>
        </is>
      </c>
      <c r="B48" s="168" t="n"/>
      <c r="C48" s="168" t="n"/>
      <c r="D48" s="168" t="n"/>
      <c r="E48" s="168" t="n"/>
      <c r="F48" s="168" t="n"/>
      <c r="G48" s="168" t="n"/>
      <c r="H48" s="168" t="n"/>
      <c r="I48" s="168" t="n"/>
      <c r="J48" s="168" t="n"/>
      <c r="K48" s="168" t="n"/>
      <c r="L48" s="168" t="n"/>
      <c r="M48" s="168" t="n"/>
      <c r="N48" s="168" t="n"/>
      <c r="O48" s="168" t="n"/>
      <c r="P48" s="168" t="n"/>
      <c r="Q48" s="168" t="n"/>
      <c r="R48" s="168" t="n"/>
      <c r="S48" s="168" t="n"/>
      <c r="T48" s="168" t="n"/>
      <c r="U48" s="168" t="n"/>
      <c r="V48" s="168" t="n"/>
      <c r="W48" s="168" t="n"/>
      <c r="X48" s="168" t="n"/>
      <c r="Y48" s="168" t="n"/>
      <c r="Z48" s="168" t="n"/>
      <c r="AA48" s="168" t="n"/>
      <c r="AB48" s="168" t="n"/>
      <c r="AC48" s="168" t="n"/>
      <c r="AD48" s="183" t="n"/>
      <c r="AE48" s="2" t="n"/>
      <c r="AF48" s="2" t="n"/>
      <c r="AG48" s="2" t="n"/>
      <c r="AH48" s="2" t="n"/>
      <c r="AI48" s="2" t="n"/>
      <c r="AJ48" s="2" t="n"/>
      <c r="AK48" s="2" t="n"/>
      <c r="AL48" s="2" t="n"/>
      <c r="AM48" s="2" t="n"/>
      <c r="AN48" s="2" t="n"/>
      <c r="AO48" s="2" t="n"/>
      <c r="AP48" s="2" t="n"/>
      <c r="AQ48" s="2" t="n"/>
      <c r="AR48" s="2" t="n"/>
      <c r="AS48" s="2" t="n"/>
    </row>
    <row r="49" ht="14.25" customHeight="1" s="157">
      <c r="A49" s="209" t="inlineStr">
        <is>
          <t>Número de referencia de pago (CUS)</t>
        </is>
      </c>
      <c r="B49" s="185" t="n"/>
      <c r="C49" s="185" t="n"/>
      <c r="D49" s="185" t="n"/>
      <c r="E49" s="185" t="n"/>
      <c r="F49" s="185" t="n"/>
      <c r="G49" s="185" t="n"/>
      <c r="H49" s="185" t="n"/>
      <c r="I49" s="185" t="n"/>
      <c r="J49" s="210" t="n"/>
      <c r="K49" s="216" t="n"/>
      <c r="L49" s="185" t="n"/>
      <c r="M49" s="185" t="n"/>
      <c r="N49" s="185" t="n"/>
      <c r="O49" s="185" t="n"/>
      <c r="P49" s="185" t="n"/>
      <c r="Q49" s="185" t="n"/>
      <c r="R49" s="185" t="n"/>
      <c r="S49" s="185" t="n"/>
      <c r="T49" s="185" t="n"/>
      <c r="U49" s="185" t="n"/>
      <c r="V49" s="185" t="n"/>
      <c r="W49" s="185" t="n"/>
      <c r="X49" s="185" t="n"/>
      <c r="Y49" s="185" t="n"/>
      <c r="Z49" s="185" t="n"/>
      <c r="AA49" s="185" t="n"/>
      <c r="AB49" s="185" t="n"/>
      <c r="AC49" s="185" t="n"/>
      <c r="AD49" s="186" t="n"/>
      <c r="AE49" s="2" t="n"/>
      <c r="AF49" s="2" t="n"/>
      <c r="AG49" s="2" t="n"/>
      <c r="AH49" s="2" t="n"/>
      <c r="AI49" s="2" t="n"/>
      <c r="AJ49" s="2" t="n"/>
      <c r="AK49" s="2" t="n"/>
      <c r="AL49" s="2" t="n"/>
      <c r="AM49" s="2" t="n"/>
      <c r="AN49" s="2" t="n"/>
      <c r="AO49" s="2" t="n"/>
      <c r="AP49" s="2" t="n"/>
      <c r="AQ49" s="2" t="n"/>
      <c r="AR49" s="2" t="n"/>
      <c r="AS49" s="2" t="n"/>
    </row>
    <row r="50" ht="14.25" customHeight="1" s="157">
      <c r="A50" s="182" t="inlineStr">
        <is>
          <t>9. DECLARACIÓN</t>
        </is>
      </c>
      <c r="B50" s="168" t="n"/>
      <c r="C50" s="168" t="n"/>
      <c r="D50" s="168" t="n"/>
      <c r="E50" s="168" t="n"/>
      <c r="F50" s="168" t="n"/>
      <c r="G50" s="168" t="n"/>
      <c r="H50" s="168" t="n"/>
      <c r="I50" s="168" t="n"/>
      <c r="J50" s="168" t="n"/>
      <c r="K50" s="168" t="n"/>
      <c r="L50" s="168" t="n"/>
      <c r="M50" s="168" t="n"/>
      <c r="N50" s="168" t="n"/>
      <c r="O50" s="168" t="n"/>
      <c r="P50" s="168" t="n"/>
      <c r="Q50" s="168" t="n"/>
      <c r="R50" s="168" t="n"/>
      <c r="S50" s="168" t="n"/>
      <c r="T50" s="168" t="n"/>
      <c r="U50" s="168" t="n"/>
      <c r="V50" s="168" t="n"/>
      <c r="W50" s="168" t="n"/>
      <c r="X50" s="168" t="n"/>
      <c r="Y50" s="168" t="n"/>
      <c r="Z50" s="168" t="n"/>
      <c r="AA50" s="168" t="n"/>
      <c r="AB50" s="168" t="n"/>
      <c r="AC50" s="168" t="n"/>
      <c r="AD50" s="183" t="n"/>
      <c r="AE50" s="2" t="n"/>
      <c r="AF50" s="2" t="n"/>
      <c r="AG50" s="2" t="n"/>
      <c r="AH50" s="2" t="n"/>
      <c r="AI50" s="2" t="n"/>
      <c r="AJ50" s="2" t="n"/>
      <c r="AK50" s="2" t="n"/>
      <c r="AL50" s="2" t="n"/>
      <c r="AM50" s="2" t="n"/>
      <c r="AN50" s="2" t="n"/>
      <c r="AO50" s="2" t="n"/>
      <c r="AP50" s="2" t="n"/>
      <c r="AQ50" s="2" t="n"/>
      <c r="AR50" s="2" t="n"/>
      <c r="AS50" s="2" t="n"/>
    </row>
    <row r="51" ht="58.5" customHeight="1" s="157">
      <c r="A51" s="163" t="inlineStr">
        <is>
          <t>Con la presente solicitud declaro que toda la información suministrada con miras a obtener la certificación que permita acceder a los incentivos establecidos en los artículos 11, 12, 13 y 14 de la Ley 1715 de 2014, modificados por la Ley 2099 de 2021, es veraz y me hago responsable por ella. Así mismo, autorizo a la UPME para que de conformidad con el artículo 67 del Código de Procedimiento Administrativo y de lo Contencioso Administrativo, notifique todas las actuaciones surtidas en desarrollo del trámite al correo electrónico de notificaciones informado en el presente documento.</t>
        </is>
      </c>
      <c r="B51" s="164" t="n"/>
      <c r="C51" s="164" t="n"/>
      <c r="D51" s="164" t="n"/>
      <c r="E51" s="164" t="n"/>
      <c r="F51" s="164" t="n"/>
      <c r="G51" s="164" t="n"/>
      <c r="H51" s="164" t="n"/>
      <c r="I51" s="164" t="n"/>
      <c r="J51" s="164" t="n"/>
      <c r="K51" s="164" t="n"/>
      <c r="L51" s="164" t="n"/>
      <c r="M51" s="164" t="n"/>
      <c r="N51" s="164" t="n"/>
      <c r="O51" s="164" t="n"/>
      <c r="P51" s="164" t="n"/>
      <c r="Q51" s="164" t="n"/>
      <c r="R51" s="164" t="n"/>
      <c r="S51" s="164" t="n"/>
      <c r="T51" s="164" t="n"/>
      <c r="U51" s="164" t="n"/>
      <c r="V51" s="164" t="n"/>
      <c r="W51" s="164" t="n"/>
      <c r="X51" s="164" t="n"/>
      <c r="Y51" s="164" t="n"/>
      <c r="Z51" s="164" t="n"/>
      <c r="AA51" s="164" t="n"/>
      <c r="AB51" s="164" t="n"/>
      <c r="AC51" s="164" t="n"/>
      <c r="AD51" s="165" t="n"/>
      <c r="AE51" s="2" t="n"/>
      <c r="AF51" s="2" t="n"/>
      <c r="AG51" s="2" t="n"/>
      <c r="AH51" s="2" t="n"/>
      <c r="AI51" s="2" t="n"/>
      <c r="AJ51" s="2" t="n"/>
      <c r="AK51" s="2" t="n"/>
      <c r="AL51" s="2" t="n"/>
      <c r="AM51" s="2" t="n"/>
      <c r="AN51" s="2" t="n"/>
      <c r="AO51" s="2" t="n"/>
      <c r="AP51" s="2" t="n"/>
      <c r="AQ51" s="2" t="n"/>
      <c r="AR51" s="2" t="n"/>
      <c r="AS51" s="2" t="n"/>
    </row>
    <row r="52" ht="14.25" customHeight="1" s="157">
      <c r="A52" s="12" t="n"/>
      <c r="B52" s="217" t="n"/>
      <c r="C52" s="153" t="n"/>
      <c r="D52" s="153" t="n"/>
      <c r="E52" s="153" t="n"/>
      <c r="F52" s="153" t="n"/>
      <c r="G52" s="153" t="n"/>
      <c r="H52" s="153" t="n"/>
      <c r="I52" s="153" t="n"/>
      <c r="J52" s="153" t="n"/>
      <c r="K52" s="153" t="n"/>
      <c r="L52" s="153" t="n"/>
      <c r="M52" s="153" t="n"/>
      <c r="N52" s="8" t="n"/>
      <c r="O52" s="8" t="n"/>
      <c r="P52" s="8" t="n"/>
      <c r="Q52" s="217" t="n"/>
      <c r="R52" s="153" t="n"/>
      <c r="S52" s="153" t="n"/>
      <c r="T52" s="153" t="n"/>
      <c r="U52" s="153" t="n"/>
      <c r="V52" s="153" t="n"/>
      <c r="W52" s="153" t="n"/>
      <c r="X52" s="153" t="n"/>
      <c r="Y52" s="153" t="n"/>
      <c r="Z52" s="153" t="n"/>
      <c r="AA52" s="153" t="n"/>
      <c r="AB52" s="153" t="n"/>
      <c r="AC52" s="153" t="n"/>
      <c r="AD52" s="9" t="n"/>
      <c r="AE52" s="2" t="n"/>
      <c r="AF52" s="2" t="n"/>
      <c r="AG52" s="2" t="n"/>
      <c r="AH52" s="2" t="n"/>
      <c r="AI52" s="2" t="n"/>
      <c r="AJ52" s="2" t="n"/>
      <c r="AK52" s="2" t="n"/>
      <c r="AL52" s="2" t="n"/>
      <c r="AM52" s="2" t="n"/>
      <c r="AN52" s="2" t="n"/>
      <c r="AO52" s="2" t="n"/>
      <c r="AP52" s="2" t="n"/>
      <c r="AQ52" s="2" t="n"/>
      <c r="AR52" s="2" t="n"/>
      <c r="AS52" s="2" t="n"/>
    </row>
    <row r="53" ht="14.25" customHeight="1" s="157">
      <c r="A53" s="13" t="n"/>
      <c r="N53" s="2" t="n"/>
      <c r="O53" s="2" t="n"/>
      <c r="P53" s="2" t="n"/>
      <c r="AD53" s="14" t="n"/>
      <c r="AE53" s="2" t="n"/>
      <c r="AF53" s="2" t="n"/>
      <c r="AG53" s="2" t="n"/>
      <c r="AH53" s="2" t="n"/>
      <c r="AI53" s="2" t="n"/>
      <c r="AJ53" s="2" t="n"/>
      <c r="AK53" s="2" t="n"/>
      <c r="AL53" s="2" t="n"/>
      <c r="AM53" s="2" t="n"/>
      <c r="AN53" s="2" t="n"/>
      <c r="AO53" s="2" t="n"/>
      <c r="AP53" s="2" t="n"/>
      <c r="AQ53" s="2" t="n"/>
      <c r="AR53" s="2" t="n"/>
      <c r="AS53" s="2" t="n"/>
    </row>
    <row r="54" ht="14.25" customHeight="1" s="157">
      <c r="A54" s="13" t="n"/>
      <c r="N54" s="2" t="n"/>
      <c r="O54" s="2" t="n"/>
      <c r="P54" s="2" t="n"/>
      <c r="AD54" s="14" t="n"/>
      <c r="AE54" s="2" t="n"/>
      <c r="AF54" s="2" t="n"/>
      <c r="AG54" s="2" t="n"/>
      <c r="AH54" s="2" t="n"/>
      <c r="AI54" s="2" t="n"/>
      <c r="AJ54" s="2" t="n"/>
      <c r="AK54" s="2" t="n"/>
      <c r="AL54" s="2" t="n"/>
      <c r="AM54" s="2" t="n"/>
      <c r="AN54" s="2" t="n"/>
      <c r="AO54" s="2" t="n"/>
      <c r="AP54" s="2" t="n"/>
      <c r="AQ54" s="2" t="n"/>
      <c r="AR54" s="2" t="n"/>
      <c r="AS54" s="2" t="n"/>
    </row>
    <row r="55" ht="14.25" customHeight="1" s="157">
      <c r="A55" s="13" t="n"/>
      <c r="N55" s="2" t="n"/>
      <c r="O55" s="2" t="n"/>
      <c r="P55" s="2" t="n"/>
      <c r="AD55" s="14" t="n"/>
      <c r="AE55" s="2" t="n"/>
      <c r="AF55" s="2" t="n"/>
      <c r="AG55" s="2" t="n"/>
      <c r="AH55" s="2" t="n"/>
      <c r="AI55" s="2" t="n"/>
      <c r="AJ55" s="2" t="n"/>
      <c r="AK55" s="2" t="n"/>
      <c r="AL55" s="2" t="n"/>
      <c r="AM55" s="2" t="n"/>
      <c r="AN55" s="2" t="n"/>
      <c r="AO55" s="2" t="n"/>
      <c r="AP55" s="2" t="n"/>
      <c r="AQ55" s="2" t="n"/>
      <c r="AR55" s="2" t="n"/>
      <c r="AS55" s="2" t="n"/>
    </row>
    <row r="56" ht="14.25" customHeight="1" s="157">
      <c r="A56" s="13" t="n"/>
      <c r="B56" s="15" t="inlineStr">
        <is>
          <t>Firma del R.L. del solicitante principal</t>
        </is>
      </c>
      <c r="C56" s="15" t="n"/>
      <c r="D56" s="15" t="n"/>
      <c r="E56" s="15" t="n"/>
      <c r="F56" s="15" t="n"/>
      <c r="G56" s="15" t="n"/>
      <c r="H56" s="15" t="n"/>
      <c r="I56" s="15" t="n"/>
      <c r="J56" s="15" t="n"/>
      <c r="K56" s="15" t="n"/>
      <c r="L56" s="2" t="n"/>
      <c r="M56" s="2" t="n"/>
      <c r="N56" s="2" t="n"/>
      <c r="O56" s="2" t="n"/>
      <c r="P56" s="2" t="n"/>
      <c r="Q56" s="15" t="inlineStr">
        <is>
          <t>Firma del R.L. del solicitante secundario</t>
        </is>
      </c>
      <c r="R56" s="15" t="n"/>
      <c r="S56" s="15" t="n"/>
      <c r="T56" s="15" t="n"/>
      <c r="U56" s="15" t="n"/>
      <c r="V56" s="15" t="n"/>
      <c r="W56" s="15" t="n"/>
      <c r="X56" s="15" t="n"/>
      <c r="Y56" s="15" t="n"/>
      <c r="Z56" s="15" t="n"/>
      <c r="AA56" s="2" t="n"/>
      <c r="AB56" s="2" t="n"/>
      <c r="AC56" s="2" t="n"/>
      <c r="AD56" s="14" t="n"/>
      <c r="AE56" s="2" t="n"/>
      <c r="AF56" s="2" t="n"/>
      <c r="AG56" s="2" t="n"/>
      <c r="AH56" s="2" t="n"/>
      <c r="AI56" s="2" t="n"/>
      <c r="AJ56" s="2" t="n"/>
      <c r="AK56" s="2" t="n"/>
      <c r="AL56" s="2" t="n"/>
      <c r="AM56" s="2" t="n"/>
      <c r="AN56" s="2" t="n"/>
      <c r="AO56" s="2" t="n"/>
      <c r="AP56" s="2" t="n"/>
      <c r="AQ56" s="2" t="n"/>
      <c r="AR56" s="2" t="n"/>
      <c r="AS56" s="2" t="n"/>
    </row>
    <row r="57" ht="14.25" customHeight="1" s="157">
      <c r="A57" s="13" t="n"/>
      <c r="B57" s="16" t="inlineStr">
        <is>
          <t>C.C / C.E</t>
        </is>
      </c>
      <c r="C57" s="190" t="n"/>
      <c r="D57" s="170" t="n"/>
      <c r="E57" s="170" t="n"/>
      <c r="F57" s="170" t="n"/>
      <c r="G57" s="170" t="n"/>
      <c r="H57" s="170" t="n"/>
      <c r="I57" s="170" t="n"/>
      <c r="J57" s="170" t="n"/>
      <c r="K57" s="171" t="n"/>
      <c r="L57" s="2" t="n"/>
      <c r="M57" s="2" t="n"/>
      <c r="N57" s="2" t="n"/>
      <c r="O57" s="2" t="n"/>
      <c r="P57" s="2" t="n"/>
      <c r="Q57" s="16" t="inlineStr">
        <is>
          <t>C.C / C.E</t>
        </is>
      </c>
      <c r="R57" s="16" t="n"/>
      <c r="S57" s="265" t="n">
        <v>1152203750</v>
      </c>
      <c r="AA57" s="2" t="n"/>
      <c r="AB57" s="2" t="n"/>
      <c r="AC57" s="2" t="n"/>
      <c r="AD57" s="14" t="n"/>
      <c r="AE57" s="2" t="n"/>
      <c r="AF57" s="2" t="n"/>
      <c r="AG57" s="2" t="n"/>
      <c r="AH57" s="2" t="n"/>
      <c r="AI57" s="2" t="n"/>
      <c r="AJ57" s="2" t="n"/>
      <c r="AK57" s="2" t="n"/>
      <c r="AL57" s="2" t="n"/>
      <c r="AM57" s="2" t="n"/>
      <c r="AN57" s="2" t="n"/>
      <c r="AO57" s="2" t="n"/>
      <c r="AP57" s="2" t="n"/>
      <c r="AQ57" s="2" t="n"/>
      <c r="AR57" s="2" t="n"/>
      <c r="AS57" s="2" t="n"/>
    </row>
    <row r="58" ht="14.25" customHeight="1" s="157">
      <c r="A58" s="17" t="n"/>
      <c r="B58" s="10" t="n"/>
      <c r="C58" s="10" t="n"/>
      <c r="D58" s="10" t="n"/>
      <c r="E58" s="10" t="n"/>
      <c r="F58" s="10" t="n"/>
      <c r="G58" s="10" t="n"/>
      <c r="H58" s="10" t="n"/>
      <c r="I58" s="10" t="n"/>
      <c r="J58" s="10" t="n"/>
      <c r="K58" s="10" t="n"/>
      <c r="L58" s="10" t="n"/>
      <c r="M58" s="10" t="n"/>
      <c r="N58" s="10" t="n"/>
      <c r="O58" s="10" t="n"/>
      <c r="P58" s="10" t="n"/>
      <c r="Q58" s="10" t="n"/>
      <c r="R58" s="10" t="n"/>
      <c r="S58" s="10" t="n"/>
      <c r="T58" s="10" t="n"/>
      <c r="U58" s="10" t="n"/>
      <c r="V58" s="10" t="n"/>
      <c r="W58" s="10" t="n"/>
      <c r="X58" s="10" t="n"/>
      <c r="Y58" s="10" t="n"/>
      <c r="Z58" s="10" t="n"/>
      <c r="AA58" s="10" t="n"/>
      <c r="AB58" s="10" t="n"/>
      <c r="AC58" s="10" t="n"/>
      <c r="AD58" s="11" t="n"/>
      <c r="AE58" s="2" t="n"/>
      <c r="AF58" s="2" t="n"/>
      <c r="AG58" s="2" t="n"/>
      <c r="AH58" s="2" t="n"/>
      <c r="AI58" s="2" t="n"/>
      <c r="AJ58" s="2" t="n"/>
      <c r="AK58" s="2" t="n"/>
      <c r="AL58" s="2" t="n"/>
      <c r="AM58" s="2" t="n"/>
      <c r="AN58" s="2" t="n"/>
      <c r="AO58" s="2" t="n"/>
      <c r="AP58" s="2" t="n"/>
      <c r="AQ58" s="2" t="n"/>
      <c r="AR58" s="2" t="n"/>
      <c r="AS58" s="2" t="n"/>
    </row>
    <row r="59" ht="14.25" customHeight="1" s="157">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c r="AA59" s="2" t="n"/>
      <c r="AB59" s="2" t="n"/>
      <c r="AC59" s="2" t="n"/>
      <c r="AD59" s="2" t="n"/>
      <c r="AE59" s="2" t="n"/>
      <c r="AF59" s="2" t="n"/>
      <c r="AG59" s="2" t="n"/>
      <c r="AH59" s="2" t="n"/>
      <c r="AI59" s="2" t="n"/>
      <c r="AJ59" s="2" t="n"/>
      <c r="AK59" s="2" t="n"/>
      <c r="AL59" s="2" t="n"/>
      <c r="AM59" s="2" t="n"/>
      <c r="AN59" s="2" t="n"/>
      <c r="AO59" s="2" t="n"/>
      <c r="AP59" s="2" t="n"/>
      <c r="AQ59" s="2" t="n"/>
      <c r="AR59" s="2" t="n"/>
      <c r="AS59" s="2" t="n"/>
    </row>
    <row r="60" ht="14.25" customHeight="1" s="157">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c r="AA60" s="2" t="n"/>
      <c r="AB60" s="2" t="n"/>
      <c r="AC60" s="2" t="n"/>
      <c r="AD60" s="2" t="n"/>
      <c r="AE60" s="2" t="n"/>
      <c r="AF60" s="2" t="n"/>
      <c r="AG60" s="2" t="n"/>
      <c r="AH60" s="2" t="n"/>
      <c r="AI60" s="2" t="n"/>
      <c r="AJ60" s="2" t="n"/>
      <c r="AK60" s="2" t="n"/>
      <c r="AL60" s="2" t="n"/>
      <c r="AM60" s="2" t="n"/>
      <c r="AN60" s="2" t="n"/>
      <c r="AO60" s="2" t="n"/>
      <c r="AP60" s="2" t="n"/>
      <c r="AQ60" s="2" t="n"/>
      <c r="AR60" s="2" t="n"/>
      <c r="AS60" s="2" t="n"/>
    </row>
    <row r="61" ht="14.25" customHeight="1" s="157">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c r="AA61" s="2" t="n"/>
      <c r="AB61" s="2" t="n"/>
      <c r="AC61" s="2" t="n"/>
      <c r="AD61" s="2" t="n"/>
      <c r="AE61" s="2" t="n"/>
      <c r="AF61" s="2" t="n"/>
      <c r="AG61" s="2" t="n"/>
      <c r="AH61" s="2" t="n"/>
      <c r="AI61" s="2" t="n"/>
      <c r="AJ61" s="2" t="n"/>
      <c r="AK61" s="2" t="n"/>
      <c r="AL61" s="2" t="n"/>
      <c r="AM61" s="2" t="n"/>
      <c r="AN61" s="2" t="n"/>
      <c r="AO61" s="2" t="n"/>
      <c r="AP61" s="2" t="n"/>
      <c r="AQ61" s="2" t="n"/>
      <c r="AR61" s="2" t="n"/>
      <c r="AS61" s="2" t="n"/>
    </row>
    <row r="62" ht="14.25" customHeight="1" s="157">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c r="AA62" s="2" t="n"/>
      <c r="AB62" s="2" t="n"/>
      <c r="AC62" s="2" t="n"/>
      <c r="AD62" s="2" t="n"/>
      <c r="AE62" s="2" t="n"/>
      <c r="AF62" s="2" t="n"/>
      <c r="AG62" s="2" t="n"/>
      <c r="AH62" s="2" t="n"/>
      <c r="AI62" s="2" t="n"/>
      <c r="AJ62" s="2" t="n"/>
      <c r="AK62" s="2" t="n"/>
      <c r="AL62" s="2" t="n"/>
      <c r="AM62" s="2" t="n"/>
      <c r="AN62" s="2" t="n"/>
      <c r="AO62" s="2" t="n"/>
      <c r="AP62" s="2" t="n"/>
      <c r="AQ62" s="2" t="n"/>
      <c r="AR62" s="2" t="n"/>
      <c r="AS62" s="2" t="n"/>
    </row>
    <row r="63" ht="14.25" customHeight="1" s="157">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c r="AA63" s="2" t="n"/>
      <c r="AB63" s="2" t="n"/>
      <c r="AC63" s="2" t="n"/>
      <c r="AD63" s="2" t="n"/>
      <c r="AE63" s="2" t="n"/>
      <c r="AF63" s="2" t="n"/>
      <c r="AG63" s="2" t="n"/>
      <c r="AH63" s="2" t="n"/>
      <c r="AI63" s="2" t="n"/>
      <c r="AJ63" s="2" t="n"/>
      <c r="AK63" s="2" t="n"/>
      <c r="AL63" s="2" t="n"/>
      <c r="AM63" s="2" t="n"/>
      <c r="AN63" s="2" t="n"/>
      <c r="AO63" s="2" t="n"/>
      <c r="AP63" s="2" t="n"/>
      <c r="AQ63" s="2" t="n"/>
      <c r="AR63" s="2" t="n"/>
      <c r="AS63" s="2" t="n"/>
    </row>
    <row r="64" ht="14.25" customHeight="1" s="157">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c r="AA64" s="2" t="n"/>
      <c r="AB64" s="2" t="n"/>
      <c r="AC64" s="2" t="n"/>
      <c r="AD64" s="2" t="n"/>
      <c r="AE64" s="2" t="n"/>
      <c r="AF64" s="2" t="n"/>
      <c r="AG64" s="2" t="n"/>
      <c r="AH64" s="2" t="n"/>
      <c r="AI64" s="2" t="n"/>
      <c r="AJ64" s="2" t="n"/>
      <c r="AK64" s="2" t="n"/>
      <c r="AL64" s="2" t="n"/>
      <c r="AM64" s="2" t="n"/>
      <c r="AN64" s="2" t="n"/>
      <c r="AO64" s="2" t="n"/>
      <c r="AP64" s="2" t="n"/>
      <c r="AQ64" s="2" t="n"/>
      <c r="AR64" s="2" t="n"/>
      <c r="AS64" s="2" t="n"/>
    </row>
    <row r="65" ht="14.25" customHeight="1" s="157">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c r="AA65" s="2" t="n"/>
      <c r="AB65" s="2" t="n"/>
      <c r="AC65" s="2" t="n"/>
      <c r="AD65" s="2" t="n"/>
      <c r="AE65" s="2" t="n"/>
      <c r="AF65" s="2" t="n"/>
      <c r="AG65" s="2" t="n"/>
      <c r="AH65" s="2" t="n"/>
      <c r="AI65" s="2" t="n"/>
      <c r="AJ65" s="2" t="n"/>
      <c r="AK65" s="2" t="n"/>
      <c r="AL65" s="2" t="n"/>
      <c r="AM65" s="2" t="n"/>
      <c r="AN65" s="2" t="n"/>
      <c r="AO65" s="2" t="n"/>
      <c r="AP65" s="2" t="n"/>
      <c r="AQ65" s="2" t="n"/>
      <c r="AR65" s="2" t="n"/>
      <c r="AS65" s="2" t="n"/>
    </row>
    <row r="66" ht="14.25" customHeight="1" s="157">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c r="AA66" s="2" t="n"/>
      <c r="AB66" s="2" t="n"/>
      <c r="AC66" s="2" t="n"/>
      <c r="AD66" s="2" t="n"/>
      <c r="AE66" s="2" t="n"/>
      <c r="AF66" s="2" t="n"/>
      <c r="AG66" s="2" t="n"/>
      <c r="AH66" s="2" t="n"/>
      <c r="AI66" s="2" t="n"/>
      <c r="AJ66" s="2" t="n"/>
      <c r="AK66" s="2" t="n"/>
      <c r="AL66" s="2" t="n"/>
      <c r="AM66" s="2" t="n"/>
      <c r="AN66" s="2" t="n"/>
      <c r="AO66" s="2" t="n"/>
      <c r="AP66" s="2" t="n"/>
      <c r="AQ66" s="2" t="n"/>
      <c r="AR66" s="2" t="n"/>
      <c r="AS66" s="2" t="n"/>
    </row>
    <row r="67" ht="14.25" customHeight="1" s="157">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c r="AA67" s="2" t="n"/>
      <c r="AB67" s="2" t="n"/>
      <c r="AC67" s="2" t="n"/>
      <c r="AD67" s="2" t="n"/>
      <c r="AE67" s="2" t="n"/>
      <c r="AF67" s="2" t="n"/>
      <c r="AG67" s="2" t="n"/>
      <c r="AH67" s="2" t="n"/>
      <c r="AI67" s="2" t="n"/>
      <c r="AJ67" s="2" t="n"/>
      <c r="AK67" s="2" t="n"/>
      <c r="AL67" s="2" t="n"/>
      <c r="AM67" s="2" t="n"/>
      <c r="AN67" s="2" t="n"/>
      <c r="AO67" s="2" t="n"/>
      <c r="AP67" s="2" t="n"/>
      <c r="AQ67" s="2" t="n"/>
      <c r="AR67" s="2" t="n"/>
      <c r="AS67" s="2" t="n"/>
    </row>
    <row r="68" ht="14.25" customHeight="1" s="157">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c r="AA68" s="2" t="n"/>
      <c r="AB68" s="2" t="n"/>
      <c r="AC68" s="2" t="n"/>
      <c r="AD68" s="2" t="n"/>
      <c r="AE68" s="2" t="n"/>
      <c r="AF68" s="2" t="n"/>
      <c r="AG68" s="2" t="n"/>
      <c r="AH68" s="2" t="n"/>
      <c r="AI68" s="2" t="n"/>
      <c r="AJ68" s="2" t="n"/>
      <c r="AK68" s="2" t="n"/>
      <c r="AL68" s="2" t="n"/>
      <c r="AM68" s="2" t="n"/>
      <c r="AN68" s="2" t="n"/>
      <c r="AO68" s="2" t="n"/>
      <c r="AP68" s="2" t="n"/>
      <c r="AQ68" s="2" t="n"/>
      <c r="AR68" s="2" t="n"/>
      <c r="AS68" s="2" t="n"/>
    </row>
    <row r="69" ht="14.25" customHeight="1" s="157">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c r="AA69" s="2" t="n"/>
      <c r="AB69" s="2" t="n"/>
      <c r="AC69" s="2" t="n"/>
      <c r="AD69" s="2" t="n"/>
      <c r="AE69" s="2" t="n"/>
      <c r="AF69" s="2" t="n"/>
      <c r="AG69" s="2" t="n"/>
      <c r="AH69" s="2" t="n"/>
      <c r="AI69" s="2" t="n"/>
      <c r="AJ69" s="2" t="n"/>
      <c r="AK69" s="2" t="n"/>
      <c r="AL69" s="2" t="n"/>
      <c r="AM69" s="2" t="n"/>
      <c r="AN69" s="2" t="n"/>
      <c r="AO69" s="2" t="n"/>
      <c r="AP69" s="2" t="n"/>
      <c r="AQ69" s="2" t="n"/>
      <c r="AR69" s="2" t="n"/>
      <c r="AS69" s="2" t="n"/>
    </row>
    <row r="70" ht="14.25" customHeight="1" s="157">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c r="AA70" s="2" t="n"/>
      <c r="AB70" s="2" t="n"/>
      <c r="AC70" s="2" t="n"/>
      <c r="AD70" s="2" t="n"/>
      <c r="AE70" s="2" t="n"/>
      <c r="AF70" s="2" t="n"/>
      <c r="AG70" s="2" t="n"/>
      <c r="AH70" s="2" t="n"/>
      <c r="AI70" s="2" t="n"/>
      <c r="AJ70" s="2" t="n"/>
      <c r="AK70" s="2" t="n"/>
      <c r="AL70" s="2" t="n"/>
      <c r="AM70" s="2" t="n"/>
      <c r="AN70" s="2" t="n"/>
      <c r="AO70" s="2" t="n"/>
      <c r="AP70" s="2" t="n"/>
      <c r="AQ70" s="2" t="n"/>
      <c r="AR70" s="2" t="n"/>
      <c r="AS70" s="2" t="n"/>
    </row>
    <row r="71" ht="14.25" customHeight="1" s="157">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c r="AA71" s="2" t="n"/>
      <c r="AB71" s="2" t="n"/>
      <c r="AC71" s="2" t="n"/>
      <c r="AD71" s="2" t="n"/>
      <c r="AE71" s="2" t="n"/>
      <c r="AF71" s="2" t="n"/>
      <c r="AG71" s="2" t="n"/>
      <c r="AH71" s="2" t="n"/>
      <c r="AI71" s="2" t="n"/>
      <c r="AJ71" s="2" t="n"/>
      <c r="AK71" s="2" t="n"/>
      <c r="AL71" s="2" t="n"/>
      <c r="AM71" s="2" t="n"/>
      <c r="AN71" s="2" t="n"/>
      <c r="AO71" s="2" t="n"/>
      <c r="AP71" s="2" t="n"/>
      <c r="AQ71" s="2" t="n"/>
      <c r="AR71" s="2" t="n"/>
      <c r="AS71" s="2" t="n"/>
    </row>
    <row r="72" ht="14.25" customHeight="1" s="157">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c r="AA72" s="2" t="n"/>
      <c r="AB72" s="2" t="n"/>
      <c r="AC72" s="2" t="n"/>
      <c r="AD72" s="2" t="n"/>
      <c r="AE72" s="2" t="n"/>
      <c r="AF72" s="2" t="n"/>
      <c r="AG72" s="2" t="n"/>
      <c r="AH72" s="2" t="n"/>
      <c r="AI72" s="2" t="n"/>
      <c r="AJ72" s="2" t="n"/>
      <c r="AK72" s="2" t="n"/>
      <c r="AL72" s="2" t="n"/>
      <c r="AM72" s="2" t="n"/>
      <c r="AN72" s="2" t="n"/>
      <c r="AO72" s="2" t="n"/>
      <c r="AP72" s="2" t="n"/>
      <c r="AQ72" s="2" t="n"/>
      <c r="AR72" s="2" t="n"/>
      <c r="AS72" s="2" t="n"/>
    </row>
    <row r="73" ht="14.25" customHeight="1" s="157">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c r="AA73" s="2" t="n"/>
      <c r="AB73" s="2" t="n"/>
      <c r="AC73" s="2" t="n"/>
      <c r="AD73" s="2" t="n"/>
      <c r="AE73" s="2" t="n"/>
      <c r="AF73" s="2" t="n"/>
      <c r="AG73" s="2" t="n"/>
      <c r="AH73" s="2" t="n"/>
      <c r="AI73" s="2" t="n"/>
      <c r="AJ73" s="2" t="n"/>
      <c r="AK73" s="2" t="n"/>
      <c r="AL73" s="2" t="n"/>
      <c r="AM73" s="2" t="n"/>
      <c r="AN73" s="2" t="n"/>
      <c r="AO73" s="2" t="n"/>
      <c r="AP73" s="2" t="n"/>
      <c r="AQ73" s="2" t="n"/>
      <c r="AR73" s="2" t="n"/>
      <c r="AS73" s="2" t="n"/>
    </row>
    <row r="74" ht="14.25" customHeight="1" s="157">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c r="AA74" s="2" t="n"/>
      <c r="AB74" s="2" t="n"/>
      <c r="AC74" s="2" t="n"/>
      <c r="AD74" s="2" t="n"/>
      <c r="AE74" s="2" t="n"/>
      <c r="AF74" s="2" t="n"/>
      <c r="AG74" s="2" t="n"/>
      <c r="AH74" s="2" t="n"/>
      <c r="AI74" s="2" t="n"/>
      <c r="AJ74" s="2" t="n"/>
      <c r="AK74" s="2" t="n"/>
      <c r="AL74" s="2" t="n"/>
      <c r="AM74" s="2" t="n"/>
      <c r="AN74" s="2" t="n"/>
      <c r="AO74" s="2" t="n"/>
      <c r="AP74" s="2" t="n"/>
      <c r="AQ74" s="2" t="n"/>
      <c r="AR74" s="2" t="n"/>
      <c r="AS74" s="2" t="n"/>
    </row>
    <row r="75" ht="14.25" customHeight="1" s="157">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c r="AA75" s="2" t="n"/>
      <c r="AB75" s="2" t="n"/>
      <c r="AC75" s="2" t="n"/>
      <c r="AD75" s="2" t="n"/>
      <c r="AE75" s="2" t="n"/>
      <c r="AF75" s="2" t="n"/>
      <c r="AG75" s="2" t="n"/>
      <c r="AH75" s="2" t="n"/>
      <c r="AI75" s="2" t="n"/>
      <c r="AJ75" s="2" t="n"/>
      <c r="AK75" s="2" t="n"/>
      <c r="AL75" s="2" t="n"/>
      <c r="AM75" s="2" t="n"/>
      <c r="AN75" s="2" t="n"/>
      <c r="AO75" s="2" t="n"/>
      <c r="AP75" s="2" t="n"/>
      <c r="AQ75" s="2" t="n"/>
      <c r="AR75" s="2" t="n"/>
      <c r="AS75" s="2" t="n"/>
    </row>
    <row r="76" ht="14.25" customHeight="1" s="157">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c r="AA76" s="2" t="n"/>
      <c r="AB76" s="2" t="n"/>
      <c r="AC76" s="2" t="n"/>
      <c r="AD76" s="2" t="n"/>
      <c r="AE76" s="2" t="n"/>
      <c r="AF76" s="2" t="n"/>
      <c r="AG76" s="2" t="n"/>
      <c r="AH76" s="2" t="n"/>
      <c r="AI76" s="2" t="n"/>
      <c r="AJ76" s="2" t="n"/>
      <c r="AK76" s="2" t="n"/>
      <c r="AL76" s="2" t="n"/>
      <c r="AM76" s="2" t="n"/>
      <c r="AN76" s="2" t="n"/>
      <c r="AO76" s="2" t="n"/>
      <c r="AP76" s="2" t="n"/>
      <c r="AQ76" s="2" t="n"/>
      <c r="AR76" s="2" t="n"/>
      <c r="AS76" s="2" t="n"/>
    </row>
    <row r="77" ht="14.25" customHeight="1" s="157">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c r="AA77" s="2" t="n"/>
      <c r="AB77" s="2" t="n"/>
      <c r="AC77" s="2" t="n"/>
      <c r="AD77" s="2" t="n"/>
      <c r="AE77" s="2" t="n"/>
      <c r="AF77" s="2" t="n"/>
      <c r="AG77" s="2" t="n"/>
      <c r="AH77" s="2" t="n"/>
      <c r="AI77" s="2" t="n"/>
      <c r="AJ77" s="2" t="n"/>
      <c r="AK77" s="2" t="n"/>
      <c r="AL77" s="2" t="n"/>
      <c r="AM77" s="2" t="n"/>
      <c r="AN77" s="2" t="n"/>
      <c r="AO77" s="2" t="n"/>
      <c r="AP77" s="2" t="n"/>
      <c r="AQ77" s="2" t="n"/>
      <c r="AR77" s="2" t="n"/>
      <c r="AS77" s="2" t="n"/>
    </row>
    <row r="78" ht="14.25" customHeight="1" s="157">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c r="AA78" s="2" t="n"/>
      <c r="AB78" s="2" t="n"/>
      <c r="AC78" s="2" t="n"/>
      <c r="AD78" s="2" t="n"/>
      <c r="AE78" s="2" t="n"/>
      <c r="AF78" s="2" t="n"/>
      <c r="AG78" s="2" t="n"/>
      <c r="AH78" s="2" t="n"/>
      <c r="AI78" s="2" t="n"/>
      <c r="AJ78" s="2" t="n"/>
      <c r="AK78" s="2" t="n"/>
      <c r="AL78" s="2" t="n"/>
      <c r="AM78" s="2" t="n"/>
      <c r="AN78" s="2" t="n"/>
      <c r="AO78" s="2" t="n"/>
      <c r="AP78" s="2" t="n"/>
      <c r="AQ78" s="2" t="n"/>
      <c r="AR78" s="2" t="n"/>
      <c r="AS78" s="2" t="n"/>
    </row>
    <row r="79" ht="14.25" customHeight="1" s="157">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c r="AA79" s="2" t="n"/>
      <c r="AB79" s="2" t="n"/>
      <c r="AC79" s="2" t="n"/>
      <c r="AD79" s="2" t="n"/>
      <c r="AE79" s="2" t="n"/>
      <c r="AF79" s="2" t="n"/>
      <c r="AG79" s="2" t="n"/>
      <c r="AH79" s="2" t="n"/>
      <c r="AI79" s="2" t="n"/>
      <c r="AJ79" s="2" t="n"/>
      <c r="AK79" s="2" t="n"/>
      <c r="AL79" s="2" t="n"/>
      <c r="AM79" s="2" t="n"/>
      <c r="AN79" s="2" t="n"/>
      <c r="AO79" s="2" t="n"/>
      <c r="AP79" s="2" t="n"/>
      <c r="AQ79" s="2" t="n"/>
      <c r="AR79" s="2" t="n"/>
      <c r="AS79" s="2" t="n"/>
    </row>
    <row r="80" ht="14.25" customHeight="1" s="157">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c r="AA80" s="2" t="n"/>
      <c r="AB80" s="2" t="n"/>
      <c r="AC80" s="2" t="n"/>
      <c r="AD80" s="2" t="n"/>
      <c r="AE80" s="2" t="n"/>
      <c r="AF80" s="2" t="n"/>
      <c r="AG80" s="2" t="n"/>
      <c r="AH80" s="2" t="n"/>
      <c r="AI80" s="2" t="n"/>
      <c r="AJ80" s="2" t="n"/>
      <c r="AK80" s="2" t="n"/>
      <c r="AL80" s="2" t="n"/>
      <c r="AM80" s="2" t="n"/>
      <c r="AN80" s="2" t="n"/>
      <c r="AO80" s="2" t="n"/>
      <c r="AP80" s="2" t="n"/>
      <c r="AQ80" s="2" t="n"/>
      <c r="AR80" s="2" t="n"/>
      <c r="AS80" s="2" t="n"/>
    </row>
    <row r="81" ht="14.25" customHeight="1" s="157">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c r="AA81" s="2" t="n"/>
      <c r="AB81" s="2" t="n"/>
      <c r="AC81" s="2" t="n"/>
      <c r="AD81" s="2" t="n"/>
      <c r="AE81" s="2" t="n"/>
      <c r="AF81" s="2" t="n"/>
      <c r="AG81" s="2" t="n"/>
      <c r="AH81" s="2" t="n"/>
      <c r="AI81" s="2" t="n"/>
      <c r="AJ81" s="2" t="n"/>
      <c r="AK81" s="2" t="n"/>
      <c r="AL81" s="2" t="n"/>
      <c r="AM81" s="2" t="n"/>
      <c r="AN81" s="2" t="n"/>
      <c r="AO81" s="2" t="n"/>
      <c r="AP81" s="2" t="n"/>
      <c r="AQ81" s="2" t="n"/>
      <c r="AR81" s="2" t="n"/>
      <c r="AS81" s="2" t="n"/>
    </row>
    <row r="82" ht="14.25" customHeight="1" s="157">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c r="AA82" s="2" t="n"/>
      <c r="AB82" s="2" t="n"/>
      <c r="AC82" s="2" t="n"/>
      <c r="AD82" s="2" t="n"/>
      <c r="AE82" s="2" t="n"/>
      <c r="AF82" s="2" t="n"/>
      <c r="AG82" s="2" t="n"/>
      <c r="AH82" s="2" t="n"/>
      <c r="AI82" s="2" t="n"/>
      <c r="AJ82" s="2" t="n"/>
      <c r="AK82" s="2" t="n"/>
      <c r="AL82" s="2" t="n"/>
      <c r="AM82" s="2" t="n"/>
      <c r="AN82" s="2" t="n"/>
      <c r="AO82" s="2" t="n"/>
      <c r="AP82" s="2" t="n"/>
      <c r="AQ82" s="2" t="n"/>
      <c r="AR82" s="2" t="n"/>
      <c r="AS82" s="2" t="n"/>
    </row>
    <row r="83" ht="14.25" customHeight="1" s="157">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c r="AA83" s="2" t="n"/>
      <c r="AB83" s="2" t="n"/>
      <c r="AC83" s="2" t="n"/>
      <c r="AD83" s="2" t="n"/>
      <c r="AE83" s="2" t="n"/>
      <c r="AF83" s="2" t="n"/>
      <c r="AG83" s="2" t="n"/>
      <c r="AH83" s="2" t="n"/>
      <c r="AI83" s="2" t="n"/>
      <c r="AJ83" s="2" t="n"/>
      <c r="AK83" s="2" t="n"/>
      <c r="AL83" s="2" t="n"/>
      <c r="AM83" s="2" t="n"/>
      <c r="AN83" s="2" t="n"/>
      <c r="AO83" s="2" t="n"/>
      <c r="AP83" s="2" t="n"/>
      <c r="AQ83" s="2" t="n"/>
      <c r="AR83" s="2" t="n"/>
      <c r="AS83" s="2" t="n"/>
    </row>
    <row r="84" ht="14.25" customHeight="1" s="157">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c r="AA84" s="2" t="n"/>
      <c r="AB84" s="2" t="n"/>
      <c r="AC84" s="2" t="n"/>
      <c r="AD84" s="2" t="n"/>
      <c r="AE84" s="2" t="n"/>
      <c r="AF84" s="2" t="n"/>
      <c r="AG84" s="2" t="n"/>
      <c r="AH84" s="2" t="n"/>
      <c r="AI84" s="2" t="n"/>
      <c r="AJ84" s="2" t="n"/>
      <c r="AK84" s="2" t="n"/>
      <c r="AL84" s="2" t="n"/>
      <c r="AM84" s="2" t="n"/>
      <c r="AN84" s="2" t="n"/>
      <c r="AO84" s="2" t="n"/>
      <c r="AP84" s="2" t="n"/>
      <c r="AQ84" s="2" t="n"/>
      <c r="AR84" s="2" t="n"/>
      <c r="AS84" s="2" t="n"/>
    </row>
    <row r="85" ht="14.25" customHeight="1" s="157">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c r="AA85" s="2" t="n"/>
      <c r="AB85" s="2" t="n"/>
      <c r="AC85" s="2" t="n"/>
      <c r="AD85" s="2" t="n"/>
      <c r="AE85" s="2" t="n"/>
      <c r="AF85" s="2" t="n"/>
      <c r="AG85" s="2" t="n"/>
      <c r="AH85" s="2" t="n"/>
      <c r="AI85" s="2" t="n"/>
      <c r="AJ85" s="2" t="n"/>
      <c r="AK85" s="2" t="n"/>
      <c r="AL85" s="2" t="n"/>
      <c r="AM85" s="2" t="n"/>
      <c r="AN85" s="2" t="n"/>
      <c r="AO85" s="2" t="n"/>
      <c r="AP85" s="2" t="n"/>
      <c r="AQ85" s="2" t="n"/>
      <c r="AR85" s="2" t="n"/>
      <c r="AS85" s="2" t="n"/>
    </row>
    <row r="86" ht="14.25" customHeight="1" s="157">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c r="AA86" s="2" t="n"/>
      <c r="AB86" s="2" t="n"/>
      <c r="AC86" s="2" t="n"/>
      <c r="AD86" s="2" t="n"/>
      <c r="AE86" s="2" t="n"/>
      <c r="AF86" s="2" t="n"/>
      <c r="AG86" s="2" t="n"/>
      <c r="AH86" s="2" t="n"/>
      <c r="AI86" s="2" t="n"/>
      <c r="AJ86" s="2" t="n"/>
      <c r="AK86" s="2" t="n"/>
      <c r="AL86" s="2" t="n"/>
      <c r="AM86" s="2" t="n"/>
      <c r="AN86" s="2" t="n"/>
      <c r="AO86" s="2" t="n"/>
      <c r="AP86" s="2" t="n"/>
      <c r="AQ86" s="2" t="n"/>
      <c r="AR86" s="2" t="n"/>
      <c r="AS86" s="2" t="n"/>
    </row>
    <row r="87" ht="14.25" customHeight="1" s="157">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c r="AA87" s="2" t="n"/>
      <c r="AB87" s="2" t="n"/>
      <c r="AC87" s="2" t="n"/>
      <c r="AD87" s="2" t="n"/>
      <c r="AE87" s="2" t="n"/>
      <c r="AF87" s="2" t="n"/>
      <c r="AG87" s="2" t="n"/>
      <c r="AH87" s="2" t="n"/>
      <c r="AI87" s="2" t="n"/>
      <c r="AJ87" s="2" t="n"/>
      <c r="AK87" s="2" t="n"/>
      <c r="AL87" s="2" t="n"/>
      <c r="AM87" s="2" t="n"/>
      <c r="AN87" s="2" t="n"/>
      <c r="AO87" s="2" t="n"/>
      <c r="AP87" s="2" t="n"/>
      <c r="AQ87" s="2" t="n"/>
      <c r="AR87" s="2" t="n"/>
      <c r="AS87" s="2" t="n"/>
    </row>
    <row r="88" ht="14.25" customHeight="1" s="157">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c r="AA88" s="2" t="n"/>
      <c r="AB88" s="2" t="n"/>
      <c r="AC88" s="2" t="n"/>
      <c r="AD88" s="2" t="n"/>
      <c r="AE88" s="2" t="n"/>
      <c r="AF88" s="2" t="n"/>
      <c r="AG88" s="2" t="n"/>
      <c r="AH88" s="2" t="n"/>
      <c r="AI88" s="2" t="n"/>
      <c r="AJ88" s="2" t="n"/>
      <c r="AK88" s="2" t="n"/>
      <c r="AL88" s="2" t="n"/>
      <c r="AM88" s="2" t="n"/>
      <c r="AN88" s="2" t="n"/>
      <c r="AO88" s="2" t="n"/>
      <c r="AP88" s="2" t="n"/>
      <c r="AQ88" s="2" t="n"/>
      <c r="AR88" s="2" t="n"/>
      <c r="AS88" s="2" t="n"/>
    </row>
    <row r="89" ht="14.25" customHeight="1" s="157">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c r="AA89" s="2" t="n"/>
      <c r="AB89" s="2" t="n"/>
      <c r="AC89" s="2" t="n"/>
      <c r="AD89" s="2" t="n"/>
      <c r="AE89" s="2" t="n"/>
      <c r="AF89" s="2" t="n"/>
      <c r="AG89" s="2" t="n"/>
      <c r="AH89" s="2" t="n"/>
      <c r="AI89" s="2" t="n"/>
      <c r="AJ89" s="2" t="n"/>
      <c r="AK89" s="2" t="n"/>
      <c r="AL89" s="2" t="n"/>
      <c r="AM89" s="2" t="n"/>
      <c r="AN89" s="2" t="n"/>
      <c r="AO89" s="2" t="n"/>
      <c r="AP89" s="2" t="n"/>
      <c r="AQ89" s="2" t="n"/>
      <c r="AR89" s="2" t="n"/>
      <c r="AS89" s="2" t="n"/>
    </row>
    <row r="90" ht="14.25" customHeight="1" s="157">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c r="AA90" s="2" t="n"/>
      <c r="AB90" s="2" t="n"/>
      <c r="AC90" s="2" t="n"/>
      <c r="AD90" s="2" t="n"/>
      <c r="AE90" s="2" t="n"/>
      <c r="AF90" s="2" t="n"/>
      <c r="AG90" s="2" t="n"/>
      <c r="AH90" s="2" t="n"/>
      <c r="AI90" s="2" t="n"/>
      <c r="AJ90" s="2" t="n"/>
      <c r="AK90" s="2" t="n"/>
      <c r="AL90" s="2" t="n"/>
      <c r="AM90" s="2" t="n"/>
      <c r="AN90" s="2" t="n"/>
      <c r="AO90" s="2" t="n"/>
      <c r="AP90" s="2" t="n"/>
      <c r="AQ90" s="2" t="n"/>
      <c r="AR90" s="2" t="n"/>
      <c r="AS90" s="2" t="n"/>
    </row>
    <row r="91" ht="14.25" customHeight="1" s="157">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c r="AA91" s="2" t="n"/>
      <c r="AB91" s="2" t="n"/>
      <c r="AC91" s="2" t="n"/>
      <c r="AD91" s="2" t="n"/>
      <c r="AE91" s="2" t="n"/>
      <c r="AF91" s="2" t="n"/>
      <c r="AG91" s="2" t="n"/>
      <c r="AH91" s="2" t="n"/>
      <c r="AI91" s="2" t="n"/>
      <c r="AJ91" s="2" t="n"/>
      <c r="AK91" s="2" t="n"/>
      <c r="AL91" s="2" t="n"/>
      <c r="AM91" s="2" t="n"/>
      <c r="AN91" s="2" t="n"/>
      <c r="AO91" s="2" t="n"/>
      <c r="AP91" s="2" t="n"/>
      <c r="AQ91" s="2" t="n"/>
      <c r="AR91" s="2" t="n"/>
      <c r="AS91" s="2" t="n"/>
    </row>
    <row r="92" ht="14.25" customHeight="1" s="157">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c r="AA92" s="2" t="n"/>
      <c r="AB92" s="2" t="n"/>
      <c r="AC92" s="2" t="n"/>
      <c r="AD92" s="2" t="n"/>
      <c r="AE92" s="2" t="n"/>
      <c r="AF92" s="2" t="n"/>
      <c r="AG92" s="2" t="n"/>
      <c r="AH92" s="2" t="n"/>
      <c r="AI92" s="2" t="n"/>
      <c r="AJ92" s="2" t="n"/>
      <c r="AK92" s="2" t="n"/>
      <c r="AL92" s="2" t="n"/>
      <c r="AM92" s="2" t="n"/>
      <c r="AN92" s="2" t="n"/>
      <c r="AO92" s="2" t="n"/>
      <c r="AP92" s="2" t="n"/>
      <c r="AQ92" s="2" t="n"/>
      <c r="AR92" s="2" t="n"/>
      <c r="AS92" s="2" t="n"/>
    </row>
    <row r="93" ht="14.25" customHeight="1" s="157">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c r="AA93" s="2" t="n"/>
      <c r="AB93" s="2" t="n"/>
      <c r="AC93" s="2" t="n"/>
      <c r="AD93" s="2" t="n"/>
      <c r="AE93" s="2" t="n"/>
      <c r="AF93" s="2" t="n"/>
      <c r="AG93" s="2" t="n"/>
      <c r="AH93" s="2" t="n"/>
      <c r="AI93" s="2" t="n"/>
      <c r="AJ93" s="2" t="n"/>
      <c r="AK93" s="2" t="n"/>
      <c r="AL93" s="2" t="n"/>
      <c r="AM93" s="2" t="n"/>
      <c r="AN93" s="2" t="n"/>
      <c r="AO93" s="2" t="n"/>
      <c r="AP93" s="2" t="n"/>
      <c r="AQ93" s="2" t="n"/>
      <c r="AR93" s="2" t="n"/>
      <c r="AS93" s="2" t="n"/>
    </row>
    <row r="94" ht="14.25" customHeight="1" s="157">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c r="AA94" s="2" t="n"/>
      <c r="AB94" s="2" t="n"/>
      <c r="AC94" s="2" t="n"/>
      <c r="AD94" s="2" t="n"/>
      <c r="AE94" s="2" t="n"/>
      <c r="AF94" s="2" t="n"/>
      <c r="AG94" s="2" t="n"/>
      <c r="AH94" s="2" t="n"/>
      <c r="AI94" s="2" t="n"/>
      <c r="AJ94" s="2" t="n"/>
      <c r="AK94" s="2" t="n"/>
      <c r="AL94" s="2" t="n"/>
      <c r="AM94" s="2" t="n"/>
      <c r="AN94" s="2" t="n"/>
      <c r="AO94" s="2" t="n"/>
      <c r="AP94" s="2" t="n"/>
      <c r="AQ94" s="2" t="n"/>
      <c r="AR94" s="2" t="n"/>
      <c r="AS94" s="2" t="n"/>
    </row>
    <row r="95" ht="14.25" customHeight="1" s="157">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c r="AA95" s="2" t="n"/>
      <c r="AB95" s="2" t="n"/>
      <c r="AC95" s="2" t="n"/>
      <c r="AD95" s="2" t="n"/>
      <c r="AE95" s="2" t="n"/>
      <c r="AF95" s="2" t="n"/>
      <c r="AG95" s="2" t="n"/>
      <c r="AH95" s="2" t="n"/>
      <c r="AI95" s="2" t="n"/>
      <c r="AJ95" s="2" t="n"/>
      <c r="AK95" s="2" t="n"/>
      <c r="AL95" s="2" t="n"/>
      <c r="AM95" s="2" t="n"/>
      <c r="AN95" s="2" t="n"/>
      <c r="AO95" s="2" t="n"/>
      <c r="AP95" s="2" t="n"/>
      <c r="AQ95" s="2" t="n"/>
      <c r="AR95" s="2" t="n"/>
      <c r="AS95" s="2" t="n"/>
    </row>
    <row r="96" ht="14.25" customHeight="1" s="157">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c r="AA96" s="2" t="n"/>
      <c r="AB96" s="2" t="n"/>
      <c r="AC96" s="2" t="n"/>
      <c r="AD96" s="2" t="n"/>
      <c r="AE96" s="2" t="n"/>
      <c r="AF96" s="2" t="n"/>
      <c r="AG96" s="2" t="n"/>
      <c r="AH96" s="2" t="n"/>
      <c r="AI96" s="2" t="n"/>
      <c r="AJ96" s="2" t="n"/>
      <c r="AK96" s="2" t="n"/>
      <c r="AL96" s="2" t="n"/>
      <c r="AM96" s="2" t="n"/>
      <c r="AN96" s="2" t="n"/>
      <c r="AO96" s="2" t="n"/>
      <c r="AP96" s="2" t="n"/>
      <c r="AQ96" s="2" t="n"/>
      <c r="AR96" s="2" t="n"/>
      <c r="AS96" s="2" t="n"/>
    </row>
    <row r="97" ht="14.25" customHeight="1" s="157">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c r="AA97" s="2" t="n"/>
      <c r="AB97" s="2" t="n"/>
      <c r="AC97" s="2" t="n"/>
      <c r="AD97" s="2" t="n"/>
      <c r="AE97" s="2" t="n"/>
      <c r="AF97" s="2" t="n"/>
      <c r="AG97" s="2" t="n"/>
      <c r="AH97" s="2" t="n"/>
      <c r="AI97" s="2" t="n"/>
      <c r="AJ97" s="2" t="n"/>
      <c r="AK97" s="2" t="n"/>
      <c r="AL97" s="2" t="n"/>
      <c r="AM97" s="2" t="n"/>
      <c r="AN97" s="2" t="n"/>
      <c r="AO97" s="2" t="n"/>
      <c r="AP97" s="2" t="n"/>
      <c r="AQ97" s="2" t="n"/>
      <c r="AR97" s="2" t="n"/>
      <c r="AS97" s="2" t="n"/>
    </row>
    <row r="98" ht="14.25" customHeight="1" s="157">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c r="AA98" s="2" t="n"/>
      <c r="AB98" s="2" t="n"/>
      <c r="AC98" s="2" t="n"/>
      <c r="AD98" s="2" t="n"/>
      <c r="AE98" s="2" t="n"/>
      <c r="AF98" s="2" t="n"/>
      <c r="AG98" s="2" t="n"/>
      <c r="AH98" s="2" t="n"/>
      <c r="AI98" s="2" t="n"/>
      <c r="AJ98" s="2" t="n"/>
      <c r="AK98" s="2" t="n"/>
      <c r="AL98" s="2" t="n"/>
      <c r="AM98" s="2" t="n"/>
      <c r="AN98" s="2" t="n"/>
      <c r="AO98" s="2" t="n"/>
      <c r="AP98" s="2" t="n"/>
      <c r="AQ98" s="2" t="n"/>
      <c r="AR98" s="2" t="n"/>
      <c r="AS98" s="2" t="n"/>
    </row>
    <row r="99" ht="14.25" customHeight="1" s="157">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c r="AA99" s="2" t="n"/>
      <c r="AB99" s="2" t="n"/>
      <c r="AC99" s="2" t="n"/>
      <c r="AD99" s="2" t="n"/>
      <c r="AE99" s="2" t="n"/>
      <c r="AF99" s="2" t="n"/>
      <c r="AG99" s="2" t="n"/>
      <c r="AH99" s="2" t="n"/>
      <c r="AI99" s="2" t="n"/>
      <c r="AJ99" s="2" t="n"/>
      <c r="AK99" s="2" t="n"/>
      <c r="AL99" s="2" t="n"/>
      <c r="AM99" s="2" t="n"/>
      <c r="AN99" s="2" t="n"/>
      <c r="AO99" s="2" t="n"/>
      <c r="AP99" s="2" t="n"/>
      <c r="AQ99" s="2" t="n"/>
      <c r="AR99" s="2" t="n"/>
      <c r="AS99" s="2" t="n"/>
    </row>
    <row r="100" ht="14.25" customHeight="1" s="157">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c r="AA100" s="2" t="n"/>
      <c r="AB100" s="2" t="n"/>
      <c r="AC100" s="2" t="n"/>
      <c r="AD100" s="2" t="n"/>
      <c r="AE100" s="2" t="n"/>
      <c r="AF100" s="2" t="n"/>
      <c r="AG100" s="2" t="n"/>
      <c r="AH100" s="2" t="n"/>
      <c r="AI100" s="2" t="n"/>
      <c r="AJ100" s="2" t="n"/>
      <c r="AK100" s="2" t="n"/>
      <c r="AL100" s="2" t="n"/>
      <c r="AM100" s="2" t="n"/>
      <c r="AN100" s="2" t="n"/>
      <c r="AO100" s="2" t="n"/>
      <c r="AP100" s="2" t="n"/>
      <c r="AQ100" s="2" t="n"/>
      <c r="AR100" s="2" t="n"/>
      <c r="AS100" s="2" t="n"/>
    </row>
    <row r="101" ht="14.25" customHeight="1" s="157">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c r="AA101" s="2" t="n"/>
      <c r="AB101" s="2" t="n"/>
      <c r="AC101" s="2" t="n"/>
      <c r="AD101" s="2" t="n"/>
      <c r="AE101" s="2" t="n"/>
      <c r="AF101" s="2" t="n"/>
      <c r="AG101" s="2" t="n"/>
      <c r="AH101" s="2" t="n"/>
      <c r="AI101" s="2" t="n"/>
      <c r="AJ101" s="2" t="n"/>
      <c r="AK101" s="2" t="n"/>
      <c r="AL101" s="2" t="n"/>
      <c r="AM101" s="2" t="n"/>
      <c r="AN101" s="2" t="n"/>
      <c r="AO101" s="2" t="n"/>
      <c r="AP101" s="2" t="n"/>
      <c r="AQ101" s="2" t="n"/>
      <c r="AR101" s="2" t="n"/>
      <c r="AS101" s="2" t="n"/>
    </row>
    <row r="102" ht="14.25" customHeight="1" s="157">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c r="AA102" s="2" t="n"/>
      <c r="AB102" s="2" t="n"/>
      <c r="AC102" s="2" t="n"/>
      <c r="AD102" s="2" t="n"/>
      <c r="AE102" s="2" t="n"/>
      <c r="AF102" s="2" t="n"/>
      <c r="AG102" s="2" t="n"/>
      <c r="AH102" s="2" t="n"/>
      <c r="AI102" s="2" t="n"/>
      <c r="AJ102" s="2" t="n"/>
      <c r="AK102" s="2" t="n"/>
      <c r="AL102" s="2" t="n"/>
      <c r="AM102" s="2" t="n"/>
      <c r="AN102" s="2" t="n"/>
      <c r="AO102" s="2" t="n"/>
      <c r="AP102" s="2" t="n"/>
      <c r="AQ102" s="2" t="n"/>
      <c r="AR102" s="2" t="n"/>
      <c r="AS102" s="2" t="n"/>
    </row>
    <row r="103" ht="14.25" customHeight="1" s="157">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c r="AA103" s="2" t="n"/>
      <c r="AB103" s="2" t="n"/>
      <c r="AC103" s="2" t="n"/>
      <c r="AD103" s="2" t="n"/>
      <c r="AE103" s="2" t="n"/>
      <c r="AF103" s="2" t="n"/>
      <c r="AG103" s="2" t="n"/>
      <c r="AH103" s="2" t="n"/>
      <c r="AI103" s="2" t="n"/>
      <c r="AJ103" s="2" t="n"/>
      <c r="AK103" s="2" t="n"/>
      <c r="AL103" s="2" t="n"/>
      <c r="AM103" s="2" t="n"/>
      <c r="AN103" s="2" t="n"/>
      <c r="AO103" s="2" t="n"/>
      <c r="AP103" s="2" t="n"/>
      <c r="AQ103" s="2" t="n"/>
      <c r="AR103" s="2" t="n"/>
      <c r="AS103" s="2" t="n"/>
    </row>
    <row r="104" ht="14.25" customHeight="1" s="157">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c r="AA104" s="2" t="n"/>
      <c r="AB104" s="2" t="n"/>
      <c r="AC104" s="2" t="n"/>
      <c r="AD104" s="2" t="n"/>
      <c r="AE104" s="2" t="n"/>
      <c r="AF104" s="2" t="n"/>
      <c r="AG104" s="2" t="n"/>
      <c r="AH104" s="2" t="n"/>
      <c r="AI104" s="2" t="n"/>
      <c r="AJ104" s="2" t="n"/>
      <c r="AK104" s="2" t="n"/>
      <c r="AL104" s="2" t="n"/>
      <c r="AM104" s="2" t="n"/>
      <c r="AN104" s="2" t="n"/>
      <c r="AO104" s="2" t="n"/>
      <c r="AP104" s="2" t="n"/>
      <c r="AQ104" s="2" t="n"/>
      <c r="AR104" s="2" t="n"/>
      <c r="AS104" s="2" t="n"/>
    </row>
    <row r="105" ht="14.25" customHeight="1" s="157">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c r="AA105" s="2" t="n"/>
      <c r="AB105" s="2" t="n"/>
      <c r="AC105" s="2" t="n"/>
      <c r="AD105" s="2" t="n"/>
      <c r="AE105" s="2" t="n"/>
      <c r="AF105" s="2" t="n"/>
      <c r="AG105" s="2" t="n"/>
      <c r="AH105" s="2" t="n"/>
      <c r="AI105" s="2" t="n"/>
      <c r="AJ105" s="2" t="n"/>
      <c r="AK105" s="2" t="n"/>
      <c r="AL105" s="2" t="n"/>
      <c r="AM105" s="2" t="n"/>
      <c r="AN105" s="2" t="n"/>
      <c r="AO105" s="2" t="n"/>
      <c r="AP105" s="2" t="n"/>
      <c r="AQ105" s="2" t="n"/>
      <c r="AR105" s="2" t="n"/>
      <c r="AS105" s="2" t="n"/>
    </row>
    <row r="106" ht="14.25" customHeight="1" s="157">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c r="AA106" s="2" t="n"/>
      <c r="AB106" s="2" t="n"/>
      <c r="AC106" s="2" t="n"/>
      <c r="AD106" s="2" t="n"/>
      <c r="AE106" s="2" t="n"/>
      <c r="AF106" s="2" t="n"/>
      <c r="AG106" s="2" t="n"/>
      <c r="AH106" s="2" t="n"/>
      <c r="AI106" s="2" t="n"/>
      <c r="AJ106" s="2" t="n"/>
      <c r="AK106" s="2" t="n"/>
      <c r="AL106" s="2" t="n"/>
      <c r="AM106" s="2" t="n"/>
      <c r="AN106" s="2" t="n"/>
      <c r="AO106" s="2" t="n"/>
      <c r="AP106" s="2" t="n"/>
      <c r="AQ106" s="2" t="n"/>
      <c r="AR106" s="2" t="n"/>
      <c r="AS106" s="2" t="n"/>
    </row>
    <row r="107" ht="14.25" customHeight="1" s="157">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c r="AA107" s="2" t="n"/>
      <c r="AB107" s="2" t="n"/>
      <c r="AC107" s="2" t="n"/>
      <c r="AD107" s="2" t="n"/>
      <c r="AE107" s="2" t="n"/>
      <c r="AF107" s="2" t="n"/>
      <c r="AG107" s="2" t="n"/>
      <c r="AH107" s="2" t="n"/>
      <c r="AI107" s="2" t="n"/>
      <c r="AJ107" s="2" t="n"/>
      <c r="AK107" s="2" t="n"/>
      <c r="AL107" s="2" t="n"/>
      <c r="AM107" s="2" t="n"/>
      <c r="AN107" s="2" t="n"/>
      <c r="AO107" s="2" t="n"/>
      <c r="AP107" s="2" t="n"/>
      <c r="AQ107" s="2" t="n"/>
      <c r="AR107" s="2" t="n"/>
      <c r="AS107" s="2" t="n"/>
    </row>
    <row r="108" ht="14.25" customHeight="1" s="157">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c r="AA108" s="2" t="n"/>
      <c r="AB108" s="2" t="n"/>
      <c r="AC108" s="2" t="n"/>
      <c r="AD108" s="2" t="n"/>
      <c r="AE108" s="2" t="n"/>
      <c r="AF108" s="2" t="n"/>
      <c r="AG108" s="2" t="n"/>
      <c r="AH108" s="2" t="n"/>
      <c r="AI108" s="2" t="n"/>
      <c r="AJ108" s="2" t="n"/>
      <c r="AK108" s="2" t="n"/>
      <c r="AL108" s="2" t="n"/>
      <c r="AM108" s="2" t="n"/>
      <c r="AN108" s="2" t="n"/>
      <c r="AO108" s="2" t="n"/>
      <c r="AP108" s="2" t="n"/>
      <c r="AQ108" s="2" t="n"/>
      <c r="AR108" s="2" t="n"/>
      <c r="AS108" s="2" t="n"/>
    </row>
    <row r="109" ht="14.25" customHeight="1" s="157">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c r="AA109" s="2" t="n"/>
      <c r="AB109" s="2" t="n"/>
      <c r="AC109" s="2" t="n"/>
      <c r="AD109" s="2" t="n"/>
      <c r="AE109" s="2" t="n"/>
      <c r="AF109" s="2" t="n"/>
      <c r="AG109" s="2" t="n"/>
      <c r="AH109" s="2" t="n"/>
      <c r="AI109" s="2" t="n"/>
      <c r="AJ109" s="2" t="n"/>
      <c r="AK109" s="2" t="n"/>
      <c r="AL109" s="2" t="n"/>
      <c r="AM109" s="2" t="n"/>
      <c r="AN109" s="2" t="n"/>
      <c r="AO109" s="2" t="n"/>
      <c r="AP109" s="2" t="n"/>
      <c r="AQ109" s="2" t="n"/>
      <c r="AR109" s="2" t="n"/>
      <c r="AS109" s="2" t="n"/>
    </row>
    <row r="110" ht="14.25" customHeight="1" s="157">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c r="AA110" s="2" t="n"/>
      <c r="AB110" s="2" t="n"/>
      <c r="AC110" s="2" t="n"/>
      <c r="AD110" s="2" t="n"/>
      <c r="AE110" s="2" t="n"/>
      <c r="AF110" s="2" t="n"/>
      <c r="AG110" s="2" t="n"/>
      <c r="AH110" s="2" t="n"/>
      <c r="AI110" s="2" t="n"/>
      <c r="AJ110" s="2" t="n"/>
      <c r="AK110" s="2" t="n"/>
      <c r="AL110" s="2" t="n"/>
      <c r="AM110" s="2" t="n"/>
      <c r="AN110" s="2" t="n"/>
      <c r="AO110" s="2" t="n"/>
      <c r="AP110" s="2" t="n"/>
      <c r="AQ110" s="2" t="n"/>
      <c r="AR110" s="2" t="n"/>
      <c r="AS110" s="2" t="n"/>
    </row>
    <row r="111" ht="14.25" customHeight="1" s="157">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c r="AA111" s="2" t="n"/>
      <c r="AB111" s="2" t="n"/>
      <c r="AC111" s="2" t="n"/>
      <c r="AD111" s="2" t="n"/>
      <c r="AE111" s="2" t="n"/>
      <c r="AF111" s="2" t="n"/>
      <c r="AG111" s="2" t="n"/>
      <c r="AH111" s="2" t="n"/>
      <c r="AI111" s="2" t="n"/>
      <c r="AJ111" s="2" t="n"/>
      <c r="AK111" s="2" t="n"/>
      <c r="AL111" s="2" t="n"/>
      <c r="AM111" s="2" t="n"/>
      <c r="AN111" s="2" t="n"/>
      <c r="AO111" s="2" t="n"/>
      <c r="AP111" s="2" t="n"/>
      <c r="AQ111" s="2" t="n"/>
      <c r="AR111" s="2" t="n"/>
      <c r="AS111" s="2" t="n"/>
    </row>
    <row r="112" ht="14.25" customHeight="1" s="157">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c r="AA112" s="2" t="n"/>
      <c r="AB112" s="2" t="n"/>
      <c r="AC112" s="2" t="n"/>
      <c r="AD112" s="2" t="n"/>
      <c r="AE112" s="2" t="n"/>
      <c r="AF112" s="2" t="n"/>
      <c r="AG112" s="2" t="n"/>
      <c r="AH112" s="2" t="n"/>
      <c r="AI112" s="2" t="n"/>
      <c r="AJ112" s="2" t="n"/>
      <c r="AK112" s="2" t="n"/>
      <c r="AL112" s="2" t="n"/>
      <c r="AM112" s="2" t="n"/>
      <c r="AN112" s="2" t="n"/>
      <c r="AO112" s="2" t="n"/>
      <c r="AP112" s="2" t="n"/>
      <c r="AQ112" s="2" t="n"/>
      <c r="AR112" s="2" t="n"/>
      <c r="AS112" s="2" t="n"/>
    </row>
    <row r="113" ht="14.25" customHeight="1" s="157">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c r="AA113" s="2" t="n"/>
      <c r="AB113" s="2" t="n"/>
      <c r="AC113" s="2" t="n"/>
      <c r="AD113" s="2" t="n"/>
      <c r="AE113" s="2" t="n"/>
      <c r="AF113" s="2" t="n"/>
      <c r="AG113" s="2" t="n"/>
      <c r="AH113" s="2" t="n"/>
      <c r="AI113" s="2" t="n"/>
      <c r="AJ113" s="2" t="n"/>
      <c r="AK113" s="2" t="n"/>
      <c r="AL113" s="2" t="n"/>
      <c r="AM113" s="2" t="n"/>
      <c r="AN113" s="2" t="n"/>
      <c r="AO113" s="2" t="n"/>
      <c r="AP113" s="2" t="n"/>
      <c r="AQ113" s="2" t="n"/>
      <c r="AR113" s="2" t="n"/>
      <c r="AS113" s="2" t="n"/>
    </row>
    <row r="114" ht="14.25" customHeight="1" s="157">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c r="AA114" s="2" t="n"/>
      <c r="AB114" s="2" t="n"/>
      <c r="AC114" s="2" t="n"/>
      <c r="AD114" s="2" t="n"/>
      <c r="AE114" s="2" t="n"/>
      <c r="AF114" s="2" t="n"/>
      <c r="AG114" s="2" t="n"/>
      <c r="AH114" s="2" t="n"/>
      <c r="AI114" s="2" t="n"/>
      <c r="AJ114" s="2" t="n"/>
      <c r="AK114" s="2" t="n"/>
      <c r="AL114" s="2" t="n"/>
      <c r="AM114" s="2" t="n"/>
      <c r="AN114" s="2" t="n"/>
      <c r="AO114" s="2" t="n"/>
      <c r="AP114" s="2" t="n"/>
      <c r="AQ114" s="2" t="n"/>
      <c r="AR114" s="2" t="n"/>
      <c r="AS114" s="2" t="n"/>
    </row>
    <row r="115" ht="14.25" customHeight="1" s="157">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c r="AA115" s="2" t="n"/>
      <c r="AB115" s="2" t="n"/>
      <c r="AC115" s="2" t="n"/>
      <c r="AD115" s="2" t="n"/>
      <c r="AE115" s="2" t="n"/>
      <c r="AF115" s="2" t="n"/>
      <c r="AG115" s="2" t="n"/>
      <c r="AH115" s="2" t="n"/>
      <c r="AI115" s="2" t="n"/>
      <c r="AJ115" s="2" t="n"/>
      <c r="AK115" s="2" t="n"/>
      <c r="AL115" s="2" t="n"/>
      <c r="AM115" s="2" t="n"/>
      <c r="AN115" s="2" t="n"/>
      <c r="AO115" s="2" t="n"/>
      <c r="AP115" s="2" t="n"/>
      <c r="AQ115" s="2" t="n"/>
      <c r="AR115" s="2" t="n"/>
      <c r="AS115" s="2" t="n"/>
    </row>
    <row r="116" ht="14.25" customHeight="1" s="157">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c r="AA116" s="2" t="n"/>
      <c r="AB116" s="2" t="n"/>
      <c r="AC116" s="2" t="n"/>
      <c r="AD116" s="2" t="n"/>
      <c r="AE116" s="2" t="n"/>
      <c r="AF116" s="2" t="n"/>
      <c r="AG116" s="2" t="n"/>
      <c r="AH116" s="2" t="n"/>
      <c r="AI116" s="2" t="n"/>
      <c r="AJ116" s="2" t="n"/>
      <c r="AK116" s="2" t="n"/>
      <c r="AL116" s="2" t="n"/>
      <c r="AM116" s="2" t="n"/>
      <c r="AN116" s="2" t="n"/>
      <c r="AO116" s="2" t="n"/>
      <c r="AP116" s="2" t="n"/>
      <c r="AQ116" s="2" t="n"/>
      <c r="AR116" s="2" t="n"/>
      <c r="AS116" s="2" t="n"/>
    </row>
    <row r="117" ht="14.25" customHeight="1" s="157">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c r="AA117" s="2" t="n"/>
      <c r="AB117" s="2" t="n"/>
      <c r="AC117" s="2" t="n"/>
      <c r="AD117" s="2" t="n"/>
      <c r="AE117" s="2" t="n"/>
      <c r="AF117" s="2" t="n"/>
      <c r="AG117" s="2" t="n"/>
      <c r="AH117" s="2" t="n"/>
      <c r="AI117" s="2" t="n"/>
      <c r="AJ117" s="2" t="n"/>
      <c r="AK117" s="2" t="n"/>
      <c r="AL117" s="2" t="n"/>
      <c r="AM117" s="2" t="n"/>
      <c r="AN117" s="2" t="n"/>
      <c r="AO117" s="2" t="n"/>
      <c r="AP117" s="2" t="n"/>
      <c r="AQ117" s="2" t="n"/>
      <c r="AR117" s="2" t="n"/>
      <c r="AS117" s="2" t="n"/>
    </row>
    <row r="118" ht="14.25" customHeight="1" s="157">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c r="AA118" s="2" t="n"/>
      <c r="AB118" s="2" t="n"/>
      <c r="AC118" s="2" t="n"/>
      <c r="AD118" s="2" t="n"/>
      <c r="AE118" s="2" t="n"/>
      <c r="AF118" s="2" t="n"/>
      <c r="AG118" s="2" t="n"/>
      <c r="AH118" s="2" t="n"/>
      <c r="AI118" s="2" t="n"/>
      <c r="AJ118" s="2" t="n"/>
      <c r="AK118" s="2" t="n"/>
      <c r="AL118" s="2" t="n"/>
      <c r="AM118" s="2" t="n"/>
      <c r="AN118" s="2" t="n"/>
      <c r="AO118" s="2" t="n"/>
      <c r="AP118" s="2" t="n"/>
      <c r="AQ118" s="2" t="n"/>
      <c r="AR118" s="2" t="n"/>
      <c r="AS118" s="2" t="n"/>
    </row>
    <row r="119" ht="14.25" customHeight="1" s="157">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c r="AA119" s="2" t="n"/>
      <c r="AB119" s="2" t="n"/>
      <c r="AC119" s="2" t="n"/>
      <c r="AD119" s="2" t="n"/>
      <c r="AE119" s="2" t="n"/>
      <c r="AF119" s="2" t="n"/>
      <c r="AG119" s="2" t="n"/>
      <c r="AH119" s="2" t="n"/>
      <c r="AI119" s="2" t="n"/>
      <c r="AJ119" s="2" t="n"/>
      <c r="AK119" s="2" t="n"/>
      <c r="AL119" s="2" t="n"/>
      <c r="AM119" s="2" t="n"/>
      <c r="AN119" s="2" t="n"/>
      <c r="AO119" s="2" t="n"/>
      <c r="AP119" s="2" t="n"/>
      <c r="AQ119" s="2" t="n"/>
      <c r="AR119" s="2" t="n"/>
      <c r="AS119" s="2" t="n"/>
    </row>
    <row r="120" ht="14.25" customHeight="1" s="157">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c r="AA120" s="2" t="n"/>
      <c r="AB120" s="2" t="n"/>
      <c r="AC120" s="2" t="n"/>
      <c r="AD120" s="2" t="n"/>
      <c r="AE120" s="2" t="n"/>
      <c r="AF120" s="2" t="n"/>
      <c r="AG120" s="2" t="n"/>
      <c r="AH120" s="2" t="n"/>
      <c r="AI120" s="2" t="n"/>
      <c r="AJ120" s="2" t="n"/>
      <c r="AK120" s="2" t="n"/>
      <c r="AL120" s="2" t="n"/>
      <c r="AM120" s="2" t="n"/>
      <c r="AN120" s="2" t="n"/>
      <c r="AO120" s="2" t="n"/>
      <c r="AP120" s="2" t="n"/>
      <c r="AQ120" s="2" t="n"/>
      <c r="AR120" s="2" t="n"/>
      <c r="AS120" s="2" t="n"/>
    </row>
    <row r="121" ht="14.25" customHeight="1" s="157">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c r="AA121" s="2" t="n"/>
      <c r="AB121" s="2" t="n"/>
      <c r="AC121" s="2" t="n"/>
      <c r="AD121" s="2" t="n"/>
      <c r="AE121" s="2" t="n"/>
      <c r="AF121" s="2" t="n"/>
      <c r="AG121" s="2" t="n"/>
      <c r="AH121" s="2" t="n"/>
      <c r="AI121" s="2" t="n"/>
      <c r="AJ121" s="2" t="n"/>
      <c r="AK121" s="2" t="n"/>
      <c r="AL121" s="2" t="n"/>
      <c r="AM121" s="2" t="n"/>
      <c r="AN121" s="2" t="n"/>
      <c r="AO121" s="2" t="n"/>
      <c r="AP121" s="2" t="n"/>
      <c r="AQ121" s="2" t="n"/>
      <c r="AR121" s="2" t="n"/>
      <c r="AS121" s="2" t="n"/>
    </row>
    <row r="122" ht="14.25" customHeight="1" s="157">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c r="AA122" s="2" t="n"/>
      <c r="AB122" s="2" t="n"/>
      <c r="AC122" s="2" t="n"/>
      <c r="AD122" s="2" t="n"/>
      <c r="AE122" s="2" t="n"/>
      <c r="AF122" s="2" t="n"/>
      <c r="AG122" s="2" t="n"/>
      <c r="AH122" s="2" t="n"/>
      <c r="AI122" s="2" t="n"/>
      <c r="AJ122" s="2" t="n"/>
      <c r="AK122" s="2" t="n"/>
      <c r="AL122" s="2" t="n"/>
      <c r="AM122" s="2" t="n"/>
      <c r="AN122" s="2" t="n"/>
      <c r="AO122" s="2" t="n"/>
      <c r="AP122" s="2" t="n"/>
      <c r="AQ122" s="2" t="n"/>
      <c r="AR122" s="2" t="n"/>
      <c r="AS122" s="2" t="n"/>
    </row>
    <row r="123" ht="14.25" customHeight="1" s="157">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c r="AA123" s="2" t="n"/>
      <c r="AB123" s="2" t="n"/>
      <c r="AC123" s="2" t="n"/>
      <c r="AD123" s="2" t="n"/>
      <c r="AE123" s="2" t="n"/>
      <c r="AF123" s="2" t="n"/>
      <c r="AG123" s="2" t="n"/>
      <c r="AH123" s="2" t="n"/>
      <c r="AI123" s="2" t="n"/>
      <c r="AJ123" s="2" t="n"/>
      <c r="AK123" s="2" t="n"/>
      <c r="AL123" s="2" t="n"/>
      <c r="AM123" s="2" t="n"/>
      <c r="AN123" s="2" t="n"/>
      <c r="AO123" s="2" t="n"/>
      <c r="AP123" s="2" t="n"/>
      <c r="AQ123" s="2" t="n"/>
      <c r="AR123" s="2" t="n"/>
      <c r="AS123" s="2" t="n"/>
    </row>
    <row r="124" ht="14.25" customHeight="1" s="157">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c r="AA124" s="2" t="n"/>
      <c r="AB124" s="2" t="n"/>
      <c r="AC124" s="2" t="n"/>
      <c r="AD124" s="2" t="n"/>
      <c r="AE124" s="2" t="n"/>
      <c r="AF124" s="2" t="n"/>
      <c r="AG124" s="2" t="n"/>
      <c r="AH124" s="2" t="n"/>
      <c r="AI124" s="2" t="n"/>
      <c r="AJ124" s="2" t="n"/>
      <c r="AK124" s="2" t="n"/>
      <c r="AL124" s="2" t="n"/>
      <c r="AM124" s="2" t="n"/>
      <c r="AN124" s="2" t="n"/>
      <c r="AO124" s="2" t="n"/>
      <c r="AP124" s="2" t="n"/>
      <c r="AQ124" s="2" t="n"/>
      <c r="AR124" s="2" t="n"/>
      <c r="AS124" s="2" t="n"/>
    </row>
    <row r="125" ht="14.25" customHeight="1" s="157">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c r="AA125" s="2" t="n"/>
      <c r="AB125" s="2" t="n"/>
      <c r="AC125" s="2" t="n"/>
      <c r="AD125" s="2" t="n"/>
      <c r="AE125" s="2" t="n"/>
      <c r="AF125" s="2" t="n"/>
      <c r="AG125" s="2" t="n"/>
      <c r="AH125" s="2" t="n"/>
      <c r="AI125" s="2" t="n"/>
      <c r="AJ125" s="2" t="n"/>
      <c r="AK125" s="2" t="n"/>
      <c r="AL125" s="2" t="n"/>
      <c r="AM125" s="2" t="n"/>
      <c r="AN125" s="2" t="n"/>
      <c r="AO125" s="2" t="n"/>
      <c r="AP125" s="2" t="n"/>
      <c r="AQ125" s="2" t="n"/>
      <c r="AR125" s="2" t="n"/>
      <c r="AS125" s="2" t="n"/>
    </row>
    <row r="126" ht="14.25" customHeight="1" s="157">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c r="AA126" s="2" t="n"/>
      <c r="AB126" s="2" t="n"/>
      <c r="AC126" s="2" t="n"/>
      <c r="AD126" s="2" t="n"/>
      <c r="AE126" s="2" t="n"/>
      <c r="AF126" s="2" t="n"/>
      <c r="AG126" s="2" t="n"/>
      <c r="AH126" s="2" t="n"/>
      <c r="AI126" s="2" t="n"/>
      <c r="AJ126" s="2" t="n"/>
      <c r="AK126" s="2" t="n"/>
      <c r="AL126" s="2" t="n"/>
      <c r="AM126" s="2" t="n"/>
      <c r="AN126" s="2" t="n"/>
      <c r="AO126" s="2" t="n"/>
      <c r="AP126" s="2" t="n"/>
      <c r="AQ126" s="2" t="n"/>
      <c r="AR126" s="2" t="n"/>
      <c r="AS126" s="2" t="n"/>
    </row>
    <row r="127" ht="14.25" customHeight="1" s="157">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c r="AA127" s="2" t="n"/>
      <c r="AB127" s="2" t="n"/>
      <c r="AC127" s="2" t="n"/>
      <c r="AD127" s="2" t="n"/>
      <c r="AE127" s="2" t="n"/>
      <c r="AF127" s="2" t="n"/>
      <c r="AG127" s="2" t="n"/>
      <c r="AH127" s="2" t="n"/>
      <c r="AI127" s="2" t="n"/>
      <c r="AJ127" s="2" t="n"/>
      <c r="AK127" s="2" t="n"/>
      <c r="AL127" s="2" t="n"/>
      <c r="AM127" s="2" t="n"/>
      <c r="AN127" s="2" t="n"/>
      <c r="AO127" s="2" t="n"/>
      <c r="AP127" s="2" t="n"/>
      <c r="AQ127" s="2" t="n"/>
      <c r="AR127" s="2" t="n"/>
      <c r="AS127" s="2" t="n"/>
    </row>
    <row r="128" ht="14.25" customHeight="1" s="157">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c r="AA128" s="2" t="n"/>
      <c r="AB128" s="2" t="n"/>
      <c r="AC128" s="2" t="n"/>
      <c r="AD128" s="2" t="n"/>
      <c r="AE128" s="2" t="n"/>
      <c r="AF128" s="2" t="n"/>
      <c r="AG128" s="2" t="n"/>
      <c r="AH128" s="2" t="n"/>
      <c r="AI128" s="2" t="n"/>
      <c r="AJ128" s="2" t="n"/>
      <c r="AK128" s="2" t="n"/>
      <c r="AL128" s="2" t="n"/>
      <c r="AM128" s="2" t="n"/>
      <c r="AN128" s="2" t="n"/>
      <c r="AO128" s="2" t="n"/>
      <c r="AP128" s="2" t="n"/>
      <c r="AQ128" s="2" t="n"/>
      <c r="AR128" s="2" t="n"/>
      <c r="AS128" s="2" t="n"/>
    </row>
    <row r="129" ht="14.25" customHeight="1" s="157">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c r="AA129" s="2" t="n"/>
      <c r="AB129" s="2" t="n"/>
      <c r="AC129" s="2" t="n"/>
      <c r="AD129" s="2" t="n"/>
      <c r="AE129" s="2" t="n"/>
      <c r="AF129" s="2" t="n"/>
      <c r="AG129" s="2" t="n"/>
      <c r="AH129" s="2" t="n"/>
      <c r="AI129" s="2" t="n"/>
      <c r="AJ129" s="2" t="n"/>
      <c r="AK129" s="2" t="n"/>
      <c r="AL129" s="2" t="n"/>
      <c r="AM129" s="2" t="n"/>
      <c r="AN129" s="2" t="n"/>
      <c r="AO129" s="2" t="n"/>
      <c r="AP129" s="2" t="n"/>
      <c r="AQ129" s="2" t="n"/>
      <c r="AR129" s="2" t="n"/>
      <c r="AS129" s="2" t="n"/>
    </row>
    <row r="130" ht="14.25" customHeight="1" s="157">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c r="AA130" s="2" t="n"/>
      <c r="AB130" s="2" t="n"/>
      <c r="AC130" s="2" t="n"/>
      <c r="AD130" s="2" t="n"/>
      <c r="AE130" s="2" t="n"/>
      <c r="AF130" s="2" t="n"/>
      <c r="AG130" s="2" t="n"/>
      <c r="AH130" s="2" t="n"/>
      <c r="AI130" s="2" t="n"/>
      <c r="AJ130" s="2" t="n"/>
      <c r="AK130" s="2" t="n"/>
      <c r="AL130" s="2" t="n"/>
      <c r="AM130" s="2" t="n"/>
      <c r="AN130" s="2" t="n"/>
      <c r="AO130" s="2" t="n"/>
      <c r="AP130" s="2" t="n"/>
      <c r="AQ130" s="2" t="n"/>
      <c r="AR130" s="2" t="n"/>
      <c r="AS130" s="2" t="n"/>
    </row>
    <row r="131" ht="14.25" customHeight="1" s="157">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c r="AA131" s="2" t="n"/>
      <c r="AB131" s="2" t="n"/>
      <c r="AC131" s="2" t="n"/>
      <c r="AD131" s="2" t="n"/>
      <c r="AE131" s="2" t="n"/>
      <c r="AF131" s="2" t="n"/>
      <c r="AG131" s="2" t="n"/>
      <c r="AH131" s="2" t="n"/>
      <c r="AI131" s="2" t="n"/>
      <c r="AJ131" s="2" t="n"/>
      <c r="AK131" s="2" t="n"/>
      <c r="AL131" s="2" t="n"/>
      <c r="AM131" s="2" t="n"/>
      <c r="AN131" s="2" t="n"/>
      <c r="AO131" s="2" t="n"/>
      <c r="AP131" s="2" t="n"/>
      <c r="AQ131" s="2" t="n"/>
      <c r="AR131" s="2" t="n"/>
      <c r="AS131" s="2" t="n"/>
    </row>
    <row r="132" ht="14.25" customHeight="1" s="157">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c r="AA132" s="2" t="n"/>
      <c r="AB132" s="2" t="n"/>
      <c r="AC132" s="2" t="n"/>
      <c r="AD132" s="2" t="n"/>
      <c r="AE132" s="2" t="n"/>
      <c r="AF132" s="2" t="n"/>
      <c r="AG132" s="2" t="n"/>
      <c r="AH132" s="2" t="n"/>
      <c r="AI132" s="2" t="n"/>
      <c r="AJ132" s="2" t="n"/>
      <c r="AK132" s="2" t="n"/>
      <c r="AL132" s="2" t="n"/>
      <c r="AM132" s="2" t="n"/>
      <c r="AN132" s="2" t="n"/>
      <c r="AO132" s="2" t="n"/>
      <c r="AP132" s="2" t="n"/>
      <c r="AQ132" s="2" t="n"/>
      <c r="AR132" s="2" t="n"/>
      <c r="AS132" s="2" t="n"/>
    </row>
    <row r="133" ht="14.25" customHeight="1" s="157">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c r="AA133" s="2" t="n"/>
      <c r="AB133" s="2" t="n"/>
      <c r="AC133" s="2" t="n"/>
      <c r="AD133" s="2" t="n"/>
      <c r="AE133" s="2" t="n"/>
      <c r="AF133" s="2" t="n"/>
      <c r="AG133" s="2" t="n"/>
      <c r="AH133" s="2" t="n"/>
      <c r="AI133" s="2" t="n"/>
      <c r="AJ133" s="2" t="n"/>
      <c r="AK133" s="2" t="n"/>
      <c r="AL133" s="2" t="n"/>
      <c r="AM133" s="2" t="n"/>
      <c r="AN133" s="2" t="n"/>
      <c r="AO133" s="2" t="n"/>
      <c r="AP133" s="2" t="n"/>
      <c r="AQ133" s="2" t="n"/>
      <c r="AR133" s="2" t="n"/>
      <c r="AS133" s="2" t="n"/>
    </row>
    <row r="134" ht="14.25" customHeight="1" s="157">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c r="AA134" s="2" t="n"/>
      <c r="AB134" s="2" t="n"/>
      <c r="AC134" s="2" t="n"/>
      <c r="AD134" s="2" t="n"/>
      <c r="AE134" s="2" t="n"/>
      <c r="AF134" s="2" t="n"/>
      <c r="AG134" s="2" t="n"/>
      <c r="AH134" s="2" t="n"/>
      <c r="AI134" s="2" t="n"/>
      <c r="AJ134" s="2" t="n"/>
      <c r="AK134" s="2" t="n"/>
      <c r="AL134" s="2" t="n"/>
      <c r="AM134" s="2" t="n"/>
      <c r="AN134" s="2" t="n"/>
      <c r="AO134" s="2" t="n"/>
      <c r="AP134" s="2" t="n"/>
      <c r="AQ134" s="2" t="n"/>
      <c r="AR134" s="2" t="n"/>
      <c r="AS134" s="2" t="n"/>
    </row>
    <row r="135" ht="14.25" customHeight="1" s="157">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c r="AA135" s="2" t="n"/>
      <c r="AB135" s="2" t="n"/>
      <c r="AC135" s="2" t="n"/>
      <c r="AD135" s="2" t="n"/>
      <c r="AE135" s="2" t="n"/>
      <c r="AF135" s="2" t="n"/>
      <c r="AG135" s="2" t="n"/>
      <c r="AH135" s="2" t="n"/>
      <c r="AI135" s="2" t="n"/>
      <c r="AJ135" s="2" t="n"/>
      <c r="AK135" s="2" t="n"/>
      <c r="AL135" s="2" t="n"/>
      <c r="AM135" s="2" t="n"/>
      <c r="AN135" s="2" t="n"/>
      <c r="AO135" s="2" t="n"/>
      <c r="AP135" s="2" t="n"/>
      <c r="AQ135" s="2" t="n"/>
      <c r="AR135" s="2" t="n"/>
      <c r="AS135" s="2" t="n"/>
    </row>
    <row r="136" ht="14.25" customHeight="1" s="157">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c r="AA136" s="2" t="n"/>
      <c r="AB136" s="2" t="n"/>
      <c r="AC136" s="2" t="n"/>
      <c r="AD136" s="2" t="n"/>
      <c r="AE136" s="2" t="n"/>
      <c r="AF136" s="2" t="n"/>
      <c r="AG136" s="2" t="n"/>
      <c r="AH136" s="2" t="n"/>
      <c r="AI136" s="2" t="n"/>
      <c r="AJ136" s="2" t="n"/>
      <c r="AK136" s="2" t="n"/>
      <c r="AL136" s="2" t="n"/>
      <c r="AM136" s="2" t="n"/>
      <c r="AN136" s="2" t="n"/>
      <c r="AO136" s="2" t="n"/>
      <c r="AP136" s="2" t="n"/>
      <c r="AQ136" s="2" t="n"/>
      <c r="AR136" s="2" t="n"/>
      <c r="AS136" s="2" t="n"/>
    </row>
    <row r="137" ht="14.25" customHeight="1" s="157">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c r="AA137" s="2" t="n"/>
      <c r="AB137" s="2" t="n"/>
      <c r="AC137" s="2" t="n"/>
      <c r="AD137" s="2" t="n"/>
      <c r="AE137" s="2" t="n"/>
      <c r="AF137" s="2" t="n"/>
      <c r="AG137" s="2" t="n"/>
      <c r="AH137" s="2" t="n"/>
      <c r="AI137" s="2" t="n"/>
      <c r="AJ137" s="2" t="n"/>
      <c r="AK137" s="2" t="n"/>
      <c r="AL137" s="2" t="n"/>
      <c r="AM137" s="2" t="n"/>
      <c r="AN137" s="2" t="n"/>
      <c r="AO137" s="2" t="n"/>
      <c r="AP137" s="2" t="n"/>
      <c r="AQ137" s="2" t="n"/>
      <c r="AR137" s="2" t="n"/>
      <c r="AS137" s="2" t="n"/>
    </row>
    <row r="138" ht="14.25" customHeight="1" s="157">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c r="AA138" s="2" t="n"/>
      <c r="AB138" s="2" t="n"/>
      <c r="AC138" s="2" t="n"/>
      <c r="AD138" s="2" t="n"/>
      <c r="AE138" s="2" t="n"/>
      <c r="AF138" s="2" t="n"/>
      <c r="AG138" s="2" t="n"/>
      <c r="AH138" s="2" t="n"/>
      <c r="AI138" s="2" t="n"/>
      <c r="AJ138" s="2" t="n"/>
      <c r="AK138" s="2" t="n"/>
      <c r="AL138" s="2" t="n"/>
      <c r="AM138" s="2" t="n"/>
      <c r="AN138" s="2" t="n"/>
      <c r="AO138" s="2" t="n"/>
      <c r="AP138" s="2" t="n"/>
      <c r="AQ138" s="2" t="n"/>
      <c r="AR138" s="2" t="n"/>
      <c r="AS138" s="2" t="n"/>
    </row>
    <row r="139" ht="14.25" customHeight="1" s="157">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c r="AA139" s="2" t="n"/>
      <c r="AB139" s="2" t="n"/>
      <c r="AC139" s="2" t="n"/>
      <c r="AD139" s="2" t="n"/>
      <c r="AE139" s="2" t="n"/>
      <c r="AF139" s="2" t="n"/>
      <c r="AG139" s="2" t="n"/>
      <c r="AH139" s="2" t="n"/>
      <c r="AI139" s="2" t="n"/>
      <c r="AJ139" s="2" t="n"/>
      <c r="AK139" s="2" t="n"/>
      <c r="AL139" s="2" t="n"/>
      <c r="AM139" s="2" t="n"/>
      <c r="AN139" s="2" t="n"/>
      <c r="AO139" s="2" t="n"/>
      <c r="AP139" s="2" t="n"/>
      <c r="AQ139" s="2" t="n"/>
      <c r="AR139" s="2" t="n"/>
      <c r="AS139" s="2" t="n"/>
    </row>
    <row r="140" ht="14.25" customHeight="1" s="157">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c r="AA140" s="2" t="n"/>
      <c r="AB140" s="2" t="n"/>
      <c r="AC140" s="2" t="n"/>
      <c r="AD140" s="2" t="n"/>
      <c r="AE140" s="2" t="n"/>
      <c r="AF140" s="2" t="n"/>
      <c r="AG140" s="2" t="n"/>
      <c r="AH140" s="2" t="n"/>
      <c r="AI140" s="2" t="n"/>
      <c r="AJ140" s="2" t="n"/>
      <c r="AK140" s="2" t="n"/>
      <c r="AL140" s="2" t="n"/>
      <c r="AM140" s="2" t="n"/>
      <c r="AN140" s="2" t="n"/>
      <c r="AO140" s="2" t="n"/>
      <c r="AP140" s="2" t="n"/>
      <c r="AQ140" s="2" t="n"/>
      <c r="AR140" s="2" t="n"/>
      <c r="AS140" s="2" t="n"/>
    </row>
    <row r="141" ht="14.25" customHeight="1" s="157">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c r="AA141" s="2" t="n"/>
      <c r="AB141" s="2" t="n"/>
      <c r="AC141" s="2" t="n"/>
      <c r="AD141" s="2" t="n"/>
      <c r="AE141" s="2" t="n"/>
      <c r="AF141" s="2" t="n"/>
      <c r="AG141" s="2" t="n"/>
      <c r="AH141" s="2" t="n"/>
      <c r="AI141" s="2" t="n"/>
      <c r="AJ141" s="2" t="n"/>
      <c r="AK141" s="2" t="n"/>
      <c r="AL141" s="2" t="n"/>
      <c r="AM141" s="2" t="n"/>
      <c r="AN141" s="2" t="n"/>
      <c r="AO141" s="2" t="n"/>
      <c r="AP141" s="2" t="n"/>
      <c r="AQ141" s="2" t="n"/>
      <c r="AR141" s="2" t="n"/>
      <c r="AS141" s="2" t="n"/>
    </row>
    <row r="142" ht="14.25" customHeight="1" s="157">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c r="AA142" s="2" t="n"/>
      <c r="AB142" s="2" t="n"/>
      <c r="AC142" s="2" t="n"/>
      <c r="AD142" s="2" t="n"/>
      <c r="AE142" s="2" t="n"/>
      <c r="AF142" s="2" t="n"/>
      <c r="AG142" s="2" t="n"/>
      <c r="AH142" s="2" t="n"/>
      <c r="AI142" s="2" t="n"/>
      <c r="AJ142" s="2" t="n"/>
      <c r="AK142" s="2" t="n"/>
      <c r="AL142" s="2" t="n"/>
      <c r="AM142" s="2" t="n"/>
      <c r="AN142" s="2" t="n"/>
      <c r="AO142" s="2" t="n"/>
      <c r="AP142" s="2" t="n"/>
      <c r="AQ142" s="2" t="n"/>
      <c r="AR142" s="2" t="n"/>
      <c r="AS142" s="2" t="n"/>
    </row>
    <row r="143" ht="14.25" customHeight="1" s="157">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c r="AA143" s="2" t="n"/>
      <c r="AB143" s="2" t="n"/>
      <c r="AC143" s="2" t="n"/>
      <c r="AD143" s="2" t="n"/>
      <c r="AE143" s="2" t="n"/>
      <c r="AF143" s="2" t="n"/>
      <c r="AG143" s="2" t="n"/>
      <c r="AH143" s="2" t="n"/>
      <c r="AI143" s="2" t="n"/>
      <c r="AJ143" s="2" t="n"/>
      <c r="AK143" s="2" t="n"/>
      <c r="AL143" s="2" t="n"/>
      <c r="AM143" s="2" t="n"/>
      <c r="AN143" s="2" t="n"/>
      <c r="AO143" s="2" t="n"/>
      <c r="AP143" s="2" t="n"/>
      <c r="AQ143" s="2" t="n"/>
      <c r="AR143" s="2" t="n"/>
      <c r="AS143" s="2" t="n"/>
    </row>
    <row r="144" ht="14.25" customHeight="1" s="157">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c r="AA144" s="2" t="n"/>
      <c r="AB144" s="2" t="n"/>
      <c r="AC144" s="2" t="n"/>
      <c r="AD144" s="2" t="n"/>
      <c r="AE144" s="2" t="n"/>
      <c r="AF144" s="2" t="n"/>
      <c r="AG144" s="2" t="n"/>
      <c r="AH144" s="2" t="n"/>
      <c r="AI144" s="2" t="n"/>
      <c r="AJ144" s="2" t="n"/>
      <c r="AK144" s="2" t="n"/>
      <c r="AL144" s="2" t="n"/>
      <c r="AM144" s="2" t="n"/>
      <c r="AN144" s="2" t="n"/>
      <c r="AO144" s="2" t="n"/>
      <c r="AP144" s="2" t="n"/>
      <c r="AQ144" s="2" t="n"/>
      <c r="AR144" s="2" t="n"/>
      <c r="AS144" s="2" t="n"/>
    </row>
    <row r="145" ht="14.25" customHeight="1" s="157">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c r="AA145" s="2" t="n"/>
      <c r="AB145" s="2" t="n"/>
      <c r="AC145" s="2" t="n"/>
      <c r="AD145" s="2" t="n"/>
      <c r="AE145" s="2" t="n"/>
      <c r="AF145" s="2" t="n"/>
      <c r="AG145" s="2" t="n"/>
      <c r="AH145" s="2" t="n"/>
      <c r="AI145" s="2" t="n"/>
      <c r="AJ145" s="2" t="n"/>
      <c r="AK145" s="2" t="n"/>
      <c r="AL145" s="2" t="n"/>
      <c r="AM145" s="2" t="n"/>
      <c r="AN145" s="2" t="n"/>
      <c r="AO145" s="2" t="n"/>
      <c r="AP145" s="2" t="n"/>
      <c r="AQ145" s="2" t="n"/>
      <c r="AR145" s="2" t="n"/>
      <c r="AS145" s="2" t="n"/>
    </row>
    <row r="146" ht="14.25" customHeight="1" s="157">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c r="AA146" s="2" t="n"/>
      <c r="AB146" s="2" t="n"/>
      <c r="AC146" s="2" t="n"/>
      <c r="AD146" s="2" t="n"/>
      <c r="AE146" s="2" t="n"/>
      <c r="AF146" s="2" t="n"/>
      <c r="AG146" s="2" t="n"/>
      <c r="AH146" s="2" t="n"/>
      <c r="AI146" s="2" t="n"/>
      <c r="AJ146" s="2" t="n"/>
      <c r="AK146" s="2" t="n"/>
      <c r="AL146" s="2" t="n"/>
      <c r="AM146" s="2" t="n"/>
      <c r="AN146" s="2" t="n"/>
      <c r="AO146" s="2" t="n"/>
      <c r="AP146" s="2" t="n"/>
      <c r="AQ146" s="2" t="n"/>
      <c r="AR146" s="2" t="n"/>
      <c r="AS146" s="2" t="n"/>
    </row>
    <row r="147" ht="14.25" customHeight="1" s="157">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c r="AA147" s="2" t="n"/>
      <c r="AB147" s="2" t="n"/>
      <c r="AC147" s="2" t="n"/>
      <c r="AD147" s="2" t="n"/>
      <c r="AE147" s="2" t="n"/>
      <c r="AF147" s="2" t="n"/>
      <c r="AG147" s="2" t="n"/>
      <c r="AH147" s="2" t="n"/>
      <c r="AI147" s="2" t="n"/>
      <c r="AJ147" s="2" t="n"/>
      <c r="AK147" s="2" t="n"/>
      <c r="AL147" s="2" t="n"/>
      <c r="AM147" s="2" t="n"/>
      <c r="AN147" s="2" t="n"/>
      <c r="AO147" s="2" t="n"/>
      <c r="AP147" s="2" t="n"/>
      <c r="AQ147" s="2" t="n"/>
      <c r="AR147" s="2" t="n"/>
      <c r="AS147" s="2" t="n"/>
    </row>
    <row r="148" ht="14.25" customHeight="1" s="157">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c r="AA148" s="2" t="n"/>
      <c r="AB148" s="2" t="n"/>
      <c r="AC148" s="2" t="n"/>
      <c r="AD148" s="2" t="n"/>
      <c r="AE148" s="2" t="n"/>
      <c r="AF148" s="2" t="n"/>
      <c r="AG148" s="2" t="n"/>
      <c r="AH148" s="2" t="n"/>
      <c r="AI148" s="2" t="n"/>
      <c r="AJ148" s="2" t="n"/>
      <c r="AK148" s="2" t="n"/>
      <c r="AL148" s="2" t="n"/>
      <c r="AM148" s="2" t="n"/>
      <c r="AN148" s="2" t="n"/>
      <c r="AO148" s="2" t="n"/>
      <c r="AP148" s="2" t="n"/>
      <c r="AQ148" s="2" t="n"/>
      <c r="AR148" s="2" t="n"/>
      <c r="AS148" s="2" t="n"/>
    </row>
    <row r="149" ht="14.25" customHeight="1" s="157">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c r="AA149" s="2" t="n"/>
      <c r="AB149" s="2" t="n"/>
      <c r="AC149" s="2" t="n"/>
      <c r="AD149" s="2" t="n"/>
      <c r="AE149" s="2" t="n"/>
      <c r="AF149" s="2" t="n"/>
      <c r="AG149" s="2" t="n"/>
      <c r="AH149" s="2" t="n"/>
      <c r="AI149" s="2" t="n"/>
      <c r="AJ149" s="2" t="n"/>
      <c r="AK149" s="2" t="n"/>
      <c r="AL149" s="2" t="n"/>
      <c r="AM149" s="2" t="n"/>
      <c r="AN149" s="2" t="n"/>
      <c r="AO149" s="2" t="n"/>
      <c r="AP149" s="2" t="n"/>
      <c r="AQ149" s="2" t="n"/>
      <c r="AR149" s="2" t="n"/>
      <c r="AS149" s="2" t="n"/>
    </row>
    <row r="150" ht="14.25" customHeight="1" s="157">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c r="AA150" s="2" t="n"/>
      <c r="AB150" s="2" t="n"/>
      <c r="AC150" s="2" t="n"/>
      <c r="AD150" s="2" t="n"/>
      <c r="AE150" s="2" t="n"/>
      <c r="AF150" s="2" t="n"/>
      <c r="AG150" s="2" t="n"/>
      <c r="AH150" s="2" t="n"/>
      <c r="AI150" s="2" t="n"/>
      <c r="AJ150" s="2" t="n"/>
      <c r="AK150" s="2" t="n"/>
      <c r="AL150" s="2" t="n"/>
      <c r="AM150" s="2" t="n"/>
      <c r="AN150" s="2" t="n"/>
      <c r="AO150" s="2" t="n"/>
      <c r="AP150" s="2" t="n"/>
      <c r="AQ150" s="2" t="n"/>
      <c r="AR150" s="2" t="n"/>
      <c r="AS150" s="2" t="n"/>
    </row>
    <row r="151" ht="14.25" customHeight="1" s="157">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c r="AA151" s="2" t="n"/>
      <c r="AB151" s="2" t="n"/>
      <c r="AC151" s="2" t="n"/>
      <c r="AD151" s="2" t="n"/>
      <c r="AE151" s="2" t="n"/>
      <c r="AF151" s="2" t="n"/>
      <c r="AG151" s="2" t="n"/>
      <c r="AH151" s="2" t="n"/>
      <c r="AI151" s="2" t="n"/>
      <c r="AJ151" s="2" t="n"/>
      <c r="AK151" s="2" t="n"/>
      <c r="AL151" s="2" t="n"/>
      <c r="AM151" s="2" t="n"/>
      <c r="AN151" s="2" t="n"/>
      <c r="AO151" s="2" t="n"/>
      <c r="AP151" s="2" t="n"/>
      <c r="AQ151" s="2" t="n"/>
      <c r="AR151" s="2" t="n"/>
      <c r="AS151" s="2" t="n"/>
    </row>
    <row r="152" ht="14.25" customHeight="1" s="157">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c r="AA152" s="2" t="n"/>
      <c r="AB152" s="2" t="n"/>
      <c r="AC152" s="2" t="n"/>
      <c r="AD152" s="2" t="n"/>
      <c r="AE152" s="2" t="n"/>
      <c r="AF152" s="2" t="n"/>
      <c r="AG152" s="2" t="n"/>
      <c r="AH152" s="2" t="n"/>
      <c r="AI152" s="2" t="n"/>
      <c r="AJ152" s="2" t="n"/>
      <c r="AK152" s="2" t="n"/>
      <c r="AL152" s="2" t="n"/>
      <c r="AM152" s="2" t="n"/>
      <c r="AN152" s="2" t="n"/>
      <c r="AO152" s="2" t="n"/>
      <c r="AP152" s="2" t="n"/>
      <c r="AQ152" s="2" t="n"/>
      <c r="AR152" s="2" t="n"/>
      <c r="AS152" s="2" t="n"/>
    </row>
    <row r="153" ht="14.25" customHeight="1" s="157">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c r="AA153" s="2" t="n"/>
      <c r="AB153" s="2" t="n"/>
      <c r="AC153" s="2" t="n"/>
      <c r="AD153" s="2" t="n"/>
      <c r="AE153" s="2" t="n"/>
      <c r="AF153" s="2" t="n"/>
      <c r="AG153" s="2" t="n"/>
      <c r="AH153" s="2" t="n"/>
      <c r="AI153" s="2" t="n"/>
      <c r="AJ153" s="2" t="n"/>
      <c r="AK153" s="2" t="n"/>
      <c r="AL153" s="2" t="n"/>
      <c r="AM153" s="2" t="n"/>
      <c r="AN153" s="2" t="n"/>
      <c r="AO153" s="2" t="n"/>
      <c r="AP153" s="2" t="n"/>
      <c r="AQ153" s="2" t="n"/>
      <c r="AR153" s="2" t="n"/>
      <c r="AS153" s="2" t="n"/>
    </row>
    <row r="154" ht="14.25" customHeight="1" s="157">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c r="AA154" s="2" t="n"/>
      <c r="AB154" s="2" t="n"/>
      <c r="AC154" s="2" t="n"/>
      <c r="AD154" s="2" t="n"/>
      <c r="AE154" s="2" t="n"/>
      <c r="AF154" s="2" t="n"/>
      <c r="AG154" s="2" t="n"/>
      <c r="AH154" s="2" t="n"/>
      <c r="AI154" s="2" t="n"/>
      <c r="AJ154" s="2" t="n"/>
      <c r="AK154" s="2" t="n"/>
      <c r="AL154" s="2" t="n"/>
      <c r="AM154" s="2" t="n"/>
      <c r="AN154" s="2" t="n"/>
      <c r="AO154" s="2" t="n"/>
      <c r="AP154" s="2" t="n"/>
      <c r="AQ154" s="2" t="n"/>
      <c r="AR154" s="2" t="n"/>
      <c r="AS154" s="2" t="n"/>
    </row>
    <row r="155" ht="14.25" customHeight="1" s="157">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c r="AA155" s="2" t="n"/>
      <c r="AB155" s="2" t="n"/>
      <c r="AC155" s="2" t="n"/>
      <c r="AD155" s="2" t="n"/>
      <c r="AE155" s="2" t="n"/>
      <c r="AF155" s="2" t="n"/>
      <c r="AG155" s="2" t="n"/>
      <c r="AH155" s="2" t="n"/>
      <c r="AI155" s="2" t="n"/>
      <c r="AJ155" s="2" t="n"/>
      <c r="AK155" s="2" t="n"/>
      <c r="AL155" s="2" t="n"/>
      <c r="AM155" s="2" t="n"/>
      <c r="AN155" s="2" t="n"/>
      <c r="AO155" s="2" t="n"/>
      <c r="AP155" s="2" t="n"/>
      <c r="AQ155" s="2" t="n"/>
      <c r="AR155" s="2" t="n"/>
      <c r="AS155" s="2" t="n"/>
    </row>
    <row r="156" ht="14.25" customHeight="1" s="157">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c r="AA156" s="2" t="n"/>
      <c r="AB156" s="2" t="n"/>
      <c r="AC156" s="2" t="n"/>
      <c r="AD156" s="2" t="n"/>
      <c r="AE156" s="2" t="n"/>
      <c r="AF156" s="2" t="n"/>
      <c r="AG156" s="2" t="n"/>
      <c r="AH156" s="2" t="n"/>
      <c r="AI156" s="2" t="n"/>
      <c r="AJ156" s="2" t="n"/>
      <c r="AK156" s="2" t="n"/>
      <c r="AL156" s="2" t="n"/>
      <c r="AM156" s="2" t="n"/>
      <c r="AN156" s="2" t="n"/>
      <c r="AO156" s="2" t="n"/>
      <c r="AP156" s="2" t="n"/>
      <c r="AQ156" s="2" t="n"/>
      <c r="AR156" s="2" t="n"/>
      <c r="AS156" s="2" t="n"/>
    </row>
    <row r="157" ht="14.25" customHeight="1" s="157">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c r="AA157" s="2" t="n"/>
      <c r="AB157" s="2" t="n"/>
      <c r="AC157" s="2" t="n"/>
      <c r="AD157" s="2" t="n"/>
      <c r="AE157" s="2" t="n"/>
      <c r="AF157" s="2" t="n"/>
      <c r="AG157" s="2" t="n"/>
      <c r="AH157" s="2" t="n"/>
      <c r="AI157" s="2" t="n"/>
      <c r="AJ157" s="2" t="n"/>
      <c r="AK157" s="2" t="n"/>
      <c r="AL157" s="2" t="n"/>
      <c r="AM157" s="2" t="n"/>
      <c r="AN157" s="2" t="n"/>
      <c r="AO157" s="2" t="n"/>
      <c r="AP157" s="2" t="n"/>
      <c r="AQ157" s="2" t="n"/>
      <c r="AR157" s="2" t="n"/>
      <c r="AS157" s="2" t="n"/>
    </row>
    <row r="158" ht="14.25" customHeight="1" s="157">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c r="AA158" s="2" t="n"/>
      <c r="AB158" s="2" t="n"/>
      <c r="AC158" s="2" t="n"/>
      <c r="AD158" s="2" t="n"/>
      <c r="AE158" s="2" t="n"/>
      <c r="AF158" s="2" t="n"/>
      <c r="AG158" s="2" t="n"/>
      <c r="AH158" s="2" t="n"/>
      <c r="AI158" s="2" t="n"/>
      <c r="AJ158" s="2" t="n"/>
      <c r="AK158" s="2" t="n"/>
      <c r="AL158" s="2" t="n"/>
      <c r="AM158" s="2" t="n"/>
      <c r="AN158" s="2" t="n"/>
      <c r="AO158" s="2" t="n"/>
      <c r="AP158" s="2" t="n"/>
      <c r="AQ158" s="2" t="n"/>
      <c r="AR158" s="2" t="n"/>
      <c r="AS158" s="2" t="n"/>
    </row>
    <row r="159" ht="14.25" customHeight="1" s="157">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c r="AA159" s="2" t="n"/>
      <c r="AB159" s="2" t="n"/>
      <c r="AC159" s="2" t="n"/>
      <c r="AD159" s="2" t="n"/>
      <c r="AE159" s="2" t="n"/>
      <c r="AF159" s="2" t="n"/>
      <c r="AG159" s="2" t="n"/>
      <c r="AH159" s="2" t="n"/>
      <c r="AI159" s="2" t="n"/>
      <c r="AJ159" s="2" t="n"/>
      <c r="AK159" s="2" t="n"/>
      <c r="AL159" s="2" t="n"/>
      <c r="AM159" s="2" t="n"/>
      <c r="AN159" s="2" t="n"/>
      <c r="AO159" s="2" t="n"/>
      <c r="AP159" s="2" t="n"/>
      <c r="AQ159" s="2" t="n"/>
      <c r="AR159" s="2" t="n"/>
      <c r="AS159" s="2" t="n"/>
    </row>
    <row r="160" ht="14.25" customHeight="1" s="157">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c r="AA160" s="2" t="n"/>
      <c r="AB160" s="2" t="n"/>
      <c r="AC160" s="2" t="n"/>
      <c r="AD160" s="2" t="n"/>
      <c r="AE160" s="2" t="n"/>
      <c r="AF160" s="2" t="n"/>
      <c r="AG160" s="2" t="n"/>
      <c r="AH160" s="2" t="n"/>
      <c r="AI160" s="2" t="n"/>
      <c r="AJ160" s="2" t="n"/>
      <c r="AK160" s="2" t="n"/>
      <c r="AL160" s="2" t="n"/>
      <c r="AM160" s="2" t="n"/>
      <c r="AN160" s="2" t="n"/>
      <c r="AO160" s="2" t="n"/>
      <c r="AP160" s="2" t="n"/>
      <c r="AQ160" s="2" t="n"/>
      <c r="AR160" s="2" t="n"/>
      <c r="AS160" s="2" t="n"/>
    </row>
    <row r="161" ht="14.25" customHeight="1" s="157">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c r="AA161" s="2" t="n"/>
      <c r="AB161" s="2" t="n"/>
      <c r="AC161" s="2" t="n"/>
      <c r="AD161" s="2" t="n"/>
      <c r="AE161" s="2" t="n"/>
      <c r="AF161" s="2" t="n"/>
      <c r="AG161" s="2" t="n"/>
      <c r="AH161" s="2" t="n"/>
      <c r="AI161" s="2" t="n"/>
      <c r="AJ161" s="2" t="n"/>
      <c r="AK161" s="2" t="n"/>
      <c r="AL161" s="2" t="n"/>
      <c r="AM161" s="2" t="n"/>
      <c r="AN161" s="2" t="n"/>
      <c r="AO161" s="2" t="n"/>
      <c r="AP161" s="2" t="n"/>
      <c r="AQ161" s="2" t="n"/>
      <c r="AR161" s="2" t="n"/>
      <c r="AS161" s="2" t="n"/>
    </row>
    <row r="162" ht="14.25" customHeight="1" s="157">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c r="AA162" s="2" t="n"/>
      <c r="AB162" s="2" t="n"/>
      <c r="AC162" s="2" t="n"/>
      <c r="AD162" s="2" t="n"/>
      <c r="AE162" s="2" t="n"/>
      <c r="AF162" s="2" t="n"/>
      <c r="AG162" s="2" t="n"/>
      <c r="AH162" s="2" t="n"/>
      <c r="AI162" s="2" t="n"/>
      <c r="AJ162" s="2" t="n"/>
      <c r="AK162" s="2" t="n"/>
      <c r="AL162" s="2" t="n"/>
      <c r="AM162" s="2" t="n"/>
      <c r="AN162" s="2" t="n"/>
      <c r="AO162" s="2" t="n"/>
      <c r="AP162" s="2" t="n"/>
      <c r="AQ162" s="2" t="n"/>
      <c r="AR162" s="2" t="n"/>
      <c r="AS162" s="2" t="n"/>
    </row>
    <row r="163" ht="14.25" customHeight="1" s="157">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c r="AA163" s="2" t="n"/>
      <c r="AB163" s="2" t="n"/>
      <c r="AC163" s="2" t="n"/>
      <c r="AD163" s="2" t="n"/>
      <c r="AE163" s="2" t="n"/>
      <c r="AF163" s="2" t="n"/>
      <c r="AG163" s="2" t="n"/>
      <c r="AH163" s="2" t="n"/>
      <c r="AI163" s="2" t="n"/>
      <c r="AJ163" s="2" t="n"/>
      <c r="AK163" s="2" t="n"/>
      <c r="AL163" s="2" t="n"/>
      <c r="AM163" s="2" t="n"/>
      <c r="AN163" s="2" t="n"/>
      <c r="AO163" s="2" t="n"/>
      <c r="AP163" s="2" t="n"/>
      <c r="AQ163" s="2" t="n"/>
      <c r="AR163" s="2" t="n"/>
      <c r="AS163" s="2" t="n"/>
    </row>
    <row r="164" ht="14.25" customHeight="1" s="157">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c r="AA164" s="2" t="n"/>
      <c r="AB164" s="2" t="n"/>
      <c r="AC164" s="2" t="n"/>
      <c r="AD164" s="2" t="n"/>
      <c r="AE164" s="2" t="n"/>
      <c r="AF164" s="2" t="n"/>
      <c r="AG164" s="2" t="n"/>
      <c r="AH164" s="2" t="n"/>
      <c r="AI164" s="2" t="n"/>
      <c r="AJ164" s="2" t="n"/>
      <c r="AK164" s="2" t="n"/>
      <c r="AL164" s="2" t="n"/>
      <c r="AM164" s="2" t="n"/>
      <c r="AN164" s="2" t="n"/>
      <c r="AO164" s="2" t="n"/>
      <c r="AP164" s="2" t="n"/>
      <c r="AQ164" s="2" t="n"/>
      <c r="AR164" s="2" t="n"/>
      <c r="AS164" s="2" t="n"/>
    </row>
    <row r="165" ht="14.25" customHeight="1" s="157">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c r="AA165" s="2" t="n"/>
      <c r="AB165" s="2" t="n"/>
      <c r="AC165" s="2" t="n"/>
      <c r="AD165" s="2" t="n"/>
      <c r="AE165" s="2" t="n"/>
      <c r="AF165" s="2" t="n"/>
      <c r="AG165" s="2" t="n"/>
      <c r="AH165" s="2" t="n"/>
      <c r="AI165" s="2" t="n"/>
      <c r="AJ165" s="2" t="n"/>
      <c r="AK165" s="2" t="n"/>
      <c r="AL165" s="2" t="n"/>
      <c r="AM165" s="2" t="n"/>
      <c r="AN165" s="2" t="n"/>
      <c r="AO165" s="2" t="n"/>
      <c r="AP165" s="2" t="n"/>
      <c r="AQ165" s="2" t="n"/>
      <c r="AR165" s="2" t="n"/>
      <c r="AS165" s="2" t="n"/>
    </row>
    <row r="166" ht="14.25" customHeight="1" s="157">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c r="AA166" s="2" t="n"/>
      <c r="AB166" s="2" t="n"/>
      <c r="AC166" s="2" t="n"/>
      <c r="AD166" s="2" t="n"/>
      <c r="AE166" s="2" t="n"/>
      <c r="AF166" s="2" t="n"/>
      <c r="AG166" s="2" t="n"/>
      <c r="AH166" s="2" t="n"/>
      <c r="AI166" s="2" t="n"/>
      <c r="AJ166" s="2" t="n"/>
      <c r="AK166" s="2" t="n"/>
      <c r="AL166" s="2" t="n"/>
      <c r="AM166" s="2" t="n"/>
      <c r="AN166" s="2" t="n"/>
      <c r="AO166" s="2" t="n"/>
      <c r="AP166" s="2" t="n"/>
      <c r="AQ166" s="2" t="n"/>
      <c r="AR166" s="2" t="n"/>
      <c r="AS166" s="2" t="n"/>
    </row>
    <row r="167" ht="14.25" customHeight="1" s="157">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c r="AA167" s="2" t="n"/>
      <c r="AB167" s="2" t="n"/>
      <c r="AC167" s="2" t="n"/>
      <c r="AD167" s="2" t="n"/>
      <c r="AE167" s="2" t="n"/>
      <c r="AF167" s="2" t="n"/>
      <c r="AG167" s="2" t="n"/>
      <c r="AH167" s="2" t="n"/>
      <c r="AI167" s="2" t="n"/>
      <c r="AJ167" s="2" t="n"/>
      <c r="AK167" s="2" t="n"/>
      <c r="AL167" s="2" t="n"/>
      <c r="AM167" s="2" t="n"/>
      <c r="AN167" s="2" t="n"/>
      <c r="AO167" s="2" t="n"/>
      <c r="AP167" s="2" t="n"/>
      <c r="AQ167" s="2" t="n"/>
      <c r="AR167" s="2" t="n"/>
      <c r="AS167" s="2" t="n"/>
    </row>
    <row r="168" ht="14.25" customHeight="1" s="157">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c r="AA168" s="2" t="n"/>
      <c r="AB168" s="2" t="n"/>
      <c r="AC168" s="2" t="n"/>
      <c r="AD168" s="2" t="n"/>
      <c r="AE168" s="2" t="n"/>
      <c r="AF168" s="2" t="n"/>
      <c r="AG168" s="2" t="n"/>
      <c r="AH168" s="2" t="n"/>
      <c r="AI168" s="2" t="n"/>
      <c r="AJ168" s="2" t="n"/>
      <c r="AK168" s="2" t="n"/>
      <c r="AL168" s="2" t="n"/>
      <c r="AM168" s="2" t="n"/>
      <c r="AN168" s="2" t="n"/>
      <c r="AO168" s="2" t="n"/>
      <c r="AP168" s="2" t="n"/>
      <c r="AQ168" s="2" t="n"/>
      <c r="AR168" s="2" t="n"/>
      <c r="AS168" s="2" t="n"/>
    </row>
    <row r="169" ht="14.25" customHeight="1" s="157">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c r="AA169" s="2" t="n"/>
      <c r="AB169" s="2" t="n"/>
      <c r="AC169" s="2" t="n"/>
      <c r="AD169" s="2" t="n"/>
      <c r="AE169" s="2" t="n"/>
      <c r="AF169" s="2" t="n"/>
      <c r="AG169" s="2" t="n"/>
      <c r="AH169" s="2" t="n"/>
      <c r="AI169" s="2" t="n"/>
      <c r="AJ169" s="2" t="n"/>
      <c r="AK169" s="2" t="n"/>
      <c r="AL169" s="2" t="n"/>
      <c r="AM169" s="2" t="n"/>
      <c r="AN169" s="2" t="n"/>
      <c r="AO169" s="2" t="n"/>
      <c r="AP169" s="2" t="n"/>
      <c r="AQ169" s="2" t="n"/>
      <c r="AR169" s="2" t="n"/>
      <c r="AS169" s="2" t="n"/>
    </row>
    <row r="170" ht="14.25" customHeight="1" s="157">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c r="AA170" s="2" t="n"/>
      <c r="AB170" s="2" t="n"/>
      <c r="AC170" s="2" t="n"/>
      <c r="AD170" s="2" t="n"/>
      <c r="AE170" s="2" t="n"/>
      <c r="AF170" s="2" t="n"/>
      <c r="AG170" s="2" t="n"/>
      <c r="AH170" s="2" t="n"/>
      <c r="AI170" s="2" t="n"/>
      <c r="AJ170" s="2" t="n"/>
      <c r="AK170" s="2" t="n"/>
      <c r="AL170" s="2" t="n"/>
      <c r="AM170" s="2" t="n"/>
      <c r="AN170" s="2" t="n"/>
      <c r="AO170" s="2" t="n"/>
      <c r="AP170" s="2" t="n"/>
      <c r="AQ170" s="2" t="n"/>
      <c r="AR170" s="2" t="n"/>
      <c r="AS170" s="2" t="n"/>
    </row>
    <row r="171" ht="14.25" customHeight="1" s="157">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c r="AA171" s="2" t="n"/>
      <c r="AB171" s="2" t="n"/>
      <c r="AC171" s="2" t="n"/>
      <c r="AD171" s="2" t="n"/>
      <c r="AE171" s="2" t="n"/>
      <c r="AF171" s="2" t="n"/>
      <c r="AG171" s="2" t="n"/>
      <c r="AH171" s="2" t="n"/>
      <c r="AI171" s="2" t="n"/>
      <c r="AJ171" s="2" t="n"/>
      <c r="AK171" s="2" t="n"/>
      <c r="AL171" s="2" t="n"/>
      <c r="AM171" s="2" t="n"/>
      <c r="AN171" s="2" t="n"/>
      <c r="AO171" s="2" t="n"/>
      <c r="AP171" s="2" t="n"/>
      <c r="AQ171" s="2" t="n"/>
      <c r="AR171" s="2" t="n"/>
      <c r="AS171" s="2" t="n"/>
    </row>
    <row r="172" ht="14.25" customHeight="1" s="157">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c r="AA172" s="2" t="n"/>
      <c r="AB172" s="2" t="n"/>
      <c r="AC172" s="2" t="n"/>
      <c r="AD172" s="2" t="n"/>
      <c r="AE172" s="2" t="n"/>
      <c r="AF172" s="2" t="n"/>
      <c r="AG172" s="2" t="n"/>
      <c r="AH172" s="2" t="n"/>
      <c r="AI172" s="2" t="n"/>
      <c r="AJ172" s="2" t="n"/>
      <c r="AK172" s="2" t="n"/>
      <c r="AL172" s="2" t="n"/>
      <c r="AM172" s="2" t="n"/>
      <c r="AN172" s="2" t="n"/>
      <c r="AO172" s="2" t="n"/>
      <c r="AP172" s="2" t="n"/>
      <c r="AQ172" s="2" t="n"/>
      <c r="AR172" s="2" t="n"/>
      <c r="AS172" s="2" t="n"/>
    </row>
    <row r="173" ht="14.25" customHeight="1" s="157">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c r="AA173" s="2" t="n"/>
      <c r="AB173" s="2" t="n"/>
      <c r="AC173" s="2" t="n"/>
      <c r="AD173" s="2" t="n"/>
      <c r="AE173" s="2" t="n"/>
      <c r="AF173" s="2" t="n"/>
      <c r="AG173" s="2" t="n"/>
      <c r="AH173" s="2" t="n"/>
      <c r="AI173" s="2" t="n"/>
      <c r="AJ173" s="2" t="n"/>
      <c r="AK173" s="2" t="n"/>
      <c r="AL173" s="2" t="n"/>
      <c r="AM173" s="2" t="n"/>
      <c r="AN173" s="2" t="n"/>
      <c r="AO173" s="2" t="n"/>
      <c r="AP173" s="2" t="n"/>
      <c r="AQ173" s="2" t="n"/>
      <c r="AR173" s="2" t="n"/>
      <c r="AS173" s="2" t="n"/>
    </row>
    <row r="174" ht="14.25" customHeight="1" s="157">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c r="AA174" s="2" t="n"/>
      <c r="AB174" s="2" t="n"/>
      <c r="AC174" s="2" t="n"/>
      <c r="AD174" s="2" t="n"/>
      <c r="AE174" s="2" t="n"/>
      <c r="AF174" s="2" t="n"/>
      <c r="AG174" s="2" t="n"/>
      <c r="AH174" s="2" t="n"/>
      <c r="AI174" s="2" t="n"/>
      <c r="AJ174" s="2" t="n"/>
      <c r="AK174" s="2" t="n"/>
      <c r="AL174" s="2" t="n"/>
      <c r="AM174" s="2" t="n"/>
      <c r="AN174" s="2" t="n"/>
      <c r="AO174" s="2" t="n"/>
      <c r="AP174" s="2" t="n"/>
      <c r="AQ174" s="2" t="n"/>
      <c r="AR174" s="2" t="n"/>
      <c r="AS174" s="2" t="n"/>
    </row>
    <row r="175" ht="14.25" customHeight="1" s="157">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c r="AA175" s="2" t="n"/>
      <c r="AB175" s="2" t="n"/>
      <c r="AC175" s="2" t="n"/>
      <c r="AD175" s="2" t="n"/>
      <c r="AE175" s="2" t="n"/>
      <c r="AF175" s="2" t="n"/>
      <c r="AG175" s="2" t="n"/>
      <c r="AH175" s="2" t="n"/>
      <c r="AI175" s="2" t="n"/>
      <c r="AJ175" s="2" t="n"/>
      <c r="AK175" s="2" t="n"/>
      <c r="AL175" s="2" t="n"/>
      <c r="AM175" s="2" t="n"/>
      <c r="AN175" s="2" t="n"/>
      <c r="AO175" s="2" t="n"/>
      <c r="AP175" s="2" t="n"/>
      <c r="AQ175" s="2" t="n"/>
      <c r="AR175" s="2" t="n"/>
      <c r="AS175" s="2" t="n"/>
    </row>
    <row r="176" ht="14.25" customHeight="1" s="157">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c r="AA176" s="2" t="n"/>
      <c r="AB176" s="2" t="n"/>
      <c r="AC176" s="2" t="n"/>
      <c r="AD176" s="2" t="n"/>
      <c r="AE176" s="2" t="n"/>
      <c r="AF176" s="2" t="n"/>
      <c r="AG176" s="2" t="n"/>
      <c r="AH176" s="2" t="n"/>
      <c r="AI176" s="2" t="n"/>
      <c r="AJ176" s="2" t="n"/>
      <c r="AK176" s="2" t="n"/>
      <c r="AL176" s="2" t="n"/>
      <c r="AM176" s="2" t="n"/>
      <c r="AN176" s="2" t="n"/>
      <c r="AO176" s="2" t="n"/>
      <c r="AP176" s="2" t="n"/>
      <c r="AQ176" s="2" t="n"/>
      <c r="AR176" s="2" t="n"/>
      <c r="AS176" s="2" t="n"/>
    </row>
    <row r="177" ht="14.25" customHeight="1" s="157">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c r="AA177" s="2" t="n"/>
      <c r="AB177" s="2" t="n"/>
      <c r="AC177" s="2" t="n"/>
      <c r="AD177" s="2" t="n"/>
      <c r="AE177" s="2" t="n"/>
      <c r="AF177" s="2" t="n"/>
      <c r="AG177" s="2" t="n"/>
      <c r="AH177" s="2" t="n"/>
      <c r="AI177" s="2" t="n"/>
      <c r="AJ177" s="2" t="n"/>
      <c r="AK177" s="2" t="n"/>
      <c r="AL177" s="2" t="n"/>
      <c r="AM177" s="2" t="n"/>
      <c r="AN177" s="2" t="n"/>
      <c r="AO177" s="2" t="n"/>
      <c r="AP177" s="2" t="n"/>
      <c r="AQ177" s="2" t="n"/>
      <c r="AR177" s="2" t="n"/>
      <c r="AS177" s="2" t="n"/>
    </row>
    <row r="178" ht="14.25" customHeight="1" s="157">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c r="AA178" s="2" t="n"/>
      <c r="AB178" s="2" t="n"/>
      <c r="AC178" s="2" t="n"/>
      <c r="AD178" s="2" t="n"/>
      <c r="AE178" s="2" t="n"/>
      <c r="AF178" s="2" t="n"/>
      <c r="AG178" s="2" t="n"/>
      <c r="AH178" s="2" t="n"/>
      <c r="AI178" s="2" t="n"/>
      <c r="AJ178" s="2" t="n"/>
      <c r="AK178" s="2" t="n"/>
      <c r="AL178" s="2" t="n"/>
      <c r="AM178" s="2" t="n"/>
      <c r="AN178" s="2" t="n"/>
      <c r="AO178" s="2" t="n"/>
      <c r="AP178" s="2" t="n"/>
      <c r="AQ178" s="2" t="n"/>
      <c r="AR178" s="2" t="n"/>
      <c r="AS178" s="2" t="n"/>
    </row>
    <row r="179" ht="14.25" customHeight="1" s="157">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c r="AA179" s="2" t="n"/>
      <c r="AB179" s="2" t="n"/>
      <c r="AC179" s="2" t="n"/>
      <c r="AD179" s="2" t="n"/>
      <c r="AE179" s="2" t="n"/>
      <c r="AF179" s="2" t="n"/>
      <c r="AG179" s="2" t="n"/>
      <c r="AH179" s="2" t="n"/>
      <c r="AI179" s="2" t="n"/>
      <c r="AJ179" s="2" t="n"/>
      <c r="AK179" s="2" t="n"/>
      <c r="AL179" s="2" t="n"/>
      <c r="AM179" s="2" t="n"/>
      <c r="AN179" s="2" t="n"/>
      <c r="AO179" s="2" t="n"/>
      <c r="AP179" s="2" t="n"/>
      <c r="AQ179" s="2" t="n"/>
      <c r="AR179" s="2" t="n"/>
      <c r="AS179" s="2" t="n"/>
    </row>
    <row r="180" ht="14.25" customHeight="1" s="157">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c r="AA180" s="2" t="n"/>
      <c r="AB180" s="2" t="n"/>
      <c r="AC180" s="2" t="n"/>
      <c r="AD180" s="2" t="n"/>
      <c r="AE180" s="2" t="n"/>
      <c r="AF180" s="2" t="n"/>
      <c r="AG180" s="2" t="n"/>
      <c r="AH180" s="2" t="n"/>
      <c r="AI180" s="2" t="n"/>
      <c r="AJ180" s="2" t="n"/>
      <c r="AK180" s="2" t="n"/>
      <c r="AL180" s="2" t="n"/>
      <c r="AM180" s="2" t="n"/>
      <c r="AN180" s="2" t="n"/>
      <c r="AO180" s="2" t="n"/>
      <c r="AP180" s="2" t="n"/>
      <c r="AQ180" s="2" t="n"/>
      <c r="AR180" s="2" t="n"/>
      <c r="AS180" s="2" t="n"/>
    </row>
    <row r="181" ht="14.25" customHeight="1" s="157">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c r="AA181" s="2" t="n"/>
      <c r="AB181" s="2" t="n"/>
      <c r="AC181" s="2" t="n"/>
      <c r="AD181" s="2" t="n"/>
      <c r="AE181" s="2" t="n"/>
      <c r="AF181" s="2" t="n"/>
      <c r="AG181" s="2" t="n"/>
      <c r="AH181" s="2" t="n"/>
      <c r="AI181" s="2" t="n"/>
      <c r="AJ181" s="2" t="n"/>
      <c r="AK181" s="2" t="n"/>
      <c r="AL181" s="2" t="n"/>
      <c r="AM181" s="2" t="n"/>
      <c r="AN181" s="2" t="n"/>
      <c r="AO181" s="2" t="n"/>
      <c r="AP181" s="2" t="n"/>
      <c r="AQ181" s="2" t="n"/>
      <c r="AR181" s="2" t="n"/>
      <c r="AS181" s="2" t="n"/>
    </row>
    <row r="182" ht="14.25" customHeight="1" s="157">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c r="AA182" s="2" t="n"/>
      <c r="AB182" s="2" t="n"/>
      <c r="AC182" s="2" t="n"/>
      <c r="AD182" s="2" t="n"/>
      <c r="AE182" s="2" t="n"/>
      <c r="AF182" s="2" t="n"/>
      <c r="AG182" s="2" t="n"/>
      <c r="AH182" s="2" t="n"/>
      <c r="AI182" s="2" t="n"/>
      <c r="AJ182" s="2" t="n"/>
      <c r="AK182" s="2" t="n"/>
      <c r="AL182" s="2" t="n"/>
      <c r="AM182" s="2" t="n"/>
      <c r="AN182" s="2" t="n"/>
      <c r="AO182" s="2" t="n"/>
      <c r="AP182" s="2" t="n"/>
      <c r="AQ182" s="2" t="n"/>
      <c r="AR182" s="2" t="n"/>
      <c r="AS182" s="2" t="n"/>
    </row>
    <row r="183" ht="14.25" customHeight="1" s="157">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c r="AA183" s="2" t="n"/>
      <c r="AB183" s="2" t="n"/>
      <c r="AC183" s="2" t="n"/>
      <c r="AD183" s="2" t="n"/>
      <c r="AE183" s="2" t="n"/>
      <c r="AF183" s="2" t="n"/>
      <c r="AG183" s="2" t="n"/>
      <c r="AH183" s="2" t="n"/>
      <c r="AI183" s="2" t="n"/>
      <c r="AJ183" s="2" t="n"/>
      <c r="AK183" s="2" t="n"/>
      <c r="AL183" s="2" t="n"/>
      <c r="AM183" s="2" t="n"/>
      <c r="AN183" s="2" t="n"/>
      <c r="AO183" s="2" t="n"/>
      <c r="AP183" s="2" t="n"/>
      <c r="AQ183" s="2" t="n"/>
      <c r="AR183" s="2" t="n"/>
      <c r="AS183" s="2" t="n"/>
    </row>
    <row r="184" ht="14.25" customHeight="1" s="157">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c r="AA184" s="2" t="n"/>
      <c r="AB184" s="2" t="n"/>
      <c r="AC184" s="2" t="n"/>
      <c r="AD184" s="2" t="n"/>
      <c r="AE184" s="2" t="n"/>
      <c r="AF184" s="2" t="n"/>
      <c r="AG184" s="2" t="n"/>
      <c r="AH184" s="2" t="n"/>
      <c r="AI184" s="2" t="n"/>
      <c r="AJ184" s="2" t="n"/>
      <c r="AK184" s="2" t="n"/>
      <c r="AL184" s="2" t="n"/>
      <c r="AM184" s="2" t="n"/>
      <c r="AN184" s="2" t="n"/>
      <c r="AO184" s="2" t="n"/>
      <c r="AP184" s="2" t="n"/>
      <c r="AQ184" s="2" t="n"/>
      <c r="AR184" s="2" t="n"/>
      <c r="AS184" s="2" t="n"/>
    </row>
    <row r="185" ht="14.25" customHeight="1" s="157">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c r="AA185" s="2" t="n"/>
      <c r="AB185" s="2" t="n"/>
      <c r="AC185" s="2" t="n"/>
      <c r="AD185" s="2" t="n"/>
      <c r="AE185" s="2" t="n"/>
      <c r="AF185" s="2" t="n"/>
      <c r="AG185" s="2" t="n"/>
      <c r="AH185" s="2" t="n"/>
      <c r="AI185" s="2" t="n"/>
      <c r="AJ185" s="2" t="n"/>
      <c r="AK185" s="2" t="n"/>
      <c r="AL185" s="2" t="n"/>
      <c r="AM185" s="2" t="n"/>
      <c r="AN185" s="2" t="n"/>
      <c r="AO185" s="2" t="n"/>
      <c r="AP185" s="2" t="n"/>
      <c r="AQ185" s="2" t="n"/>
      <c r="AR185" s="2" t="n"/>
      <c r="AS185" s="2" t="n"/>
    </row>
    <row r="186" ht="14.25" customHeight="1" s="157">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c r="AA186" s="2" t="n"/>
      <c r="AB186" s="2" t="n"/>
      <c r="AC186" s="2" t="n"/>
      <c r="AD186" s="2" t="n"/>
      <c r="AE186" s="2" t="n"/>
      <c r="AF186" s="2" t="n"/>
      <c r="AG186" s="2" t="n"/>
      <c r="AH186" s="2" t="n"/>
      <c r="AI186" s="2" t="n"/>
      <c r="AJ186" s="2" t="n"/>
      <c r="AK186" s="2" t="n"/>
      <c r="AL186" s="2" t="n"/>
      <c r="AM186" s="2" t="n"/>
      <c r="AN186" s="2" t="n"/>
      <c r="AO186" s="2" t="n"/>
      <c r="AP186" s="2" t="n"/>
      <c r="AQ186" s="2" t="n"/>
      <c r="AR186" s="2" t="n"/>
      <c r="AS186" s="2" t="n"/>
    </row>
    <row r="187" ht="14.25" customHeight="1" s="157">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c r="AA187" s="2" t="n"/>
      <c r="AB187" s="2" t="n"/>
      <c r="AC187" s="2" t="n"/>
      <c r="AD187" s="2" t="n"/>
      <c r="AE187" s="2" t="n"/>
      <c r="AF187" s="2" t="n"/>
      <c r="AG187" s="2" t="n"/>
      <c r="AH187" s="2" t="n"/>
      <c r="AI187" s="2" t="n"/>
      <c r="AJ187" s="2" t="n"/>
      <c r="AK187" s="2" t="n"/>
      <c r="AL187" s="2" t="n"/>
      <c r="AM187" s="2" t="n"/>
      <c r="AN187" s="2" t="n"/>
      <c r="AO187" s="2" t="n"/>
      <c r="AP187" s="2" t="n"/>
      <c r="AQ187" s="2" t="n"/>
      <c r="AR187" s="2" t="n"/>
      <c r="AS187" s="2" t="n"/>
    </row>
    <row r="188" ht="14.25" customHeight="1" s="157">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c r="AA188" s="2" t="n"/>
      <c r="AB188" s="2" t="n"/>
      <c r="AC188" s="2" t="n"/>
      <c r="AD188" s="2" t="n"/>
      <c r="AE188" s="2" t="n"/>
      <c r="AF188" s="2" t="n"/>
      <c r="AG188" s="2" t="n"/>
      <c r="AH188" s="2" t="n"/>
      <c r="AI188" s="2" t="n"/>
      <c r="AJ188" s="2" t="n"/>
      <c r="AK188" s="2" t="n"/>
      <c r="AL188" s="2" t="n"/>
      <c r="AM188" s="2" t="n"/>
      <c r="AN188" s="2" t="n"/>
      <c r="AO188" s="2" t="n"/>
      <c r="AP188" s="2" t="n"/>
      <c r="AQ188" s="2" t="n"/>
      <c r="AR188" s="2" t="n"/>
      <c r="AS188" s="2" t="n"/>
    </row>
    <row r="189" ht="14.25" customHeight="1" s="157">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c r="AA189" s="2" t="n"/>
      <c r="AB189" s="2" t="n"/>
      <c r="AC189" s="2" t="n"/>
      <c r="AD189" s="2" t="n"/>
      <c r="AE189" s="2" t="n"/>
      <c r="AF189" s="2" t="n"/>
      <c r="AG189" s="2" t="n"/>
      <c r="AH189" s="2" t="n"/>
      <c r="AI189" s="2" t="n"/>
      <c r="AJ189" s="2" t="n"/>
      <c r="AK189" s="2" t="n"/>
      <c r="AL189" s="2" t="n"/>
      <c r="AM189" s="2" t="n"/>
      <c r="AN189" s="2" t="n"/>
      <c r="AO189" s="2" t="n"/>
      <c r="AP189" s="2" t="n"/>
      <c r="AQ189" s="2" t="n"/>
      <c r="AR189" s="2" t="n"/>
      <c r="AS189" s="2" t="n"/>
    </row>
    <row r="190" ht="14.25" customHeight="1" s="157">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c r="AA190" s="2" t="n"/>
      <c r="AB190" s="2" t="n"/>
      <c r="AC190" s="2" t="n"/>
      <c r="AD190" s="2" t="n"/>
      <c r="AE190" s="2" t="n"/>
      <c r="AF190" s="2" t="n"/>
      <c r="AG190" s="2" t="n"/>
      <c r="AH190" s="2" t="n"/>
      <c r="AI190" s="2" t="n"/>
      <c r="AJ190" s="2" t="n"/>
      <c r="AK190" s="2" t="n"/>
      <c r="AL190" s="2" t="n"/>
      <c r="AM190" s="2" t="n"/>
      <c r="AN190" s="2" t="n"/>
      <c r="AO190" s="2" t="n"/>
      <c r="AP190" s="2" t="n"/>
      <c r="AQ190" s="2" t="n"/>
      <c r="AR190" s="2" t="n"/>
      <c r="AS190" s="2" t="n"/>
    </row>
    <row r="191" ht="14.25" customHeight="1" s="157">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c r="AA191" s="2" t="n"/>
      <c r="AB191" s="2" t="n"/>
      <c r="AC191" s="2" t="n"/>
      <c r="AD191" s="2" t="n"/>
      <c r="AE191" s="2" t="n"/>
      <c r="AF191" s="2" t="n"/>
      <c r="AG191" s="2" t="n"/>
      <c r="AH191" s="2" t="n"/>
      <c r="AI191" s="2" t="n"/>
      <c r="AJ191" s="2" t="n"/>
      <c r="AK191" s="2" t="n"/>
      <c r="AL191" s="2" t="n"/>
      <c r="AM191" s="2" t="n"/>
      <c r="AN191" s="2" t="n"/>
      <c r="AO191" s="2" t="n"/>
      <c r="AP191" s="2" t="n"/>
      <c r="AQ191" s="2" t="n"/>
      <c r="AR191" s="2" t="n"/>
      <c r="AS191" s="2" t="n"/>
    </row>
    <row r="192" ht="14.25" customHeight="1" s="157">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c r="AA192" s="2" t="n"/>
      <c r="AB192" s="2" t="n"/>
      <c r="AC192" s="2" t="n"/>
      <c r="AD192" s="2" t="n"/>
      <c r="AE192" s="2" t="n"/>
      <c r="AF192" s="2" t="n"/>
      <c r="AG192" s="2" t="n"/>
      <c r="AH192" s="2" t="n"/>
      <c r="AI192" s="2" t="n"/>
      <c r="AJ192" s="2" t="n"/>
      <c r="AK192" s="2" t="n"/>
      <c r="AL192" s="2" t="n"/>
      <c r="AM192" s="2" t="n"/>
      <c r="AN192" s="2" t="n"/>
      <c r="AO192" s="2" t="n"/>
      <c r="AP192" s="2" t="n"/>
      <c r="AQ192" s="2" t="n"/>
      <c r="AR192" s="2" t="n"/>
      <c r="AS192" s="2" t="n"/>
    </row>
    <row r="193" ht="14.25" customHeight="1" s="157">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c r="AA193" s="2" t="n"/>
      <c r="AB193" s="2" t="n"/>
      <c r="AC193" s="2" t="n"/>
      <c r="AD193" s="2" t="n"/>
      <c r="AE193" s="2" t="n"/>
      <c r="AF193" s="2" t="n"/>
      <c r="AG193" s="2" t="n"/>
      <c r="AH193" s="2" t="n"/>
      <c r="AI193" s="2" t="n"/>
      <c r="AJ193" s="2" t="n"/>
      <c r="AK193" s="2" t="n"/>
      <c r="AL193" s="2" t="n"/>
      <c r="AM193" s="2" t="n"/>
      <c r="AN193" s="2" t="n"/>
      <c r="AO193" s="2" t="n"/>
      <c r="AP193" s="2" t="n"/>
      <c r="AQ193" s="2" t="n"/>
      <c r="AR193" s="2" t="n"/>
      <c r="AS193" s="2" t="n"/>
    </row>
    <row r="194" ht="14.25" customHeight="1" s="157">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c r="AA194" s="2" t="n"/>
      <c r="AB194" s="2" t="n"/>
      <c r="AC194" s="2" t="n"/>
      <c r="AD194" s="2" t="n"/>
      <c r="AE194" s="2" t="n"/>
      <c r="AF194" s="2" t="n"/>
      <c r="AG194" s="2" t="n"/>
      <c r="AH194" s="2" t="n"/>
      <c r="AI194" s="2" t="n"/>
      <c r="AJ194" s="2" t="n"/>
      <c r="AK194" s="2" t="n"/>
      <c r="AL194" s="2" t="n"/>
      <c r="AM194" s="2" t="n"/>
      <c r="AN194" s="2" t="n"/>
      <c r="AO194" s="2" t="n"/>
      <c r="AP194" s="2" t="n"/>
      <c r="AQ194" s="2" t="n"/>
      <c r="AR194" s="2" t="n"/>
      <c r="AS194" s="2" t="n"/>
    </row>
    <row r="195" ht="14.25" customHeight="1" s="157">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c r="AA195" s="2" t="n"/>
      <c r="AB195" s="2" t="n"/>
      <c r="AC195" s="2" t="n"/>
      <c r="AD195" s="2" t="n"/>
      <c r="AE195" s="2" t="n"/>
      <c r="AF195" s="2" t="n"/>
      <c r="AG195" s="2" t="n"/>
      <c r="AH195" s="2" t="n"/>
      <c r="AI195" s="2" t="n"/>
      <c r="AJ195" s="2" t="n"/>
      <c r="AK195" s="2" t="n"/>
      <c r="AL195" s="2" t="n"/>
      <c r="AM195" s="2" t="n"/>
      <c r="AN195" s="2" t="n"/>
      <c r="AO195" s="2" t="n"/>
      <c r="AP195" s="2" t="n"/>
      <c r="AQ195" s="2" t="n"/>
      <c r="AR195" s="2" t="n"/>
      <c r="AS195" s="2" t="n"/>
    </row>
    <row r="196" ht="14.25" customHeight="1" s="157">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c r="AA196" s="2" t="n"/>
      <c r="AB196" s="2" t="n"/>
      <c r="AC196" s="2" t="n"/>
      <c r="AD196" s="2" t="n"/>
      <c r="AE196" s="2" t="n"/>
      <c r="AF196" s="2" t="n"/>
      <c r="AG196" s="2" t="n"/>
      <c r="AH196" s="2" t="n"/>
      <c r="AI196" s="2" t="n"/>
      <c r="AJ196" s="2" t="n"/>
      <c r="AK196" s="2" t="n"/>
      <c r="AL196" s="2" t="n"/>
      <c r="AM196" s="2" t="n"/>
      <c r="AN196" s="2" t="n"/>
      <c r="AO196" s="2" t="n"/>
      <c r="AP196" s="2" t="n"/>
      <c r="AQ196" s="2" t="n"/>
      <c r="AR196" s="2" t="n"/>
      <c r="AS196" s="2" t="n"/>
    </row>
    <row r="197" ht="14.25" customHeight="1" s="157">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c r="AA197" s="2" t="n"/>
      <c r="AB197" s="2" t="n"/>
      <c r="AC197" s="2" t="n"/>
      <c r="AD197" s="2" t="n"/>
      <c r="AE197" s="2" t="n"/>
      <c r="AF197" s="2" t="n"/>
      <c r="AG197" s="2" t="n"/>
      <c r="AH197" s="2" t="n"/>
      <c r="AI197" s="2" t="n"/>
      <c r="AJ197" s="2" t="n"/>
      <c r="AK197" s="2" t="n"/>
      <c r="AL197" s="2" t="n"/>
      <c r="AM197" s="2" t="n"/>
      <c r="AN197" s="2" t="n"/>
      <c r="AO197" s="2" t="n"/>
      <c r="AP197" s="2" t="n"/>
      <c r="AQ197" s="2" t="n"/>
      <c r="AR197" s="2" t="n"/>
      <c r="AS197" s="2" t="n"/>
    </row>
    <row r="198" ht="14.25" customHeight="1" s="157">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c r="AA198" s="2" t="n"/>
      <c r="AB198" s="2" t="n"/>
      <c r="AC198" s="2" t="n"/>
      <c r="AD198" s="2" t="n"/>
      <c r="AE198" s="2" t="n"/>
      <c r="AF198" s="2" t="n"/>
      <c r="AG198" s="2" t="n"/>
      <c r="AH198" s="2" t="n"/>
      <c r="AI198" s="2" t="n"/>
      <c r="AJ198" s="2" t="n"/>
      <c r="AK198" s="2" t="n"/>
      <c r="AL198" s="2" t="n"/>
      <c r="AM198" s="2" t="n"/>
      <c r="AN198" s="2" t="n"/>
      <c r="AO198" s="2" t="n"/>
      <c r="AP198" s="2" t="n"/>
      <c r="AQ198" s="2" t="n"/>
      <c r="AR198" s="2" t="n"/>
      <c r="AS198" s="2" t="n"/>
    </row>
    <row r="199" ht="14.25" customHeight="1" s="157">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c r="AA199" s="2" t="n"/>
      <c r="AB199" s="2" t="n"/>
      <c r="AC199" s="2" t="n"/>
      <c r="AD199" s="2" t="n"/>
      <c r="AE199" s="2" t="n"/>
      <c r="AF199" s="2" t="n"/>
      <c r="AG199" s="2" t="n"/>
      <c r="AH199" s="2" t="n"/>
      <c r="AI199" s="2" t="n"/>
      <c r="AJ199" s="2" t="n"/>
      <c r="AK199" s="2" t="n"/>
      <c r="AL199" s="2" t="n"/>
      <c r="AM199" s="2" t="n"/>
      <c r="AN199" s="2" t="n"/>
      <c r="AO199" s="2" t="n"/>
      <c r="AP199" s="2" t="n"/>
      <c r="AQ199" s="2" t="n"/>
      <c r="AR199" s="2" t="n"/>
      <c r="AS199" s="2" t="n"/>
    </row>
    <row r="200" ht="14.25" customHeight="1" s="157">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c r="AA200" s="2" t="n"/>
      <c r="AB200" s="2" t="n"/>
      <c r="AC200" s="2" t="n"/>
      <c r="AD200" s="2" t="n"/>
      <c r="AE200" s="2" t="n"/>
      <c r="AF200" s="2" t="n"/>
      <c r="AG200" s="2" t="n"/>
      <c r="AH200" s="2" t="n"/>
      <c r="AI200" s="2" t="n"/>
      <c r="AJ200" s="2" t="n"/>
      <c r="AK200" s="2" t="n"/>
      <c r="AL200" s="2" t="n"/>
      <c r="AM200" s="2" t="n"/>
      <c r="AN200" s="2" t="n"/>
      <c r="AO200" s="2" t="n"/>
      <c r="AP200" s="2" t="n"/>
      <c r="AQ200" s="2" t="n"/>
      <c r="AR200" s="2" t="n"/>
      <c r="AS200" s="2" t="n"/>
    </row>
    <row r="201" ht="14.25" customHeight="1" s="157">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c r="AA201" s="2" t="n"/>
      <c r="AB201" s="2" t="n"/>
      <c r="AC201" s="2" t="n"/>
      <c r="AD201" s="2" t="n"/>
      <c r="AE201" s="2" t="n"/>
      <c r="AF201" s="2" t="n"/>
      <c r="AG201" s="2" t="n"/>
      <c r="AH201" s="2" t="n"/>
      <c r="AI201" s="2" t="n"/>
      <c r="AJ201" s="2" t="n"/>
      <c r="AK201" s="2" t="n"/>
      <c r="AL201" s="2" t="n"/>
      <c r="AM201" s="2" t="n"/>
      <c r="AN201" s="2" t="n"/>
      <c r="AO201" s="2" t="n"/>
      <c r="AP201" s="2" t="n"/>
      <c r="AQ201" s="2" t="n"/>
      <c r="AR201" s="2" t="n"/>
      <c r="AS201" s="2" t="n"/>
    </row>
    <row r="202" ht="14.25" customHeight="1" s="157">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c r="AA202" s="2" t="n"/>
      <c r="AB202" s="2" t="n"/>
      <c r="AC202" s="2" t="n"/>
      <c r="AD202" s="2" t="n"/>
      <c r="AE202" s="2" t="n"/>
      <c r="AF202" s="2" t="n"/>
      <c r="AG202" s="2" t="n"/>
      <c r="AH202" s="2" t="n"/>
      <c r="AI202" s="2" t="n"/>
      <c r="AJ202" s="2" t="n"/>
      <c r="AK202" s="2" t="n"/>
      <c r="AL202" s="2" t="n"/>
      <c r="AM202" s="2" t="n"/>
      <c r="AN202" s="2" t="n"/>
      <c r="AO202" s="2" t="n"/>
      <c r="AP202" s="2" t="n"/>
      <c r="AQ202" s="2" t="n"/>
      <c r="AR202" s="2" t="n"/>
      <c r="AS202" s="2" t="n"/>
    </row>
    <row r="203" ht="14.25" customHeight="1" s="157">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c r="AA203" s="2" t="n"/>
      <c r="AB203" s="2" t="n"/>
      <c r="AC203" s="2" t="n"/>
      <c r="AD203" s="2" t="n"/>
      <c r="AE203" s="2" t="n"/>
      <c r="AF203" s="2" t="n"/>
      <c r="AG203" s="2" t="n"/>
      <c r="AH203" s="2" t="n"/>
      <c r="AI203" s="2" t="n"/>
      <c r="AJ203" s="2" t="n"/>
      <c r="AK203" s="2" t="n"/>
      <c r="AL203" s="2" t="n"/>
      <c r="AM203" s="2" t="n"/>
      <c r="AN203" s="2" t="n"/>
      <c r="AO203" s="2" t="n"/>
      <c r="AP203" s="2" t="n"/>
      <c r="AQ203" s="2" t="n"/>
      <c r="AR203" s="2" t="n"/>
      <c r="AS203" s="2" t="n"/>
    </row>
    <row r="204" ht="14.25" customHeight="1" s="157">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c r="AA204" s="2" t="n"/>
      <c r="AB204" s="2" t="n"/>
      <c r="AC204" s="2" t="n"/>
      <c r="AD204" s="2" t="n"/>
      <c r="AE204" s="2" t="n"/>
      <c r="AF204" s="2" t="n"/>
      <c r="AG204" s="2" t="n"/>
      <c r="AH204" s="2" t="n"/>
      <c r="AI204" s="2" t="n"/>
      <c r="AJ204" s="2" t="n"/>
      <c r="AK204" s="2" t="n"/>
      <c r="AL204" s="2" t="n"/>
      <c r="AM204" s="2" t="n"/>
      <c r="AN204" s="2" t="n"/>
      <c r="AO204" s="2" t="n"/>
      <c r="AP204" s="2" t="n"/>
      <c r="AQ204" s="2" t="n"/>
      <c r="AR204" s="2" t="n"/>
      <c r="AS204" s="2" t="n"/>
    </row>
    <row r="205" ht="14.25" customHeight="1" s="157">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c r="AA205" s="2" t="n"/>
      <c r="AB205" s="2" t="n"/>
      <c r="AC205" s="2" t="n"/>
      <c r="AD205" s="2" t="n"/>
      <c r="AE205" s="2" t="n"/>
      <c r="AF205" s="2" t="n"/>
      <c r="AG205" s="2" t="n"/>
      <c r="AH205" s="2" t="n"/>
      <c r="AI205" s="2" t="n"/>
      <c r="AJ205" s="2" t="n"/>
      <c r="AK205" s="2" t="n"/>
      <c r="AL205" s="2" t="n"/>
      <c r="AM205" s="2" t="n"/>
      <c r="AN205" s="2" t="n"/>
      <c r="AO205" s="2" t="n"/>
      <c r="AP205" s="2" t="n"/>
      <c r="AQ205" s="2" t="n"/>
      <c r="AR205" s="2" t="n"/>
      <c r="AS205" s="2" t="n"/>
    </row>
    <row r="206" ht="14.25" customHeight="1" s="157">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c r="AA206" s="2" t="n"/>
      <c r="AB206" s="2" t="n"/>
      <c r="AC206" s="2" t="n"/>
      <c r="AD206" s="2" t="n"/>
      <c r="AE206" s="2" t="n"/>
      <c r="AF206" s="2" t="n"/>
      <c r="AG206" s="2" t="n"/>
      <c r="AH206" s="2" t="n"/>
      <c r="AI206" s="2" t="n"/>
      <c r="AJ206" s="2" t="n"/>
      <c r="AK206" s="2" t="n"/>
      <c r="AL206" s="2" t="n"/>
      <c r="AM206" s="2" t="n"/>
      <c r="AN206" s="2" t="n"/>
      <c r="AO206" s="2" t="n"/>
      <c r="AP206" s="2" t="n"/>
      <c r="AQ206" s="2" t="n"/>
      <c r="AR206" s="2" t="n"/>
      <c r="AS206" s="2" t="n"/>
    </row>
    <row r="207" ht="14.25" customHeight="1" s="157">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c r="AA207" s="2" t="n"/>
      <c r="AB207" s="2" t="n"/>
      <c r="AC207" s="2" t="n"/>
      <c r="AD207" s="2" t="n"/>
      <c r="AE207" s="2" t="n"/>
      <c r="AF207" s="2" t="n"/>
      <c r="AG207" s="2" t="n"/>
      <c r="AH207" s="2" t="n"/>
      <c r="AI207" s="2" t="n"/>
      <c r="AJ207" s="2" t="n"/>
      <c r="AK207" s="2" t="n"/>
      <c r="AL207" s="2" t="n"/>
      <c r="AM207" s="2" t="n"/>
      <c r="AN207" s="2" t="n"/>
      <c r="AO207" s="2" t="n"/>
      <c r="AP207" s="2" t="n"/>
      <c r="AQ207" s="2" t="n"/>
      <c r="AR207" s="2" t="n"/>
      <c r="AS207" s="2" t="n"/>
    </row>
    <row r="208" ht="14.25" customHeight="1" s="157">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c r="AA208" s="2" t="n"/>
      <c r="AB208" s="2" t="n"/>
      <c r="AC208" s="2" t="n"/>
      <c r="AD208" s="2" t="n"/>
      <c r="AE208" s="2" t="n"/>
      <c r="AF208" s="2" t="n"/>
      <c r="AG208" s="2" t="n"/>
      <c r="AH208" s="2" t="n"/>
      <c r="AI208" s="2" t="n"/>
      <c r="AJ208" s="2" t="n"/>
      <c r="AK208" s="2" t="n"/>
      <c r="AL208" s="2" t="n"/>
      <c r="AM208" s="2" t="n"/>
      <c r="AN208" s="2" t="n"/>
      <c r="AO208" s="2" t="n"/>
      <c r="AP208" s="2" t="n"/>
      <c r="AQ208" s="2" t="n"/>
      <c r="AR208" s="2" t="n"/>
      <c r="AS208" s="2" t="n"/>
    </row>
    <row r="209" ht="14.25" customHeight="1" s="157">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c r="AA209" s="2" t="n"/>
      <c r="AB209" s="2" t="n"/>
      <c r="AC209" s="2" t="n"/>
      <c r="AD209" s="2" t="n"/>
      <c r="AE209" s="2" t="n"/>
      <c r="AF209" s="2" t="n"/>
      <c r="AG209" s="2" t="n"/>
      <c r="AH209" s="2" t="n"/>
      <c r="AI209" s="2" t="n"/>
      <c r="AJ209" s="2" t="n"/>
      <c r="AK209" s="2" t="n"/>
      <c r="AL209" s="2" t="n"/>
      <c r="AM209" s="2" t="n"/>
      <c r="AN209" s="2" t="n"/>
      <c r="AO209" s="2" t="n"/>
      <c r="AP209" s="2" t="n"/>
      <c r="AQ209" s="2" t="n"/>
      <c r="AR209" s="2" t="n"/>
      <c r="AS209" s="2" t="n"/>
    </row>
    <row r="210" ht="14.25" customHeight="1" s="157">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c r="AA210" s="2" t="n"/>
      <c r="AB210" s="2" t="n"/>
      <c r="AC210" s="2" t="n"/>
      <c r="AD210" s="2" t="n"/>
      <c r="AE210" s="2" t="n"/>
      <c r="AF210" s="2" t="n"/>
      <c r="AG210" s="2" t="n"/>
      <c r="AH210" s="2" t="n"/>
      <c r="AI210" s="2" t="n"/>
      <c r="AJ210" s="2" t="n"/>
      <c r="AK210" s="2" t="n"/>
      <c r="AL210" s="2" t="n"/>
      <c r="AM210" s="2" t="n"/>
      <c r="AN210" s="2" t="n"/>
      <c r="AO210" s="2" t="n"/>
      <c r="AP210" s="2" t="n"/>
      <c r="AQ210" s="2" t="n"/>
      <c r="AR210" s="2" t="n"/>
      <c r="AS210" s="2" t="n"/>
    </row>
    <row r="211" ht="14.25" customHeight="1" s="157">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c r="AA211" s="2" t="n"/>
      <c r="AB211" s="2" t="n"/>
      <c r="AC211" s="2" t="n"/>
      <c r="AD211" s="2" t="n"/>
      <c r="AE211" s="2" t="n"/>
      <c r="AF211" s="2" t="n"/>
      <c r="AG211" s="2" t="n"/>
      <c r="AH211" s="2" t="n"/>
      <c r="AI211" s="2" t="n"/>
      <c r="AJ211" s="2" t="n"/>
      <c r="AK211" s="2" t="n"/>
      <c r="AL211" s="2" t="n"/>
      <c r="AM211" s="2" t="n"/>
      <c r="AN211" s="2" t="n"/>
      <c r="AO211" s="2" t="n"/>
      <c r="AP211" s="2" t="n"/>
      <c r="AQ211" s="2" t="n"/>
      <c r="AR211" s="2" t="n"/>
      <c r="AS211" s="2" t="n"/>
    </row>
    <row r="212" ht="14.25" customHeight="1" s="157">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c r="AA212" s="2" t="n"/>
      <c r="AB212" s="2" t="n"/>
      <c r="AC212" s="2" t="n"/>
      <c r="AD212" s="2" t="n"/>
      <c r="AE212" s="2" t="n"/>
      <c r="AF212" s="2" t="n"/>
      <c r="AG212" s="2" t="n"/>
      <c r="AH212" s="2" t="n"/>
      <c r="AI212" s="2" t="n"/>
      <c r="AJ212" s="2" t="n"/>
      <c r="AK212" s="2" t="n"/>
      <c r="AL212" s="2" t="n"/>
      <c r="AM212" s="2" t="n"/>
      <c r="AN212" s="2" t="n"/>
      <c r="AO212" s="2" t="n"/>
      <c r="AP212" s="2" t="n"/>
      <c r="AQ212" s="2" t="n"/>
      <c r="AR212" s="2" t="n"/>
      <c r="AS212" s="2" t="n"/>
    </row>
    <row r="213" ht="14.25" customHeight="1" s="157">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c r="AA213" s="2" t="n"/>
      <c r="AB213" s="2" t="n"/>
      <c r="AC213" s="2" t="n"/>
      <c r="AD213" s="2" t="n"/>
      <c r="AE213" s="2" t="n"/>
      <c r="AF213" s="2" t="n"/>
      <c r="AG213" s="2" t="n"/>
      <c r="AH213" s="2" t="n"/>
      <c r="AI213" s="2" t="n"/>
      <c r="AJ213" s="2" t="n"/>
      <c r="AK213" s="2" t="n"/>
      <c r="AL213" s="2" t="n"/>
      <c r="AM213" s="2" t="n"/>
      <c r="AN213" s="2" t="n"/>
      <c r="AO213" s="2" t="n"/>
      <c r="AP213" s="2" t="n"/>
      <c r="AQ213" s="2" t="n"/>
      <c r="AR213" s="2" t="n"/>
      <c r="AS213" s="2" t="n"/>
    </row>
    <row r="214" ht="14.25" customHeight="1" s="157">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c r="AA214" s="2" t="n"/>
      <c r="AB214" s="2" t="n"/>
      <c r="AC214" s="2" t="n"/>
      <c r="AD214" s="2" t="n"/>
      <c r="AE214" s="2" t="n"/>
      <c r="AF214" s="2" t="n"/>
      <c r="AG214" s="2" t="n"/>
      <c r="AH214" s="2" t="n"/>
      <c r="AI214" s="2" t="n"/>
      <c r="AJ214" s="2" t="n"/>
      <c r="AK214" s="2" t="n"/>
      <c r="AL214" s="2" t="n"/>
      <c r="AM214" s="2" t="n"/>
      <c r="AN214" s="2" t="n"/>
      <c r="AO214" s="2" t="n"/>
      <c r="AP214" s="2" t="n"/>
      <c r="AQ214" s="2" t="n"/>
      <c r="AR214" s="2" t="n"/>
      <c r="AS214" s="2" t="n"/>
    </row>
    <row r="215" ht="14.25" customHeight="1" s="157">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c r="AA215" s="2" t="n"/>
      <c r="AB215" s="2" t="n"/>
      <c r="AC215" s="2" t="n"/>
      <c r="AD215" s="2" t="n"/>
      <c r="AE215" s="2" t="n"/>
      <c r="AF215" s="2" t="n"/>
      <c r="AG215" s="2" t="n"/>
      <c r="AH215" s="2" t="n"/>
      <c r="AI215" s="2" t="n"/>
      <c r="AJ215" s="2" t="n"/>
      <c r="AK215" s="2" t="n"/>
      <c r="AL215" s="2" t="n"/>
      <c r="AM215" s="2" t="n"/>
      <c r="AN215" s="2" t="n"/>
      <c r="AO215" s="2" t="n"/>
      <c r="AP215" s="2" t="n"/>
      <c r="AQ215" s="2" t="n"/>
      <c r="AR215" s="2" t="n"/>
      <c r="AS215" s="2" t="n"/>
    </row>
    <row r="216" ht="14.25" customHeight="1" s="157">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c r="AA216" s="2" t="n"/>
      <c r="AB216" s="2" t="n"/>
      <c r="AC216" s="2" t="n"/>
      <c r="AD216" s="2" t="n"/>
      <c r="AE216" s="2" t="n"/>
      <c r="AF216" s="2" t="n"/>
      <c r="AG216" s="2" t="n"/>
      <c r="AH216" s="2" t="n"/>
      <c r="AI216" s="2" t="n"/>
      <c r="AJ216" s="2" t="n"/>
      <c r="AK216" s="2" t="n"/>
      <c r="AL216" s="2" t="n"/>
      <c r="AM216" s="2" t="n"/>
      <c r="AN216" s="2" t="n"/>
      <c r="AO216" s="2" t="n"/>
      <c r="AP216" s="2" t="n"/>
      <c r="AQ216" s="2" t="n"/>
      <c r="AR216" s="2" t="n"/>
      <c r="AS216" s="2" t="n"/>
    </row>
    <row r="217" ht="14.25" customHeight="1" s="157">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c r="AA217" s="2" t="n"/>
      <c r="AB217" s="2" t="n"/>
      <c r="AC217" s="2" t="n"/>
      <c r="AD217" s="2" t="n"/>
      <c r="AE217" s="2" t="n"/>
      <c r="AF217" s="2" t="n"/>
      <c r="AG217" s="2" t="n"/>
      <c r="AH217" s="2" t="n"/>
      <c r="AI217" s="2" t="n"/>
      <c r="AJ217" s="2" t="n"/>
      <c r="AK217" s="2" t="n"/>
      <c r="AL217" s="2" t="n"/>
      <c r="AM217" s="2" t="n"/>
      <c r="AN217" s="2" t="n"/>
      <c r="AO217" s="2" t="n"/>
      <c r="AP217" s="2" t="n"/>
      <c r="AQ217" s="2" t="n"/>
      <c r="AR217" s="2" t="n"/>
      <c r="AS217" s="2" t="n"/>
    </row>
    <row r="218" ht="14.25" customHeight="1" s="157">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c r="AA218" s="2" t="n"/>
      <c r="AB218" s="2" t="n"/>
      <c r="AC218" s="2" t="n"/>
      <c r="AD218" s="2" t="n"/>
      <c r="AE218" s="2" t="n"/>
      <c r="AF218" s="2" t="n"/>
      <c r="AG218" s="2" t="n"/>
      <c r="AH218" s="2" t="n"/>
      <c r="AI218" s="2" t="n"/>
      <c r="AJ218" s="2" t="n"/>
      <c r="AK218" s="2" t="n"/>
      <c r="AL218" s="2" t="n"/>
      <c r="AM218" s="2" t="n"/>
      <c r="AN218" s="2" t="n"/>
      <c r="AO218" s="2" t="n"/>
      <c r="AP218" s="2" t="n"/>
      <c r="AQ218" s="2" t="n"/>
      <c r="AR218" s="2" t="n"/>
      <c r="AS218" s="2" t="n"/>
    </row>
    <row r="219" ht="14.25" customHeight="1" s="157">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c r="AA219" s="2" t="n"/>
      <c r="AB219" s="2" t="n"/>
      <c r="AC219" s="2" t="n"/>
      <c r="AD219" s="2" t="n"/>
      <c r="AE219" s="2" t="n"/>
      <c r="AF219" s="2" t="n"/>
      <c r="AG219" s="2" t="n"/>
      <c r="AH219" s="2" t="n"/>
      <c r="AI219" s="2" t="n"/>
      <c r="AJ219" s="2" t="n"/>
      <c r="AK219" s="2" t="n"/>
      <c r="AL219" s="2" t="n"/>
      <c r="AM219" s="2" t="n"/>
      <c r="AN219" s="2" t="n"/>
      <c r="AO219" s="2" t="n"/>
      <c r="AP219" s="2" t="n"/>
      <c r="AQ219" s="2" t="n"/>
      <c r="AR219" s="2" t="n"/>
      <c r="AS219" s="2" t="n"/>
    </row>
    <row r="220" ht="14.25" customHeight="1" s="157">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c r="AA220" s="2" t="n"/>
      <c r="AB220" s="2" t="n"/>
      <c r="AC220" s="2" t="n"/>
      <c r="AD220" s="2" t="n"/>
      <c r="AE220" s="2" t="n"/>
      <c r="AF220" s="2" t="n"/>
      <c r="AG220" s="2" t="n"/>
      <c r="AH220" s="2" t="n"/>
      <c r="AI220" s="2" t="n"/>
      <c r="AJ220" s="2" t="n"/>
      <c r="AK220" s="2" t="n"/>
      <c r="AL220" s="2" t="n"/>
      <c r="AM220" s="2" t="n"/>
      <c r="AN220" s="2" t="n"/>
      <c r="AO220" s="2" t="n"/>
      <c r="AP220" s="2" t="n"/>
      <c r="AQ220" s="2" t="n"/>
      <c r="AR220" s="2" t="n"/>
      <c r="AS220" s="2" t="n"/>
    </row>
    <row r="221" ht="14.25" customHeight="1" s="157">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c r="AA221" s="2" t="n"/>
      <c r="AB221" s="2" t="n"/>
      <c r="AC221" s="2" t="n"/>
      <c r="AD221" s="2" t="n"/>
      <c r="AE221" s="2" t="n"/>
      <c r="AF221" s="2" t="n"/>
      <c r="AG221" s="2" t="n"/>
      <c r="AH221" s="2" t="n"/>
      <c r="AI221" s="2" t="n"/>
      <c r="AJ221" s="2" t="n"/>
      <c r="AK221" s="2" t="n"/>
      <c r="AL221" s="2" t="n"/>
      <c r="AM221" s="2" t="n"/>
      <c r="AN221" s="2" t="n"/>
      <c r="AO221" s="2" t="n"/>
      <c r="AP221" s="2" t="n"/>
      <c r="AQ221" s="2" t="n"/>
      <c r="AR221" s="2" t="n"/>
      <c r="AS221" s="2" t="n"/>
    </row>
    <row r="222" ht="14.25" customHeight="1" s="157">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c r="AA222" s="2" t="n"/>
      <c r="AB222" s="2" t="n"/>
      <c r="AC222" s="2" t="n"/>
      <c r="AD222" s="2" t="n"/>
      <c r="AE222" s="2" t="n"/>
      <c r="AF222" s="2" t="n"/>
      <c r="AG222" s="2" t="n"/>
      <c r="AH222" s="2" t="n"/>
      <c r="AI222" s="2" t="n"/>
      <c r="AJ222" s="2" t="n"/>
      <c r="AK222" s="2" t="n"/>
      <c r="AL222" s="2" t="n"/>
      <c r="AM222" s="2" t="n"/>
      <c r="AN222" s="2" t="n"/>
      <c r="AO222" s="2" t="n"/>
      <c r="AP222" s="2" t="n"/>
      <c r="AQ222" s="2" t="n"/>
      <c r="AR222" s="2" t="n"/>
      <c r="AS222" s="2" t="n"/>
    </row>
    <row r="223" ht="14.25" customHeight="1" s="157">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c r="AA223" s="2" t="n"/>
      <c r="AB223" s="2" t="n"/>
      <c r="AC223" s="2" t="n"/>
      <c r="AD223" s="2" t="n"/>
      <c r="AE223" s="2" t="n"/>
      <c r="AF223" s="2" t="n"/>
      <c r="AG223" s="2" t="n"/>
      <c r="AH223" s="2" t="n"/>
      <c r="AI223" s="2" t="n"/>
      <c r="AJ223" s="2" t="n"/>
      <c r="AK223" s="2" t="n"/>
      <c r="AL223" s="2" t="n"/>
      <c r="AM223" s="2" t="n"/>
      <c r="AN223" s="2" t="n"/>
      <c r="AO223" s="2" t="n"/>
      <c r="AP223" s="2" t="n"/>
      <c r="AQ223" s="2" t="n"/>
      <c r="AR223" s="2" t="n"/>
      <c r="AS223" s="2" t="n"/>
    </row>
    <row r="224" ht="14.25" customHeight="1" s="157">
      <c r="A224" s="2"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c r="AA224" s="2" t="n"/>
      <c r="AB224" s="2" t="n"/>
      <c r="AC224" s="2" t="n"/>
      <c r="AD224" s="2" t="n"/>
      <c r="AE224" s="2" t="n"/>
      <c r="AF224" s="2" t="n"/>
      <c r="AG224" s="2" t="n"/>
      <c r="AH224" s="2" t="n"/>
      <c r="AI224" s="2" t="n"/>
      <c r="AJ224" s="2" t="n"/>
      <c r="AK224" s="2" t="n"/>
      <c r="AL224" s="2" t="n"/>
      <c r="AM224" s="2" t="n"/>
      <c r="AN224" s="2" t="n"/>
      <c r="AO224" s="2" t="n"/>
      <c r="AP224" s="2" t="n"/>
      <c r="AQ224" s="2" t="n"/>
      <c r="AR224" s="2" t="n"/>
      <c r="AS224" s="2" t="n"/>
    </row>
    <row r="225" ht="14.25" customHeight="1" s="157">
      <c r="A225" s="2"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c r="AA225" s="2" t="n"/>
      <c r="AB225" s="2" t="n"/>
      <c r="AC225" s="2" t="n"/>
      <c r="AD225" s="2" t="n"/>
      <c r="AE225" s="2" t="n"/>
      <c r="AF225" s="2" t="n"/>
      <c r="AG225" s="2" t="n"/>
      <c r="AH225" s="2" t="n"/>
      <c r="AI225" s="2" t="n"/>
      <c r="AJ225" s="2" t="n"/>
      <c r="AK225" s="2" t="n"/>
      <c r="AL225" s="2" t="n"/>
      <c r="AM225" s="2" t="n"/>
      <c r="AN225" s="2" t="n"/>
      <c r="AO225" s="2" t="n"/>
      <c r="AP225" s="2" t="n"/>
      <c r="AQ225" s="2" t="n"/>
      <c r="AR225" s="2" t="n"/>
      <c r="AS225" s="2" t="n"/>
    </row>
    <row r="226" ht="14.25" customHeight="1" s="157">
      <c r="A226" s="2" t="n"/>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c r="AA226" s="2" t="n"/>
      <c r="AB226" s="2" t="n"/>
      <c r="AC226" s="2" t="n"/>
      <c r="AD226" s="2" t="n"/>
      <c r="AE226" s="2" t="n"/>
      <c r="AF226" s="2" t="n"/>
      <c r="AG226" s="2" t="n"/>
      <c r="AH226" s="2" t="n"/>
      <c r="AI226" s="2" t="n"/>
      <c r="AJ226" s="2" t="n"/>
      <c r="AK226" s="2" t="n"/>
      <c r="AL226" s="2" t="n"/>
      <c r="AM226" s="2" t="n"/>
      <c r="AN226" s="2" t="n"/>
      <c r="AO226" s="2" t="n"/>
      <c r="AP226" s="2" t="n"/>
      <c r="AQ226" s="2" t="n"/>
      <c r="AR226" s="2" t="n"/>
      <c r="AS226" s="2" t="n"/>
    </row>
    <row r="227" ht="14.25" customHeight="1" s="157">
      <c r="A227" s="2" t="n"/>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c r="AA227" s="2" t="n"/>
      <c r="AB227" s="2" t="n"/>
      <c r="AC227" s="2" t="n"/>
      <c r="AD227" s="2" t="n"/>
      <c r="AE227" s="2" t="n"/>
      <c r="AF227" s="2" t="n"/>
      <c r="AG227" s="2" t="n"/>
      <c r="AH227" s="2" t="n"/>
      <c r="AI227" s="2" t="n"/>
      <c r="AJ227" s="2" t="n"/>
      <c r="AK227" s="2" t="n"/>
      <c r="AL227" s="2" t="n"/>
      <c r="AM227" s="2" t="n"/>
      <c r="AN227" s="2" t="n"/>
      <c r="AO227" s="2" t="n"/>
      <c r="AP227" s="2" t="n"/>
      <c r="AQ227" s="2" t="n"/>
      <c r="AR227" s="2" t="n"/>
      <c r="AS227" s="2" t="n"/>
    </row>
    <row r="228" ht="14.25" customHeight="1" s="157">
      <c r="A228" s="2"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c r="AA228" s="2" t="n"/>
      <c r="AB228" s="2" t="n"/>
      <c r="AC228" s="2" t="n"/>
      <c r="AD228" s="2" t="n"/>
      <c r="AE228" s="2" t="n"/>
      <c r="AF228" s="2" t="n"/>
      <c r="AG228" s="2" t="n"/>
      <c r="AH228" s="2" t="n"/>
      <c r="AI228" s="2" t="n"/>
      <c r="AJ228" s="2" t="n"/>
      <c r="AK228" s="2" t="n"/>
      <c r="AL228" s="2" t="n"/>
      <c r="AM228" s="2" t="n"/>
      <c r="AN228" s="2" t="n"/>
      <c r="AO228" s="2" t="n"/>
      <c r="AP228" s="2" t="n"/>
      <c r="AQ228" s="2" t="n"/>
      <c r="AR228" s="2" t="n"/>
      <c r="AS228" s="2" t="n"/>
    </row>
    <row r="229" ht="14.25" customHeight="1" s="157">
      <c r="A229" s="2"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c r="AA229" s="2" t="n"/>
      <c r="AB229" s="2" t="n"/>
      <c r="AC229" s="2" t="n"/>
      <c r="AD229" s="2" t="n"/>
      <c r="AE229" s="2" t="n"/>
      <c r="AF229" s="2" t="n"/>
      <c r="AG229" s="2" t="n"/>
      <c r="AH229" s="2" t="n"/>
      <c r="AI229" s="2" t="n"/>
      <c r="AJ229" s="2" t="n"/>
      <c r="AK229" s="2" t="n"/>
      <c r="AL229" s="2" t="n"/>
      <c r="AM229" s="2" t="n"/>
      <c r="AN229" s="2" t="n"/>
      <c r="AO229" s="2" t="n"/>
      <c r="AP229" s="2" t="n"/>
      <c r="AQ229" s="2" t="n"/>
      <c r="AR229" s="2" t="n"/>
      <c r="AS229" s="2" t="n"/>
    </row>
    <row r="230" ht="14.25" customHeight="1" s="157">
      <c r="A230" s="2"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c r="AA230" s="2" t="n"/>
      <c r="AB230" s="2" t="n"/>
      <c r="AC230" s="2" t="n"/>
      <c r="AD230" s="2" t="n"/>
      <c r="AE230" s="2" t="n"/>
      <c r="AF230" s="2" t="n"/>
      <c r="AG230" s="2" t="n"/>
      <c r="AH230" s="2" t="n"/>
      <c r="AI230" s="2" t="n"/>
      <c r="AJ230" s="2" t="n"/>
      <c r="AK230" s="2" t="n"/>
      <c r="AL230" s="2" t="n"/>
      <c r="AM230" s="2" t="n"/>
      <c r="AN230" s="2" t="n"/>
      <c r="AO230" s="2" t="n"/>
      <c r="AP230" s="2" t="n"/>
      <c r="AQ230" s="2" t="n"/>
      <c r="AR230" s="2" t="n"/>
      <c r="AS230" s="2" t="n"/>
    </row>
    <row r="231" ht="14.25" customHeight="1" s="157">
      <c r="A231" s="2" t="n"/>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c r="AA231" s="2" t="n"/>
      <c r="AB231" s="2" t="n"/>
      <c r="AC231" s="2" t="n"/>
      <c r="AD231" s="2" t="n"/>
      <c r="AE231" s="2" t="n"/>
      <c r="AF231" s="2" t="n"/>
      <c r="AG231" s="2" t="n"/>
      <c r="AH231" s="2" t="n"/>
      <c r="AI231" s="2" t="n"/>
      <c r="AJ231" s="2" t="n"/>
      <c r="AK231" s="2" t="n"/>
      <c r="AL231" s="2" t="n"/>
      <c r="AM231" s="2" t="n"/>
      <c r="AN231" s="2" t="n"/>
      <c r="AO231" s="2" t="n"/>
      <c r="AP231" s="2" t="n"/>
      <c r="AQ231" s="2" t="n"/>
      <c r="AR231" s="2" t="n"/>
      <c r="AS231" s="2" t="n"/>
    </row>
    <row r="232" ht="14.25" customHeight="1" s="157">
      <c r="A232" s="2" t="n"/>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c r="AA232" s="2" t="n"/>
      <c r="AB232" s="2" t="n"/>
      <c r="AC232" s="2" t="n"/>
      <c r="AD232" s="2" t="n"/>
      <c r="AE232" s="2" t="n"/>
      <c r="AF232" s="2" t="n"/>
      <c r="AG232" s="2" t="n"/>
      <c r="AH232" s="2" t="n"/>
      <c r="AI232" s="2" t="n"/>
      <c r="AJ232" s="2" t="n"/>
      <c r="AK232" s="2" t="n"/>
      <c r="AL232" s="2" t="n"/>
      <c r="AM232" s="2" t="n"/>
      <c r="AN232" s="2" t="n"/>
      <c r="AO232" s="2" t="n"/>
      <c r="AP232" s="2" t="n"/>
      <c r="AQ232" s="2" t="n"/>
      <c r="AR232" s="2" t="n"/>
      <c r="AS232" s="2" t="n"/>
    </row>
    <row r="233" ht="14.25" customHeight="1" s="157">
      <c r="A233" s="2" t="n"/>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c r="AA233" s="2" t="n"/>
      <c r="AB233" s="2" t="n"/>
      <c r="AC233" s="2" t="n"/>
      <c r="AD233" s="2" t="n"/>
      <c r="AE233" s="2" t="n"/>
      <c r="AF233" s="2" t="n"/>
      <c r="AG233" s="2" t="n"/>
      <c r="AH233" s="2" t="n"/>
      <c r="AI233" s="2" t="n"/>
      <c r="AJ233" s="2" t="n"/>
      <c r="AK233" s="2" t="n"/>
      <c r="AL233" s="2" t="n"/>
      <c r="AM233" s="2" t="n"/>
      <c r="AN233" s="2" t="n"/>
      <c r="AO233" s="2" t="n"/>
      <c r="AP233" s="2" t="n"/>
      <c r="AQ233" s="2" t="n"/>
      <c r="AR233" s="2" t="n"/>
      <c r="AS233" s="2" t="n"/>
    </row>
    <row r="234" ht="14.25" customHeight="1" s="157">
      <c r="A234" s="2" t="n"/>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c r="AA234" s="2" t="n"/>
      <c r="AB234" s="2" t="n"/>
      <c r="AC234" s="2" t="n"/>
      <c r="AD234" s="2" t="n"/>
      <c r="AE234" s="2" t="n"/>
      <c r="AF234" s="2" t="n"/>
      <c r="AG234" s="2" t="n"/>
      <c r="AH234" s="2" t="n"/>
      <c r="AI234" s="2" t="n"/>
      <c r="AJ234" s="2" t="n"/>
      <c r="AK234" s="2" t="n"/>
      <c r="AL234" s="2" t="n"/>
      <c r="AM234" s="2" t="n"/>
      <c r="AN234" s="2" t="n"/>
      <c r="AO234" s="2" t="n"/>
      <c r="AP234" s="2" t="n"/>
      <c r="AQ234" s="2" t="n"/>
      <c r="AR234" s="2" t="n"/>
      <c r="AS234" s="2" t="n"/>
    </row>
    <row r="235" ht="14.25" customHeight="1" s="157">
      <c r="A235" s="2" t="n"/>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c r="AA235" s="2" t="n"/>
      <c r="AB235" s="2" t="n"/>
      <c r="AC235" s="2" t="n"/>
      <c r="AD235" s="2" t="n"/>
      <c r="AE235" s="2" t="n"/>
      <c r="AF235" s="2" t="n"/>
      <c r="AG235" s="2" t="n"/>
      <c r="AH235" s="2" t="n"/>
      <c r="AI235" s="2" t="n"/>
      <c r="AJ235" s="2" t="n"/>
      <c r="AK235" s="2" t="n"/>
      <c r="AL235" s="2" t="n"/>
      <c r="AM235" s="2" t="n"/>
      <c r="AN235" s="2" t="n"/>
      <c r="AO235" s="2" t="n"/>
      <c r="AP235" s="2" t="n"/>
      <c r="AQ235" s="2" t="n"/>
      <c r="AR235" s="2" t="n"/>
      <c r="AS235" s="2" t="n"/>
    </row>
    <row r="236" ht="14.25" customHeight="1" s="157">
      <c r="A236" s="2" t="n"/>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c r="AA236" s="2" t="n"/>
      <c r="AB236" s="2" t="n"/>
      <c r="AC236" s="2" t="n"/>
      <c r="AD236" s="2" t="n"/>
      <c r="AE236" s="2" t="n"/>
      <c r="AF236" s="2" t="n"/>
      <c r="AG236" s="2" t="n"/>
      <c r="AH236" s="2" t="n"/>
      <c r="AI236" s="2" t="n"/>
      <c r="AJ236" s="2" t="n"/>
      <c r="AK236" s="2" t="n"/>
      <c r="AL236" s="2" t="n"/>
      <c r="AM236" s="2" t="n"/>
      <c r="AN236" s="2" t="n"/>
      <c r="AO236" s="2" t="n"/>
      <c r="AP236" s="2" t="n"/>
      <c r="AQ236" s="2" t="n"/>
      <c r="AR236" s="2" t="n"/>
      <c r="AS236" s="2" t="n"/>
    </row>
    <row r="237" ht="14.25" customHeight="1" s="157">
      <c r="A237" s="2" t="n"/>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c r="AA237" s="2" t="n"/>
      <c r="AB237" s="2" t="n"/>
      <c r="AC237" s="2" t="n"/>
      <c r="AD237" s="2" t="n"/>
      <c r="AE237" s="2" t="n"/>
      <c r="AF237" s="2" t="n"/>
      <c r="AG237" s="2" t="n"/>
      <c r="AH237" s="2" t="n"/>
      <c r="AI237" s="2" t="n"/>
      <c r="AJ237" s="2" t="n"/>
      <c r="AK237" s="2" t="n"/>
      <c r="AL237" s="2" t="n"/>
      <c r="AM237" s="2" t="n"/>
      <c r="AN237" s="2" t="n"/>
      <c r="AO237" s="2" t="n"/>
      <c r="AP237" s="2" t="n"/>
      <c r="AQ237" s="2" t="n"/>
      <c r="AR237" s="2" t="n"/>
      <c r="AS237" s="2" t="n"/>
    </row>
    <row r="238" ht="14.25" customHeight="1" s="157">
      <c r="A238" s="2" t="n"/>
      <c r="B238" s="2"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c r="AA238" s="2" t="n"/>
      <c r="AB238" s="2" t="n"/>
      <c r="AC238" s="2" t="n"/>
      <c r="AD238" s="2" t="n"/>
      <c r="AE238" s="2" t="n"/>
      <c r="AF238" s="2" t="n"/>
      <c r="AG238" s="2" t="n"/>
      <c r="AH238" s="2" t="n"/>
      <c r="AI238" s="2" t="n"/>
      <c r="AJ238" s="2" t="n"/>
      <c r="AK238" s="2" t="n"/>
      <c r="AL238" s="2" t="n"/>
      <c r="AM238" s="2" t="n"/>
      <c r="AN238" s="2" t="n"/>
      <c r="AO238" s="2" t="n"/>
      <c r="AP238" s="2" t="n"/>
      <c r="AQ238" s="2" t="n"/>
      <c r="AR238" s="2" t="n"/>
      <c r="AS238" s="2" t="n"/>
    </row>
    <row r="239" ht="14.25" customHeight="1" s="157">
      <c r="A239" s="2" t="n"/>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c r="AA239" s="2" t="n"/>
      <c r="AB239" s="2" t="n"/>
      <c r="AC239" s="2" t="n"/>
      <c r="AD239" s="2" t="n"/>
      <c r="AE239" s="2" t="n"/>
      <c r="AF239" s="2" t="n"/>
      <c r="AG239" s="2" t="n"/>
      <c r="AH239" s="2" t="n"/>
      <c r="AI239" s="2" t="n"/>
      <c r="AJ239" s="2" t="n"/>
      <c r="AK239" s="2" t="n"/>
      <c r="AL239" s="2" t="n"/>
      <c r="AM239" s="2" t="n"/>
      <c r="AN239" s="2" t="n"/>
      <c r="AO239" s="2" t="n"/>
      <c r="AP239" s="2" t="n"/>
      <c r="AQ239" s="2" t="n"/>
      <c r="AR239" s="2" t="n"/>
      <c r="AS239" s="2" t="n"/>
    </row>
    <row r="240" ht="14.25" customHeight="1" s="157">
      <c r="A240" s="2" t="n"/>
      <c r="B240" s="2"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c r="AA240" s="2" t="n"/>
      <c r="AB240" s="2" t="n"/>
      <c r="AC240" s="2" t="n"/>
      <c r="AD240" s="2" t="n"/>
      <c r="AE240" s="2" t="n"/>
      <c r="AF240" s="2" t="n"/>
      <c r="AG240" s="2" t="n"/>
      <c r="AH240" s="2" t="n"/>
      <c r="AI240" s="2" t="n"/>
      <c r="AJ240" s="2" t="n"/>
      <c r="AK240" s="2" t="n"/>
      <c r="AL240" s="2" t="n"/>
      <c r="AM240" s="2" t="n"/>
      <c r="AN240" s="2" t="n"/>
      <c r="AO240" s="2" t="n"/>
      <c r="AP240" s="2" t="n"/>
      <c r="AQ240" s="2" t="n"/>
      <c r="AR240" s="2" t="n"/>
      <c r="AS240" s="2" t="n"/>
    </row>
    <row r="241" ht="14.25" customHeight="1" s="157">
      <c r="A241" s="2" t="n"/>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c r="AA241" s="2" t="n"/>
      <c r="AB241" s="2" t="n"/>
      <c r="AC241" s="2" t="n"/>
      <c r="AD241" s="2" t="n"/>
      <c r="AE241" s="2" t="n"/>
      <c r="AF241" s="2" t="n"/>
      <c r="AG241" s="2" t="n"/>
      <c r="AH241" s="2" t="n"/>
      <c r="AI241" s="2" t="n"/>
      <c r="AJ241" s="2" t="n"/>
      <c r="AK241" s="2" t="n"/>
      <c r="AL241" s="2" t="n"/>
      <c r="AM241" s="2" t="n"/>
      <c r="AN241" s="2" t="n"/>
      <c r="AO241" s="2" t="n"/>
      <c r="AP241" s="2" t="n"/>
      <c r="AQ241" s="2" t="n"/>
      <c r="AR241" s="2" t="n"/>
      <c r="AS241" s="2" t="n"/>
    </row>
    <row r="242" ht="14.25" customHeight="1" s="157">
      <c r="A242" s="2" t="n"/>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c r="AA242" s="2" t="n"/>
      <c r="AB242" s="2" t="n"/>
      <c r="AC242" s="2" t="n"/>
      <c r="AD242" s="2" t="n"/>
      <c r="AE242" s="2" t="n"/>
      <c r="AF242" s="2" t="n"/>
      <c r="AG242" s="2" t="n"/>
      <c r="AH242" s="2" t="n"/>
      <c r="AI242" s="2" t="n"/>
      <c r="AJ242" s="2" t="n"/>
      <c r="AK242" s="2" t="n"/>
      <c r="AL242" s="2" t="n"/>
      <c r="AM242" s="2" t="n"/>
      <c r="AN242" s="2" t="n"/>
      <c r="AO242" s="2" t="n"/>
      <c r="AP242" s="2" t="n"/>
      <c r="AQ242" s="2" t="n"/>
      <c r="AR242" s="2" t="n"/>
      <c r="AS242" s="2" t="n"/>
    </row>
    <row r="243" ht="14.25" customHeight="1" s="157">
      <c r="A243" s="2" t="n"/>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c r="AA243" s="2" t="n"/>
      <c r="AB243" s="2" t="n"/>
      <c r="AC243" s="2" t="n"/>
      <c r="AD243" s="2" t="n"/>
      <c r="AE243" s="2" t="n"/>
      <c r="AF243" s="2" t="n"/>
      <c r="AG243" s="2" t="n"/>
      <c r="AH243" s="2" t="n"/>
      <c r="AI243" s="2" t="n"/>
      <c r="AJ243" s="2" t="n"/>
      <c r="AK243" s="2" t="n"/>
      <c r="AL243" s="2" t="n"/>
      <c r="AM243" s="2" t="n"/>
      <c r="AN243" s="2" t="n"/>
      <c r="AO243" s="2" t="n"/>
      <c r="AP243" s="2" t="n"/>
      <c r="AQ243" s="2" t="n"/>
      <c r="AR243" s="2" t="n"/>
      <c r="AS243" s="2" t="n"/>
    </row>
    <row r="244" ht="14.25" customHeight="1" s="157">
      <c r="A244" s="2" t="n"/>
      <c r="B244" s="2"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c r="AA244" s="2" t="n"/>
      <c r="AB244" s="2" t="n"/>
      <c r="AC244" s="2" t="n"/>
      <c r="AD244" s="2" t="n"/>
      <c r="AE244" s="2" t="n"/>
      <c r="AF244" s="2" t="n"/>
      <c r="AG244" s="2" t="n"/>
      <c r="AH244" s="2" t="n"/>
      <c r="AI244" s="2" t="n"/>
      <c r="AJ244" s="2" t="n"/>
      <c r="AK244" s="2" t="n"/>
      <c r="AL244" s="2" t="n"/>
      <c r="AM244" s="2" t="n"/>
      <c r="AN244" s="2" t="n"/>
      <c r="AO244" s="2" t="n"/>
      <c r="AP244" s="2" t="n"/>
      <c r="AQ244" s="2" t="n"/>
      <c r="AR244" s="2" t="n"/>
      <c r="AS244" s="2" t="n"/>
    </row>
    <row r="245" ht="14.25" customHeight="1" s="157">
      <c r="A245" s="2" t="n"/>
      <c r="B245" s="2" t="n"/>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c r="AA245" s="2" t="n"/>
      <c r="AB245" s="2" t="n"/>
      <c r="AC245" s="2" t="n"/>
      <c r="AD245" s="2" t="n"/>
      <c r="AE245" s="2" t="n"/>
      <c r="AF245" s="2" t="n"/>
      <c r="AG245" s="2" t="n"/>
      <c r="AH245" s="2" t="n"/>
      <c r="AI245" s="2" t="n"/>
      <c r="AJ245" s="2" t="n"/>
      <c r="AK245" s="2" t="n"/>
      <c r="AL245" s="2" t="n"/>
      <c r="AM245" s="2" t="n"/>
      <c r="AN245" s="2" t="n"/>
      <c r="AO245" s="2" t="n"/>
      <c r="AP245" s="2" t="n"/>
      <c r="AQ245" s="2" t="n"/>
      <c r="AR245" s="2" t="n"/>
      <c r="AS245" s="2" t="n"/>
    </row>
    <row r="246" ht="14.25" customHeight="1" s="157">
      <c r="A246" s="2" t="n"/>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c r="AA246" s="2" t="n"/>
      <c r="AB246" s="2" t="n"/>
      <c r="AC246" s="2" t="n"/>
      <c r="AD246" s="2" t="n"/>
      <c r="AE246" s="2" t="n"/>
      <c r="AF246" s="2" t="n"/>
      <c r="AG246" s="2" t="n"/>
      <c r="AH246" s="2" t="n"/>
      <c r="AI246" s="2" t="n"/>
      <c r="AJ246" s="2" t="n"/>
      <c r="AK246" s="2" t="n"/>
      <c r="AL246" s="2" t="n"/>
      <c r="AM246" s="2" t="n"/>
      <c r="AN246" s="2" t="n"/>
      <c r="AO246" s="2" t="n"/>
      <c r="AP246" s="2" t="n"/>
      <c r="AQ246" s="2" t="n"/>
      <c r="AR246" s="2" t="n"/>
      <c r="AS246" s="2" t="n"/>
    </row>
    <row r="247" ht="14.25" customHeight="1" s="157">
      <c r="A247" s="2" t="n"/>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c r="AA247" s="2" t="n"/>
      <c r="AB247" s="2" t="n"/>
      <c r="AC247" s="2" t="n"/>
      <c r="AD247" s="2" t="n"/>
      <c r="AE247" s="2" t="n"/>
      <c r="AF247" s="2" t="n"/>
      <c r="AG247" s="2" t="n"/>
      <c r="AH247" s="2" t="n"/>
      <c r="AI247" s="2" t="n"/>
      <c r="AJ247" s="2" t="n"/>
      <c r="AK247" s="2" t="n"/>
      <c r="AL247" s="2" t="n"/>
      <c r="AM247" s="2" t="n"/>
      <c r="AN247" s="2" t="n"/>
      <c r="AO247" s="2" t="n"/>
      <c r="AP247" s="2" t="n"/>
      <c r="AQ247" s="2" t="n"/>
      <c r="AR247" s="2" t="n"/>
      <c r="AS247" s="2" t="n"/>
    </row>
    <row r="248" ht="14.25" customHeight="1" s="157">
      <c r="A248" s="2" t="n"/>
      <c r="B248" s="2" t="n"/>
      <c r="C248" s="2" t="n"/>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c r="AA248" s="2" t="n"/>
      <c r="AB248" s="2" t="n"/>
      <c r="AC248" s="2" t="n"/>
      <c r="AD248" s="2" t="n"/>
      <c r="AE248" s="2" t="n"/>
      <c r="AF248" s="2" t="n"/>
      <c r="AG248" s="2" t="n"/>
      <c r="AH248" s="2" t="n"/>
      <c r="AI248" s="2" t="n"/>
      <c r="AJ248" s="2" t="n"/>
      <c r="AK248" s="2" t="n"/>
      <c r="AL248" s="2" t="n"/>
      <c r="AM248" s="2" t="n"/>
      <c r="AN248" s="2" t="n"/>
      <c r="AO248" s="2" t="n"/>
      <c r="AP248" s="2" t="n"/>
      <c r="AQ248" s="2" t="n"/>
      <c r="AR248" s="2" t="n"/>
      <c r="AS248" s="2" t="n"/>
    </row>
    <row r="249" ht="14.25" customHeight="1" s="157">
      <c r="A249" s="2" t="n"/>
      <c r="B249" s="2"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c r="AA249" s="2" t="n"/>
      <c r="AB249" s="2" t="n"/>
      <c r="AC249" s="2" t="n"/>
      <c r="AD249" s="2" t="n"/>
      <c r="AE249" s="2" t="n"/>
      <c r="AF249" s="2" t="n"/>
      <c r="AG249" s="2" t="n"/>
      <c r="AH249" s="2" t="n"/>
      <c r="AI249" s="2" t="n"/>
      <c r="AJ249" s="2" t="n"/>
      <c r="AK249" s="2" t="n"/>
      <c r="AL249" s="2" t="n"/>
      <c r="AM249" s="2" t="n"/>
      <c r="AN249" s="2" t="n"/>
      <c r="AO249" s="2" t="n"/>
      <c r="AP249" s="2" t="n"/>
      <c r="AQ249" s="2" t="n"/>
      <c r="AR249" s="2" t="n"/>
      <c r="AS249" s="2" t="n"/>
    </row>
    <row r="250" ht="14.25" customHeight="1" s="157">
      <c r="A250" s="2" t="n"/>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c r="AA250" s="2" t="n"/>
      <c r="AB250" s="2" t="n"/>
      <c r="AC250" s="2" t="n"/>
      <c r="AD250" s="2" t="n"/>
      <c r="AE250" s="2" t="n"/>
      <c r="AF250" s="2" t="n"/>
      <c r="AG250" s="2" t="n"/>
      <c r="AH250" s="2" t="n"/>
      <c r="AI250" s="2" t="n"/>
      <c r="AJ250" s="2" t="n"/>
      <c r="AK250" s="2" t="n"/>
      <c r="AL250" s="2" t="n"/>
      <c r="AM250" s="2" t="n"/>
      <c r="AN250" s="2" t="n"/>
      <c r="AO250" s="2" t="n"/>
      <c r="AP250" s="2" t="n"/>
      <c r="AQ250" s="2" t="n"/>
      <c r="AR250" s="2" t="n"/>
      <c r="AS250" s="2" t="n"/>
    </row>
    <row r="251" ht="14.25" customHeight="1" s="157">
      <c r="A251" s="2" t="n"/>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c r="AA251" s="2" t="n"/>
      <c r="AB251" s="2" t="n"/>
      <c r="AC251" s="2" t="n"/>
      <c r="AD251" s="2" t="n"/>
      <c r="AE251" s="2" t="n"/>
      <c r="AF251" s="2" t="n"/>
      <c r="AG251" s="2" t="n"/>
      <c r="AH251" s="2" t="n"/>
      <c r="AI251" s="2" t="n"/>
      <c r="AJ251" s="2" t="n"/>
      <c r="AK251" s="2" t="n"/>
      <c r="AL251" s="2" t="n"/>
      <c r="AM251" s="2" t="n"/>
      <c r="AN251" s="2" t="n"/>
      <c r="AO251" s="2" t="n"/>
      <c r="AP251" s="2" t="n"/>
      <c r="AQ251" s="2" t="n"/>
      <c r="AR251" s="2" t="n"/>
      <c r="AS251" s="2" t="n"/>
    </row>
    <row r="252" ht="14.25" customHeight="1" s="157">
      <c r="A252" s="2" t="n"/>
      <c r="B252" s="2"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c r="AA252" s="2" t="n"/>
      <c r="AB252" s="2" t="n"/>
      <c r="AC252" s="2" t="n"/>
      <c r="AD252" s="2" t="n"/>
      <c r="AE252" s="2" t="n"/>
      <c r="AF252" s="2" t="n"/>
      <c r="AG252" s="2" t="n"/>
      <c r="AH252" s="2" t="n"/>
      <c r="AI252" s="2" t="n"/>
      <c r="AJ252" s="2" t="n"/>
      <c r="AK252" s="2" t="n"/>
      <c r="AL252" s="2" t="n"/>
      <c r="AM252" s="2" t="n"/>
      <c r="AN252" s="2" t="n"/>
      <c r="AO252" s="2" t="n"/>
      <c r="AP252" s="2" t="n"/>
      <c r="AQ252" s="2" t="n"/>
      <c r="AR252" s="2" t="n"/>
      <c r="AS252" s="2" t="n"/>
    </row>
    <row r="253" ht="14.25" customHeight="1" s="157">
      <c r="A253" s="2" t="n"/>
      <c r="B253" s="2" t="n"/>
      <c r="C253" s="2" t="n"/>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c r="AA253" s="2" t="n"/>
      <c r="AB253" s="2" t="n"/>
      <c r="AC253" s="2" t="n"/>
      <c r="AD253" s="2" t="n"/>
      <c r="AE253" s="2" t="n"/>
      <c r="AF253" s="2" t="n"/>
      <c r="AG253" s="2" t="n"/>
      <c r="AH253" s="2" t="n"/>
      <c r="AI253" s="2" t="n"/>
      <c r="AJ253" s="2" t="n"/>
      <c r="AK253" s="2" t="n"/>
      <c r="AL253" s="2" t="n"/>
      <c r="AM253" s="2" t="n"/>
      <c r="AN253" s="2" t="n"/>
      <c r="AO253" s="2" t="n"/>
      <c r="AP253" s="2" t="n"/>
      <c r="AQ253" s="2" t="n"/>
      <c r="AR253" s="2" t="n"/>
      <c r="AS253" s="2" t="n"/>
    </row>
    <row r="254" ht="14.25" customHeight="1" s="157">
      <c r="A254" s="2" t="n"/>
      <c r="B254" s="2" t="n"/>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c r="AA254" s="2" t="n"/>
      <c r="AB254" s="2" t="n"/>
      <c r="AC254" s="2" t="n"/>
      <c r="AD254" s="2" t="n"/>
      <c r="AE254" s="2" t="n"/>
      <c r="AF254" s="2" t="n"/>
      <c r="AG254" s="2" t="n"/>
      <c r="AH254" s="2" t="n"/>
      <c r="AI254" s="2" t="n"/>
      <c r="AJ254" s="2" t="n"/>
      <c r="AK254" s="2" t="n"/>
      <c r="AL254" s="2" t="n"/>
      <c r="AM254" s="2" t="n"/>
      <c r="AN254" s="2" t="n"/>
      <c r="AO254" s="2" t="n"/>
      <c r="AP254" s="2" t="n"/>
      <c r="AQ254" s="2" t="n"/>
      <c r="AR254" s="2" t="n"/>
      <c r="AS254" s="2" t="n"/>
    </row>
    <row r="255" ht="14.25" customHeight="1" s="157">
      <c r="A255" s="2" t="n"/>
      <c r="B255" s="2" t="n"/>
      <c r="C255" s="2" t="n"/>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c r="AA255" s="2" t="n"/>
      <c r="AB255" s="2" t="n"/>
      <c r="AC255" s="2" t="n"/>
      <c r="AD255" s="2" t="n"/>
      <c r="AE255" s="2" t="n"/>
      <c r="AF255" s="2" t="n"/>
      <c r="AG255" s="2" t="n"/>
      <c r="AH255" s="2" t="n"/>
      <c r="AI255" s="2" t="n"/>
      <c r="AJ255" s="2" t="n"/>
      <c r="AK255" s="2" t="n"/>
      <c r="AL255" s="2" t="n"/>
      <c r="AM255" s="2" t="n"/>
      <c r="AN255" s="2" t="n"/>
      <c r="AO255" s="2" t="n"/>
      <c r="AP255" s="2" t="n"/>
      <c r="AQ255" s="2" t="n"/>
      <c r="AR255" s="2" t="n"/>
      <c r="AS255" s="2" t="n"/>
    </row>
    <row r="256" ht="14.25" customHeight="1" s="157">
      <c r="A256" s="2" t="n"/>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c r="AA256" s="2" t="n"/>
      <c r="AB256" s="2" t="n"/>
      <c r="AC256" s="2" t="n"/>
      <c r="AD256" s="2" t="n"/>
      <c r="AE256" s="2" t="n"/>
      <c r="AF256" s="2" t="n"/>
      <c r="AG256" s="2" t="n"/>
      <c r="AH256" s="2" t="n"/>
      <c r="AI256" s="2" t="n"/>
      <c r="AJ256" s="2" t="n"/>
      <c r="AK256" s="2" t="n"/>
      <c r="AL256" s="2" t="n"/>
      <c r="AM256" s="2" t="n"/>
      <c r="AN256" s="2" t="n"/>
      <c r="AO256" s="2" t="n"/>
      <c r="AP256" s="2" t="n"/>
      <c r="AQ256" s="2" t="n"/>
      <c r="AR256" s="2" t="n"/>
      <c r="AS256" s="2" t="n"/>
    </row>
    <row r="257" ht="14.25" customHeight="1" s="157">
      <c r="A257" s="2" t="n"/>
      <c r="B257" s="2" t="n"/>
      <c r="C257" s="2"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c r="AA257" s="2" t="n"/>
      <c r="AB257" s="2" t="n"/>
      <c r="AC257" s="2" t="n"/>
      <c r="AD257" s="2" t="n"/>
      <c r="AE257" s="2" t="n"/>
      <c r="AF257" s="2" t="n"/>
      <c r="AG257" s="2" t="n"/>
      <c r="AH257" s="2" t="n"/>
      <c r="AI257" s="2" t="n"/>
      <c r="AJ257" s="2" t="n"/>
      <c r="AK257" s="2" t="n"/>
      <c r="AL257" s="2" t="n"/>
      <c r="AM257" s="2" t="n"/>
      <c r="AN257" s="2" t="n"/>
      <c r="AO257" s="2" t="n"/>
      <c r="AP257" s="2" t="n"/>
      <c r="AQ257" s="2" t="n"/>
      <c r="AR257" s="2" t="n"/>
      <c r="AS257" s="2" t="n"/>
    </row>
    <row r="258" ht="15.75" customHeight="1" s="157"/>
    <row r="259" ht="15.75" customHeight="1" s="157"/>
    <row r="260" ht="15.75" customHeight="1" s="157"/>
    <row r="261" ht="15.75" customHeight="1" s="157"/>
    <row r="262" ht="15.75" customHeight="1" s="157"/>
    <row r="263" ht="15.75" customHeight="1" s="157"/>
    <row r="264" ht="15.75" customHeight="1" s="157"/>
    <row r="265" ht="15.75" customHeight="1" s="157"/>
    <row r="266" ht="15.75" customHeight="1" s="157"/>
    <row r="267" ht="15.75" customHeight="1" s="157"/>
    <row r="268" ht="15.75" customHeight="1" s="157"/>
    <row r="269" ht="15.75" customHeight="1" s="157"/>
    <row r="270" ht="15.75" customHeight="1" s="157"/>
    <row r="271" ht="15.75" customHeight="1" s="157"/>
    <row r="272" ht="15.75" customHeight="1" s="157"/>
    <row r="273" ht="15.75" customHeight="1" s="157"/>
    <row r="274" ht="15.75" customHeight="1" s="157"/>
    <row r="275" ht="15.75" customHeight="1" s="157"/>
    <row r="276" ht="15.75" customHeight="1" s="157"/>
    <row r="277" ht="15.75" customHeight="1" s="157"/>
    <row r="278" ht="15.75" customHeight="1" s="157"/>
    <row r="279" ht="15.75" customHeight="1" s="157"/>
    <row r="280" ht="15.75" customHeight="1" s="157"/>
    <row r="281" ht="15.75" customHeight="1" s="157"/>
    <row r="282" ht="15.75" customHeight="1" s="157"/>
    <row r="283" ht="15.75" customHeight="1" s="157"/>
    <row r="284" ht="15.75" customHeight="1" s="157"/>
    <row r="285" ht="15.75" customHeight="1" s="157"/>
    <row r="286" ht="15.75" customHeight="1" s="157"/>
    <row r="287" ht="15.75" customHeight="1" s="157"/>
    <row r="288" ht="15.75" customHeight="1" s="157"/>
    <row r="289" ht="15.75" customHeight="1" s="157"/>
    <row r="290" ht="15.75" customHeight="1" s="157"/>
    <row r="291" ht="15.75" customHeight="1" s="157"/>
    <row r="292" ht="15.75" customHeight="1" s="157"/>
    <row r="293" ht="15.75" customHeight="1" s="157"/>
    <row r="294" ht="15.75" customHeight="1" s="157"/>
    <row r="295" ht="15.75" customHeight="1" s="157"/>
    <row r="296" ht="15.75" customHeight="1" s="157"/>
    <row r="297" ht="15.75" customHeight="1" s="157"/>
    <row r="298" ht="15.75" customHeight="1" s="157"/>
    <row r="299" ht="15.75" customHeight="1" s="157"/>
    <row r="300" ht="15.75" customHeight="1" s="157"/>
    <row r="301" ht="15.75" customHeight="1" s="157"/>
    <row r="302" ht="15.75" customHeight="1" s="157"/>
    <row r="303" ht="15.75" customHeight="1" s="157"/>
    <row r="304" ht="15.75" customHeight="1" s="157"/>
    <row r="305" ht="15.75" customHeight="1" s="157"/>
    <row r="306" ht="15.75" customHeight="1" s="157"/>
    <row r="307" ht="15.75" customHeight="1" s="157"/>
    <row r="308" ht="15.75" customHeight="1" s="157"/>
    <row r="309" ht="15.75" customHeight="1" s="157"/>
    <row r="310" ht="15.75" customHeight="1" s="157"/>
    <row r="311" ht="15.75" customHeight="1" s="157"/>
    <row r="312" ht="15.75" customHeight="1" s="157"/>
    <row r="313" ht="15.75" customHeight="1" s="157"/>
    <row r="314" ht="15.75" customHeight="1" s="157"/>
    <row r="315" ht="15.75" customHeight="1" s="157"/>
    <row r="316" ht="15.75" customHeight="1" s="157"/>
    <row r="317" ht="15.75" customHeight="1" s="157"/>
    <row r="318" ht="15.75" customHeight="1" s="157"/>
    <row r="319" ht="15.75" customHeight="1" s="157"/>
    <row r="320" ht="15.75" customHeight="1" s="157"/>
    <row r="321" ht="15.75" customHeight="1" s="157"/>
    <row r="322" ht="15.75" customHeight="1" s="157"/>
    <row r="323" ht="15.75" customHeight="1" s="157"/>
    <row r="324" ht="15.75" customHeight="1" s="157"/>
    <row r="325" ht="15.75" customHeight="1" s="157"/>
    <row r="326" ht="15.75" customHeight="1" s="157"/>
    <row r="327" ht="15.75" customHeight="1" s="157"/>
    <row r="328" ht="15.75" customHeight="1" s="157"/>
    <row r="329" ht="15.75" customHeight="1" s="157"/>
    <row r="330" ht="15.75" customHeight="1" s="157"/>
    <row r="331" ht="15.75" customHeight="1" s="157"/>
    <row r="332" ht="15.75" customHeight="1" s="157"/>
    <row r="333" ht="15.75" customHeight="1" s="157"/>
    <row r="334" ht="15.75" customHeight="1" s="157"/>
    <row r="335" ht="15.75" customHeight="1" s="157"/>
    <row r="336" ht="15.75" customHeight="1" s="157"/>
    <row r="337" ht="15.75" customHeight="1" s="157"/>
    <row r="338" ht="15.75" customHeight="1" s="157"/>
    <row r="339" ht="15.75" customHeight="1" s="157"/>
    <row r="340" ht="15.75" customHeight="1" s="157"/>
    <row r="341" ht="15.75" customHeight="1" s="157"/>
    <row r="342" ht="15.75" customHeight="1" s="157"/>
    <row r="343" ht="15.75" customHeight="1" s="157"/>
    <row r="344" ht="15.75" customHeight="1" s="157"/>
    <row r="345" ht="15.75" customHeight="1" s="157"/>
    <row r="346" ht="15.75" customHeight="1" s="157"/>
    <row r="347" ht="15.75" customHeight="1" s="157"/>
    <row r="348" ht="15.75" customHeight="1" s="157"/>
    <row r="349" ht="15.75" customHeight="1" s="157"/>
    <row r="350" ht="15.75" customHeight="1" s="157"/>
    <row r="351" ht="15.75" customHeight="1" s="157"/>
    <row r="352" ht="15.75" customHeight="1" s="157"/>
    <row r="353" ht="15.75" customHeight="1" s="157"/>
    <row r="354" ht="15.75" customHeight="1" s="157"/>
    <row r="355" ht="15.75" customHeight="1" s="157"/>
    <row r="356" ht="15.75" customHeight="1" s="157"/>
    <row r="357" ht="15.75" customHeight="1" s="157"/>
    <row r="358" ht="15.75" customHeight="1" s="157"/>
    <row r="359" ht="15.75" customHeight="1" s="157"/>
    <row r="360" ht="15.75" customHeight="1" s="157"/>
    <row r="361" ht="15.75" customHeight="1" s="157"/>
    <row r="362" ht="15.75" customHeight="1" s="157"/>
    <row r="363" ht="15.75" customHeight="1" s="157"/>
    <row r="364" ht="15.75" customHeight="1" s="157"/>
    <row r="365" ht="15.75" customHeight="1" s="157"/>
    <row r="366" ht="15.75" customHeight="1" s="157"/>
    <row r="367" ht="15.75" customHeight="1" s="157"/>
    <row r="368" ht="15.75" customHeight="1" s="157"/>
    <row r="369" ht="15.75" customHeight="1" s="157"/>
    <row r="370" ht="15.75" customHeight="1" s="157"/>
    <row r="371" ht="15.75" customHeight="1" s="157"/>
    <row r="372" ht="15.75" customHeight="1" s="157"/>
    <row r="373" ht="15.75" customHeight="1" s="157"/>
    <row r="374" ht="15.75" customHeight="1" s="157"/>
    <row r="375" ht="15.75" customHeight="1" s="157"/>
    <row r="376" ht="15.75" customHeight="1" s="157"/>
    <row r="377" ht="15.75" customHeight="1" s="157"/>
    <row r="378" ht="15.75" customHeight="1" s="157"/>
    <row r="379" ht="15.75" customHeight="1" s="157"/>
    <row r="380" ht="15.75" customHeight="1" s="157"/>
    <row r="381" ht="15.75" customHeight="1" s="157"/>
    <row r="382" ht="15.75" customHeight="1" s="157"/>
    <row r="383" ht="15.75" customHeight="1" s="157"/>
    <row r="384" ht="15.75" customHeight="1" s="157"/>
    <row r="385" ht="15.75" customHeight="1" s="157"/>
    <row r="386" ht="15.75" customHeight="1" s="157"/>
    <row r="387" ht="15.75" customHeight="1" s="157"/>
    <row r="388" ht="15.75" customHeight="1" s="157"/>
    <row r="389" ht="15.75" customHeight="1" s="157"/>
    <row r="390" ht="15.75" customHeight="1" s="157"/>
    <row r="391" ht="15.75" customHeight="1" s="157"/>
    <row r="392" ht="15.75" customHeight="1" s="157"/>
    <row r="393" ht="15.75" customHeight="1" s="157"/>
    <row r="394" ht="15.75" customHeight="1" s="157"/>
    <row r="395" ht="15.75" customHeight="1" s="157"/>
    <row r="396" ht="15.75" customHeight="1" s="157"/>
    <row r="397" ht="15.75" customHeight="1" s="157"/>
    <row r="398" ht="15.75" customHeight="1" s="157"/>
    <row r="399" ht="15.75" customHeight="1" s="157"/>
    <row r="400" ht="15.75" customHeight="1" s="157"/>
    <row r="401" ht="15.75" customHeight="1" s="157"/>
    <row r="402" ht="15.75" customHeight="1" s="157"/>
    <row r="403" ht="15.75" customHeight="1" s="157"/>
    <row r="404" ht="15.75" customHeight="1" s="157"/>
    <row r="405" ht="15.75" customHeight="1" s="157"/>
    <row r="406" ht="15.75" customHeight="1" s="157"/>
    <row r="407" ht="15.75" customHeight="1" s="157"/>
    <row r="408" ht="15.75" customHeight="1" s="157"/>
    <row r="409" ht="15.75" customHeight="1" s="157"/>
    <row r="410" ht="15.75" customHeight="1" s="157"/>
    <row r="411" ht="15.75" customHeight="1" s="157"/>
    <row r="412" ht="15.75" customHeight="1" s="157"/>
    <row r="413" ht="15.75" customHeight="1" s="157"/>
    <row r="414" ht="15.75" customHeight="1" s="157"/>
    <row r="415" ht="15.75" customHeight="1" s="157"/>
    <row r="416" ht="15.75" customHeight="1" s="157"/>
    <row r="417" ht="15.75" customHeight="1" s="157"/>
    <row r="418" ht="15.75" customHeight="1" s="157"/>
    <row r="419" ht="15.75" customHeight="1" s="157"/>
    <row r="420" ht="15.75" customHeight="1" s="157"/>
    <row r="421" ht="15.75" customHeight="1" s="157"/>
    <row r="422" ht="15.75" customHeight="1" s="157"/>
    <row r="423" ht="15.75" customHeight="1" s="157"/>
    <row r="424" ht="15.75" customHeight="1" s="157"/>
    <row r="425" ht="15.75" customHeight="1" s="157"/>
    <row r="426" ht="15.75" customHeight="1" s="157"/>
    <row r="427" ht="15.75" customHeight="1" s="157"/>
    <row r="428" ht="15.75" customHeight="1" s="157"/>
    <row r="429" ht="15.75" customHeight="1" s="157"/>
    <row r="430" ht="15.75" customHeight="1" s="157"/>
    <row r="431" ht="15.75" customHeight="1" s="157"/>
    <row r="432" ht="15.75" customHeight="1" s="157"/>
    <row r="433" ht="15.75" customHeight="1" s="157"/>
    <row r="434" ht="15.75" customHeight="1" s="157"/>
    <row r="435" ht="15.75" customHeight="1" s="157"/>
    <row r="436" ht="15.75" customHeight="1" s="157"/>
    <row r="437" ht="15.75" customHeight="1" s="157"/>
    <row r="438" ht="15.75" customHeight="1" s="157"/>
    <row r="439" ht="15.75" customHeight="1" s="157"/>
    <row r="440" ht="15.75" customHeight="1" s="157"/>
    <row r="441" ht="15.75" customHeight="1" s="157"/>
    <row r="442" ht="15.75" customHeight="1" s="157"/>
    <row r="443" ht="15.75" customHeight="1" s="157"/>
    <row r="444" ht="15.75" customHeight="1" s="157"/>
    <row r="445" ht="15.75" customHeight="1" s="157"/>
    <row r="446" ht="15.75" customHeight="1" s="157"/>
    <row r="447" ht="15.75" customHeight="1" s="157"/>
    <row r="448" ht="15.75" customHeight="1" s="157"/>
    <row r="449" ht="15.75" customHeight="1" s="157"/>
    <row r="450" ht="15.75" customHeight="1" s="157"/>
    <row r="451" ht="15.75" customHeight="1" s="157"/>
    <row r="452" ht="15.75" customHeight="1" s="157"/>
    <row r="453" ht="15.75" customHeight="1" s="157"/>
    <row r="454" ht="15.75" customHeight="1" s="157"/>
    <row r="455" ht="15.75" customHeight="1" s="157"/>
    <row r="456" ht="15.75" customHeight="1" s="157"/>
    <row r="457" ht="15.75" customHeight="1" s="157"/>
    <row r="458" ht="15.75" customHeight="1" s="157"/>
    <row r="459" ht="15.75" customHeight="1" s="157"/>
    <row r="460" ht="15.75" customHeight="1" s="157"/>
    <row r="461" ht="15.75" customHeight="1" s="157"/>
    <row r="462" ht="15.75" customHeight="1" s="157"/>
    <row r="463" ht="15.75" customHeight="1" s="157"/>
    <row r="464" ht="15.75" customHeight="1" s="157"/>
    <row r="465" ht="15.75" customHeight="1" s="157"/>
    <row r="466" ht="15.75" customHeight="1" s="157"/>
    <row r="467" ht="15.75" customHeight="1" s="157"/>
    <row r="468" ht="15.75" customHeight="1" s="157"/>
    <row r="469" ht="15.75" customHeight="1" s="157"/>
    <row r="470" ht="15.75" customHeight="1" s="157"/>
    <row r="471" ht="15.75" customHeight="1" s="157"/>
    <row r="472" ht="15.75" customHeight="1" s="157"/>
    <row r="473" ht="15.75" customHeight="1" s="157"/>
    <row r="474" ht="15.75" customHeight="1" s="157"/>
    <row r="475" ht="15.75" customHeight="1" s="157"/>
    <row r="476" ht="15.75" customHeight="1" s="157"/>
    <row r="477" ht="15.75" customHeight="1" s="157"/>
    <row r="478" ht="15.75" customHeight="1" s="157"/>
    <row r="479" ht="15.75" customHeight="1" s="157"/>
    <row r="480" ht="15.75" customHeight="1" s="157"/>
    <row r="481" ht="15.75" customHeight="1" s="157"/>
    <row r="482" ht="15.75" customHeight="1" s="157"/>
    <row r="483" ht="15.75" customHeight="1" s="157"/>
    <row r="484" ht="15.75" customHeight="1" s="157"/>
    <row r="485" ht="15.75" customHeight="1" s="157"/>
    <row r="486" ht="15.75" customHeight="1" s="157"/>
    <row r="487" ht="15.75" customHeight="1" s="157"/>
    <row r="488" ht="15.75" customHeight="1" s="157"/>
    <row r="489" ht="15.75" customHeight="1" s="157"/>
    <row r="490" ht="15.75" customHeight="1" s="157"/>
    <row r="491" ht="15.75" customHeight="1" s="157"/>
    <row r="492" ht="15.75" customHeight="1" s="157"/>
    <row r="493" ht="15.75" customHeight="1" s="157"/>
    <row r="494" ht="15.75" customHeight="1" s="157"/>
    <row r="495" ht="15.75" customHeight="1" s="157"/>
    <row r="496" ht="15.75" customHeight="1" s="157"/>
    <row r="497" ht="15.75" customHeight="1" s="157"/>
    <row r="498" ht="15.75" customHeight="1" s="157"/>
    <row r="499" ht="15.75" customHeight="1" s="157"/>
    <row r="500" ht="15.75" customHeight="1" s="157"/>
    <row r="501" ht="15.75" customHeight="1" s="157"/>
    <row r="502" ht="15.75" customHeight="1" s="157"/>
    <row r="503" ht="15.75" customHeight="1" s="157"/>
    <row r="504" ht="15.75" customHeight="1" s="157"/>
    <row r="505" ht="15.75" customHeight="1" s="157"/>
    <row r="506" ht="15.75" customHeight="1" s="157"/>
    <row r="507" ht="15.75" customHeight="1" s="157"/>
    <row r="508" ht="15.75" customHeight="1" s="157"/>
    <row r="509" ht="15.75" customHeight="1" s="157"/>
    <row r="510" ht="15.75" customHeight="1" s="157"/>
    <row r="511" ht="15.75" customHeight="1" s="157"/>
    <row r="512" ht="15.75" customHeight="1" s="157"/>
    <row r="513" ht="15.75" customHeight="1" s="157"/>
    <row r="514" ht="15.75" customHeight="1" s="157"/>
    <row r="515" ht="15.75" customHeight="1" s="157"/>
    <row r="516" ht="15.75" customHeight="1" s="157"/>
    <row r="517" ht="15.75" customHeight="1" s="157"/>
    <row r="518" ht="15.75" customHeight="1" s="157"/>
    <row r="519" ht="15.75" customHeight="1" s="157"/>
    <row r="520" ht="15.75" customHeight="1" s="157"/>
    <row r="521" ht="15.75" customHeight="1" s="157"/>
    <row r="522" ht="15.75" customHeight="1" s="157"/>
    <row r="523" ht="15.75" customHeight="1" s="157"/>
    <row r="524" ht="15.75" customHeight="1" s="157"/>
    <row r="525" ht="15.75" customHeight="1" s="157"/>
    <row r="526" ht="15.75" customHeight="1" s="157"/>
    <row r="527" ht="15.75" customHeight="1" s="157"/>
    <row r="528" ht="15.75" customHeight="1" s="157"/>
    <row r="529" ht="15.75" customHeight="1" s="157"/>
    <row r="530" ht="15.75" customHeight="1" s="157"/>
    <row r="531" ht="15.75" customHeight="1" s="157"/>
    <row r="532" ht="15.75" customHeight="1" s="157"/>
    <row r="533" ht="15.75" customHeight="1" s="157"/>
    <row r="534" ht="15.75" customHeight="1" s="157"/>
    <row r="535" ht="15.75" customHeight="1" s="157"/>
    <row r="536" ht="15.75" customHeight="1" s="157"/>
    <row r="537" ht="15.75" customHeight="1" s="157"/>
    <row r="538" ht="15.75" customHeight="1" s="157"/>
    <row r="539" ht="15.75" customHeight="1" s="157"/>
    <row r="540" ht="15.75" customHeight="1" s="157"/>
    <row r="541" ht="15.75" customHeight="1" s="157"/>
    <row r="542" ht="15.75" customHeight="1" s="157"/>
    <row r="543" ht="15.75" customHeight="1" s="157"/>
    <row r="544" ht="15.75" customHeight="1" s="157"/>
    <row r="545" ht="15.75" customHeight="1" s="157"/>
    <row r="546" ht="15.75" customHeight="1" s="157"/>
    <row r="547" ht="15.75" customHeight="1" s="157"/>
    <row r="548" ht="15.75" customHeight="1" s="157"/>
    <row r="549" ht="15.75" customHeight="1" s="157"/>
    <row r="550" ht="15.75" customHeight="1" s="157"/>
    <row r="551" ht="15.75" customHeight="1" s="157"/>
    <row r="552" ht="15.75" customHeight="1" s="157"/>
    <row r="553" ht="15.75" customHeight="1" s="157"/>
    <row r="554" ht="15.75" customHeight="1" s="157"/>
    <row r="555" ht="15.75" customHeight="1" s="157"/>
    <row r="556" ht="15.75" customHeight="1" s="157"/>
    <row r="557" ht="15.75" customHeight="1" s="157"/>
    <row r="558" ht="15.75" customHeight="1" s="157"/>
    <row r="559" ht="15.75" customHeight="1" s="157"/>
    <row r="560" ht="15.75" customHeight="1" s="157"/>
    <row r="561" ht="15.75" customHeight="1" s="157"/>
    <row r="562" ht="15.75" customHeight="1" s="157"/>
    <row r="563" ht="15.75" customHeight="1" s="157"/>
    <row r="564" ht="15.75" customHeight="1" s="157"/>
    <row r="565" ht="15.75" customHeight="1" s="157"/>
    <row r="566" ht="15.75" customHeight="1" s="157"/>
    <row r="567" ht="15.75" customHeight="1" s="157"/>
    <row r="568" ht="15.75" customHeight="1" s="157"/>
    <row r="569" ht="15.75" customHeight="1" s="157"/>
    <row r="570" ht="15.75" customHeight="1" s="157"/>
    <row r="571" ht="15.75" customHeight="1" s="157"/>
    <row r="572" ht="15.75" customHeight="1" s="157"/>
    <row r="573" ht="15.75" customHeight="1" s="157"/>
    <row r="574" ht="15.75" customHeight="1" s="157"/>
    <row r="575" ht="15.75" customHeight="1" s="157"/>
    <row r="576" ht="15.75" customHeight="1" s="157"/>
    <row r="577" ht="15.75" customHeight="1" s="157"/>
    <row r="578" ht="15.75" customHeight="1" s="157"/>
    <row r="579" ht="15.75" customHeight="1" s="157"/>
    <row r="580" ht="15.75" customHeight="1" s="157"/>
    <row r="581" ht="15.75" customHeight="1" s="157"/>
    <row r="582" ht="15.75" customHeight="1" s="157"/>
    <row r="583" ht="15.75" customHeight="1" s="157"/>
    <row r="584" ht="15.75" customHeight="1" s="157"/>
    <row r="585" ht="15.75" customHeight="1" s="157"/>
    <row r="586" ht="15.75" customHeight="1" s="157"/>
    <row r="587" ht="15.75" customHeight="1" s="157"/>
    <row r="588" ht="15.75" customHeight="1" s="157"/>
    <row r="589" ht="15.75" customHeight="1" s="157"/>
    <row r="590" ht="15.75" customHeight="1" s="157"/>
    <row r="591" ht="15.75" customHeight="1" s="157"/>
    <row r="592" ht="15.75" customHeight="1" s="157"/>
    <row r="593" ht="15.75" customHeight="1" s="157"/>
    <row r="594" ht="15.75" customHeight="1" s="157"/>
    <row r="595" ht="15.75" customHeight="1" s="157"/>
    <row r="596" ht="15.75" customHeight="1" s="157"/>
    <row r="597" ht="15.75" customHeight="1" s="157"/>
    <row r="598" ht="15.75" customHeight="1" s="157"/>
    <row r="599" ht="15.75" customHeight="1" s="157"/>
    <row r="600" ht="15.75" customHeight="1" s="157"/>
    <row r="601" ht="15.75" customHeight="1" s="157"/>
    <row r="602" ht="15.75" customHeight="1" s="157"/>
    <row r="603" ht="15.75" customHeight="1" s="157"/>
    <row r="604" ht="15.75" customHeight="1" s="157"/>
    <row r="605" ht="15.75" customHeight="1" s="157"/>
    <row r="606" ht="15.75" customHeight="1" s="157"/>
    <row r="607" ht="15.75" customHeight="1" s="157"/>
    <row r="608" ht="15.75" customHeight="1" s="157"/>
    <row r="609" ht="15.75" customHeight="1" s="157"/>
    <row r="610" ht="15.75" customHeight="1" s="157"/>
    <row r="611" ht="15.75" customHeight="1" s="157"/>
    <row r="612" ht="15.75" customHeight="1" s="157"/>
    <row r="613" ht="15.75" customHeight="1" s="157"/>
    <row r="614" ht="15.75" customHeight="1" s="157"/>
    <row r="615" ht="15.75" customHeight="1" s="157"/>
    <row r="616" ht="15.75" customHeight="1" s="157"/>
    <row r="617" ht="15.75" customHeight="1" s="157"/>
    <row r="618" ht="15.75" customHeight="1" s="157"/>
    <row r="619" ht="15.75" customHeight="1" s="157"/>
    <row r="620" ht="15.75" customHeight="1" s="157"/>
    <row r="621" ht="15.75" customHeight="1" s="157"/>
    <row r="622" ht="15.75" customHeight="1" s="157"/>
    <row r="623" ht="15.75" customHeight="1" s="157"/>
    <row r="624" ht="15.75" customHeight="1" s="157"/>
    <row r="625" ht="15.75" customHeight="1" s="157"/>
    <row r="626" ht="15.75" customHeight="1" s="157"/>
    <row r="627" ht="15.75" customHeight="1" s="157"/>
    <row r="628" ht="15.75" customHeight="1" s="157"/>
    <row r="629" ht="15.75" customHeight="1" s="157"/>
    <row r="630" ht="15.75" customHeight="1" s="157"/>
    <row r="631" ht="15.75" customHeight="1" s="157"/>
    <row r="632" ht="15.75" customHeight="1" s="157"/>
    <row r="633" ht="15.75" customHeight="1" s="157"/>
    <row r="634" ht="15.75" customHeight="1" s="157"/>
    <row r="635" ht="15.75" customHeight="1" s="157"/>
    <row r="636" ht="15.75" customHeight="1" s="157"/>
    <row r="637" ht="15.75" customHeight="1" s="157"/>
    <row r="638" ht="15.75" customHeight="1" s="157"/>
    <row r="639" ht="15.75" customHeight="1" s="157"/>
    <row r="640" ht="15.75" customHeight="1" s="157"/>
    <row r="641" ht="15.75" customHeight="1" s="157"/>
    <row r="642" ht="15.75" customHeight="1" s="157"/>
    <row r="643" ht="15.75" customHeight="1" s="157"/>
    <row r="644" ht="15.75" customHeight="1" s="157"/>
    <row r="645" ht="15.75" customHeight="1" s="157"/>
    <row r="646" ht="15.75" customHeight="1" s="157"/>
    <row r="647" ht="15.75" customHeight="1" s="157"/>
    <row r="648" ht="15.75" customHeight="1" s="157"/>
    <row r="649" ht="15.75" customHeight="1" s="157"/>
    <row r="650" ht="15.75" customHeight="1" s="157"/>
    <row r="651" ht="15.75" customHeight="1" s="157"/>
    <row r="652" ht="15.75" customHeight="1" s="157"/>
    <row r="653" ht="15.75" customHeight="1" s="157"/>
    <row r="654" ht="15.75" customHeight="1" s="157"/>
    <row r="655" ht="15.75" customHeight="1" s="157"/>
    <row r="656" ht="15.75" customHeight="1" s="157"/>
    <row r="657" ht="15.75" customHeight="1" s="157"/>
    <row r="658" ht="15.75" customHeight="1" s="157"/>
    <row r="659" ht="15.75" customHeight="1" s="157"/>
    <row r="660" ht="15.75" customHeight="1" s="157"/>
    <row r="661" ht="15.75" customHeight="1" s="157"/>
    <row r="662" ht="15.75" customHeight="1" s="157"/>
    <row r="663" ht="15.75" customHeight="1" s="157"/>
    <row r="664" ht="15.75" customHeight="1" s="157"/>
    <row r="665" ht="15.75" customHeight="1" s="157"/>
    <row r="666" ht="15.75" customHeight="1" s="157"/>
    <row r="667" ht="15.75" customHeight="1" s="157"/>
    <row r="668" ht="15.75" customHeight="1" s="157"/>
    <row r="669" ht="15.75" customHeight="1" s="157"/>
    <row r="670" ht="15.75" customHeight="1" s="157"/>
    <row r="671" ht="15.75" customHeight="1" s="157"/>
    <row r="672" ht="15.75" customHeight="1" s="157"/>
    <row r="673" ht="15.75" customHeight="1" s="157"/>
    <row r="674" ht="15.75" customHeight="1" s="157"/>
    <row r="675" ht="15.75" customHeight="1" s="157"/>
    <row r="676" ht="15.75" customHeight="1" s="157"/>
    <row r="677" ht="15.75" customHeight="1" s="157"/>
    <row r="678" ht="15.75" customHeight="1" s="157"/>
    <row r="679" ht="15.75" customHeight="1" s="157"/>
    <row r="680" ht="15.75" customHeight="1" s="157"/>
    <row r="681" ht="15.75" customHeight="1" s="157"/>
    <row r="682" ht="15.75" customHeight="1" s="157"/>
    <row r="683" ht="15.75" customHeight="1" s="157"/>
    <row r="684" ht="15.75" customHeight="1" s="157"/>
    <row r="685" ht="15.75" customHeight="1" s="157"/>
    <row r="686" ht="15.75" customHeight="1" s="157"/>
    <row r="687" ht="15.75" customHeight="1" s="157"/>
    <row r="688" ht="15.75" customHeight="1" s="157"/>
    <row r="689" ht="15.75" customHeight="1" s="157"/>
    <row r="690" ht="15.75" customHeight="1" s="157"/>
    <row r="691" ht="15.75" customHeight="1" s="157"/>
    <row r="692" ht="15.75" customHeight="1" s="157"/>
    <row r="693" ht="15.75" customHeight="1" s="157"/>
    <row r="694" ht="15.75" customHeight="1" s="157"/>
    <row r="695" ht="15.75" customHeight="1" s="157"/>
    <row r="696" ht="15.75" customHeight="1" s="157"/>
    <row r="697" ht="15.75" customHeight="1" s="157"/>
    <row r="698" ht="15.75" customHeight="1" s="157"/>
    <row r="699" ht="15.75" customHeight="1" s="157"/>
    <row r="700" ht="15.75" customHeight="1" s="157"/>
    <row r="701" ht="15.75" customHeight="1" s="157"/>
    <row r="702" ht="15.75" customHeight="1" s="157"/>
    <row r="703" ht="15.75" customHeight="1" s="157"/>
    <row r="704" ht="15.75" customHeight="1" s="157"/>
    <row r="705" ht="15.75" customHeight="1" s="157"/>
    <row r="706" ht="15.75" customHeight="1" s="157"/>
    <row r="707" ht="15.75" customHeight="1" s="157"/>
    <row r="708" ht="15.75" customHeight="1" s="157"/>
    <row r="709" ht="15.75" customHeight="1" s="157"/>
    <row r="710" ht="15.75" customHeight="1" s="157"/>
    <row r="711" ht="15.75" customHeight="1" s="157"/>
    <row r="712" ht="15.75" customHeight="1" s="157"/>
    <row r="713" ht="15.75" customHeight="1" s="157"/>
    <row r="714" ht="15.75" customHeight="1" s="157"/>
    <row r="715" ht="15.75" customHeight="1" s="157"/>
    <row r="716" ht="15.75" customHeight="1" s="157"/>
    <row r="717" ht="15.75" customHeight="1" s="157"/>
    <row r="718" ht="15.75" customHeight="1" s="157"/>
    <row r="719" ht="15.75" customHeight="1" s="157"/>
    <row r="720" ht="15.75" customHeight="1" s="157"/>
    <row r="721" ht="15.75" customHeight="1" s="157"/>
    <row r="722" ht="15.75" customHeight="1" s="157"/>
    <row r="723" ht="15.75" customHeight="1" s="157"/>
    <row r="724" ht="15.75" customHeight="1" s="157"/>
    <row r="725" ht="15.75" customHeight="1" s="157"/>
    <row r="726" ht="15.75" customHeight="1" s="157"/>
    <row r="727" ht="15.75" customHeight="1" s="157"/>
    <row r="728" ht="15.75" customHeight="1" s="157"/>
    <row r="729" ht="15.75" customHeight="1" s="157"/>
    <row r="730" ht="15.75" customHeight="1" s="157"/>
    <row r="731" ht="15.75" customHeight="1" s="157"/>
    <row r="732" ht="15.75" customHeight="1" s="157"/>
    <row r="733" ht="15.75" customHeight="1" s="157"/>
    <row r="734" ht="15.75" customHeight="1" s="157"/>
    <row r="735" ht="15.75" customHeight="1" s="157"/>
    <row r="736" ht="15.75" customHeight="1" s="157"/>
    <row r="737" ht="15.75" customHeight="1" s="157"/>
    <row r="738" ht="15.75" customHeight="1" s="157"/>
    <row r="739" ht="15.75" customHeight="1" s="157"/>
    <row r="740" ht="15.75" customHeight="1" s="157"/>
    <row r="741" ht="15.75" customHeight="1" s="157"/>
    <row r="742" ht="15.75" customHeight="1" s="157"/>
    <row r="743" ht="15.75" customHeight="1" s="157"/>
    <row r="744" ht="15.75" customHeight="1" s="157"/>
    <row r="745" ht="15.75" customHeight="1" s="157"/>
    <row r="746" ht="15.75" customHeight="1" s="157"/>
    <row r="747" ht="15.75" customHeight="1" s="157"/>
    <row r="748" ht="15.75" customHeight="1" s="157"/>
    <row r="749" ht="15.75" customHeight="1" s="157"/>
    <row r="750" ht="15.75" customHeight="1" s="157"/>
    <row r="751" ht="15.75" customHeight="1" s="157"/>
    <row r="752" ht="15.75" customHeight="1" s="157"/>
    <row r="753" ht="15.75" customHeight="1" s="157"/>
    <row r="754" ht="15.75" customHeight="1" s="157"/>
    <row r="755" ht="15.75" customHeight="1" s="157"/>
    <row r="756" ht="15.75" customHeight="1" s="157"/>
    <row r="757" ht="15.75" customHeight="1" s="157"/>
    <row r="758" ht="15.75" customHeight="1" s="157"/>
    <row r="759" ht="15.75" customHeight="1" s="157"/>
    <row r="760" ht="15.75" customHeight="1" s="157"/>
    <row r="761" ht="15.75" customHeight="1" s="157"/>
    <row r="762" ht="15.75" customHeight="1" s="157"/>
    <row r="763" ht="15.75" customHeight="1" s="157"/>
    <row r="764" ht="15.75" customHeight="1" s="157"/>
    <row r="765" ht="15.75" customHeight="1" s="157"/>
    <row r="766" ht="15.75" customHeight="1" s="157"/>
    <row r="767" ht="15.75" customHeight="1" s="157"/>
    <row r="768" ht="15.75" customHeight="1" s="157"/>
    <row r="769" ht="15.75" customHeight="1" s="157"/>
    <row r="770" ht="15.75" customHeight="1" s="157"/>
    <row r="771" ht="15.75" customHeight="1" s="157"/>
    <row r="772" ht="15.75" customHeight="1" s="157"/>
    <row r="773" ht="15.75" customHeight="1" s="157"/>
    <row r="774" ht="15.75" customHeight="1" s="157"/>
    <row r="775" ht="15.75" customHeight="1" s="157"/>
    <row r="776" ht="15.75" customHeight="1" s="157"/>
    <row r="777" ht="15.75" customHeight="1" s="157"/>
    <row r="778" ht="15.75" customHeight="1" s="157"/>
    <row r="779" ht="15.75" customHeight="1" s="157"/>
    <row r="780" ht="15.75" customHeight="1" s="157"/>
    <row r="781" ht="15.75" customHeight="1" s="157"/>
    <row r="782" ht="15.75" customHeight="1" s="157"/>
    <row r="783" ht="15.75" customHeight="1" s="157"/>
    <row r="784" ht="15.75" customHeight="1" s="157"/>
    <row r="785" ht="15.75" customHeight="1" s="157"/>
    <row r="786" ht="15.75" customHeight="1" s="157"/>
    <row r="787" ht="15.75" customHeight="1" s="157"/>
    <row r="788" ht="15.75" customHeight="1" s="157"/>
    <row r="789" ht="15.75" customHeight="1" s="157"/>
    <row r="790" ht="15.75" customHeight="1" s="157"/>
    <row r="791" ht="15.75" customHeight="1" s="157"/>
    <row r="792" ht="15.75" customHeight="1" s="157"/>
    <row r="793" ht="15.75" customHeight="1" s="157"/>
    <row r="794" ht="15.75" customHeight="1" s="157"/>
    <row r="795" ht="15.75" customHeight="1" s="157"/>
    <row r="796" ht="15.75" customHeight="1" s="157"/>
    <row r="797" ht="15.75" customHeight="1" s="157"/>
    <row r="798" ht="15.75" customHeight="1" s="157"/>
    <row r="799" ht="15.75" customHeight="1" s="157"/>
    <row r="800" ht="15.75" customHeight="1" s="157"/>
    <row r="801" ht="15.75" customHeight="1" s="157"/>
    <row r="802" ht="15.75" customHeight="1" s="157"/>
    <row r="803" ht="15.75" customHeight="1" s="157"/>
    <row r="804" ht="15.75" customHeight="1" s="157"/>
    <row r="805" ht="15.75" customHeight="1" s="157"/>
    <row r="806" ht="15.75" customHeight="1" s="157"/>
    <row r="807" ht="15.75" customHeight="1" s="157"/>
    <row r="808" ht="15.75" customHeight="1" s="157"/>
    <row r="809" ht="15.75" customHeight="1" s="157"/>
    <row r="810" ht="15.75" customHeight="1" s="157"/>
    <row r="811" ht="15.75" customHeight="1" s="157"/>
    <row r="812" ht="15.75" customHeight="1" s="157"/>
    <row r="813" ht="15.75" customHeight="1" s="157"/>
    <row r="814" ht="15.75" customHeight="1" s="157"/>
    <row r="815" ht="15.75" customHeight="1" s="157"/>
    <row r="816" ht="15.75" customHeight="1" s="157"/>
    <row r="817" ht="15.75" customHeight="1" s="157"/>
    <row r="818" ht="15.75" customHeight="1" s="157"/>
    <row r="819" ht="15.75" customHeight="1" s="157"/>
    <row r="820" ht="15.75" customHeight="1" s="157"/>
    <row r="821" ht="15.75" customHeight="1" s="157"/>
    <row r="822" ht="15.75" customHeight="1" s="157"/>
    <row r="823" ht="15.75" customHeight="1" s="157"/>
    <row r="824" ht="15.75" customHeight="1" s="157"/>
    <row r="825" ht="15.75" customHeight="1" s="157"/>
    <row r="826" ht="15.75" customHeight="1" s="157"/>
    <row r="827" ht="15.75" customHeight="1" s="157"/>
    <row r="828" ht="15.75" customHeight="1" s="157"/>
    <row r="829" ht="15.75" customHeight="1" s="157"/>
    <row r="830" ht="15.75" customHeight="1" s="157"/>
    <row r="831" ht="15.75" customHeight="1" s="157"/>
    <row r="832" ht="15.75" customHeight="1" s="157"/>
    <row r="833" ht="15.75" customHeight="1" s="157"/>
    <row r="834" ht="15.75" customHeight="1" s="157"/>
    <row r="835" ht="15.75" customHeight="1" s="157"/>
    <row r="836" ht="15.75" customHeight="1" s="157"/>
    <row r="837" ht="15.75" customHeight="1" s="157"/>
    <row r="838" ht="15.75" customHeight="1" s="157"/>
    <row r="839" ht="15.75" customHeight="1" s="157"/>
    <row r="840" ht="15.75" customHeight="1" s="157"/>
    <row r="841" ht="15.75" customHeight="1" s="157"/>
    <row r="842" ht="15.75" customHeight="1" s="157"/>
    <row r="843" ht="15.75" customHeight="1" s="157"/>
    <row r="844" ht="15.75" customHeight="1" s="157"/>
    <row r="845" ht="15.75" customHeight="1" s="157"/>
    <row r="846" ht="15.75" customHeight="1" s="157"/>
    <row r="847" ht="15.75" customHeight="1" s="157"/>
    <row r="848" ht="15.75" customHeight="1" s="157"/>
    <row r="849" ht="15.75" customHeight="1" s="157"/>
    <row r="850" ht="15.75" customHeight="1" s="157"/>
    <row r="851" ht="15.75" customHeight="1" s="157"/>
    <row r="852" ht="15.75" customHeight="1" s="157"/>
    <row r="853" ht="15.75" customHeight="1" s="157"/>
    <row r="854" ht="15.75" customHeight="1" s="157"/>
    <row r="855" ht="15.75" customHeight="1" s="157"/>
    <row r="856" ht="15.75" customHeight="1" s="157"/>
    <row r="857" ht="15.75" customHeight="1" s="157"/>
    <row r="858" ht="15.75" customHeight="1" s="157"/>
    <row r="859" ht="15.75" customHeight="1" s="157"/>
    <row r="860" ht="15.75" customHeight="1" s="157"/>
    <row r="861" ht="15.75" customHeight="1" s="157"/>
    <row r="862" ht="15.75" customHeight="1" s="157"/>
    <row r="863" ht="15.75" customHeight="1" s="157"/>
    <row r="864" ht="15.75" customHeight="1" s="157"/>
    <row r="865" ht="15.75" customHeight="1" s="157"/>
    <row r="866" ht="15.75" customHeight="1" s="157"/>
    <row r="867" ht="15.75" customHeight="1" s="157"/>
    <row r="868" ht="15.75" customHeight="1" s="157"/>
    <row r="869" ht="15.75" customHeight="1" s="157"/>
    <row r="870" ht="15.75" customHeight="1" s="157"/>
    <row r="871" ht="15.75" customHeight="1" s="157"/>
    <row r="872" ht="15.75" customHeight="1" s="157"/>
    <row r="873" ht="15.75" customHeight="1" s="157"/>
    <row r="874" ht="15.75" customHeight="1" s="157"/>
    <row r="875" ht="15.75" customHeight="1" s="157"/>
    <row r="876" ht="15.75" customHeight="1" s="157"/>
    <row r="877" ht="15.75" customHeight="1" s="157"/>
    <row r="878" ht="15.75" customHeight="1" s="157"/>
    <row r="879" ht="15.75" customHeight="1" s="157"/>
    <row r="880" ht="15.75" customHeight="1" s="157"/>
    <row r="881" ht="15.75" customHeight="1" s="157"/>
    <row r="882" ht="15.75" customHeight="1" s="157"/>
    <row r="883" ht="15.75" customHeight="1" s="157"/>
    <row r="884" ht="15.75" customHeight="1" s="157"/>
    <row r="885" ht="15.75" customHeight="1" s="157"/>
    <row r="886" ht="15.75" customHeight="1" s="157"/>
    <row r="887" ht="15.75" customHeight="1" s="157"/>
    <row r="888" ht="15.75" customHeight="1" s="157"/>
    <row r="889" ht="15.75" customHeight="1" s="157"/>
    <row r="890" ht="15.75" customHeight="1" s="157"/>
    <row r="891" ht="15.75" customHeight="1" s="157"/>
    <row r="892" ht="15.75" customHeight="1" s="157"/>
    <row r="893" ht="15.75" customHeight="1" s="157"/>
    <row r="894" ht="15.75" customHeight="1" s="157"/>
    <row r="895" ht="15.75" customHeight="1" s="157"/>
    <row r="896" ht="15.75" customHeight="1" s="157"/>
    <row r="897" ht="15.75" customHeight="1" s="157"/>
    <row r="898" ht="15.75" customHeight="1" s="157"/>
    <row r="899" ht="15.75" customHeight="1" s="157"/>
    <row r="900" ht="15.75" customHeight="1" s="157"/>
    <row r="901" ht="15.75" customHeight="1" s="157"/>
    <row r="902" ht="15.75" customHeight="1" s="157"/>
    <row r="903" ht="15.75" customHeight="1" s="157"/>
    <row r="904" ht="15.75" customHeight="1" s="157"/>
    <row r="905" ht="15.75" customHeight="1" s="157"/>
    <row r="906" ht="15.75" customHeight="1" s="157"/>
    <row r="907" ht="15.75" customHeight="1" s="157"/>
    <row r="908" ht="15.75" customHeight="1" s="157"/>
    <row r="909" ht="15.75" customHeight="1" s="157"/>
    <row r="910" ht="15.75" customHeight="1" s="157"/>
    <row r="911" ht="15.75" customHeight="1" s="157"/>
    <row r="912" ht="15.75" customHeight="1" s="157"/>
    <row r="913" ht="15.75" customHeight="1" s="157"/>
    <row r="914" ht="15.75" customHeight="1" s="157"/>
    <row r="915" ht="15.75" customHeight="1" s="157"/>
    <row r="916" ht="15.75" customHeight="1" s="157"/>
    <row r="917" ht="15.75" customHeight="1" s="157"/>
    <row r="918" ht="15.75" customHeight="1" s="157"/>
    <row r="919" ht="15.75" customHeight="1" s="157"/>
    <row r="920" ht="15.75" customHeight="1" s="157"/>
    <row r="921" ht="15.75" customHeight="1" s="157"/>
    <row r="922" ht="15.75" customHeight="1" s="157"/>
    <row r="923" ht="15.75" customHeight="1" s="157"/>
    <row r="924" ht="15.75" customHeight="1" s="157"/>
    <row r="925" ht="15.75" customHeight="1" s="157"/>
    <row r="926" ht="15.75" customHeight="1" s="157"/>
    <row r="927" ht="15.75" customHeight="1" s="157"/>
    <row r="928" ht="15.75" customHeight="1" s="157"/>
    <row r="929" ht="15.75" customHeight="1" s="157"/>
    <row r="930" ht="15.75" customHeight="1" s="157"/>
    <row r="931" ht="15.75" customHeight="1" s="157"/>
    <row r="932" ht="15.75" customHeight="1" s="157"/>
    <row r="933" ht="15.75" customHeight="1" s="157"/>
    <row r="934" ht="15.75" customHeight="1" s="157"/>
    <row r="935" ht="15.75" customHeight="1" s="157"/>
    <row r="936" ht="15.75" customHeight="1" s="157"/>
    <row r="937" ht="15.75" customHeight="1" s="157"/>
    <row r="938" ht="15.75" customHeight="1" s="157"/>
    <row r="939" ht="15.75" customHeight="1" s="157"/>
    <row r="940" ht="15.75" customHeight="1" s="157"/>
    <row r="941" ht="15.75" customHeight="1" s="157"/>
    <row r="942" ht="15.75" customHeight="1" s="157"/>
    <row r="943" ht="15.75" customHeight="1" s="157"/>
    <row r="944" ht="15.75" customHeight="1" s="157"/>
    <row r="945" ht="15.75" customHeight="1" s="157"/>
    <row r="946" ht="15.75" customHeight="1" s="157"/>
    <row r="947" ht="15.75" customHeight="1" s="157"/>
    <row r="948" ht="15.75" customHeight="1" s="157"/>
    <row r="949" ht="15.75" customHeight="1" s="157"/>
    <row r="950" ht="15.75" customHeight="1" s="157"/>
    <row r="951" ht="15.75" customHeight="1" s="157"/>
    <row r="952" ht="15.75" customHeight="1" s="157"/>
    <row r="953" ht="15.75" customHeight="1" s="157"/>
    <row r="954" ht="15.75" customHeight="1" s="157"/>
    <row r="955" ht="15.75" customHeight="1" s="157"/>
    <row r="956" ht="15.75" customHeight="1" s="157"/>
    <row r="957" ht="15.75" customHeight="1" s="157"/>
    <row r="958" ht="15.75" customHeight="1" s="157"/>
    <row r="959" ht="15.75" customHeight="1" s="157"/>
    <row r="960" ht="15.75" customHeight="1" s="157"/>
    <row r="961" ht="15.75" customHeight="1" s="157"/>
    <row r="962" ht="15.75" customHeight="1" s="157"/>
    <row r="963" ht="15.75" customHeight="1" s="157"/>
    <row r="964" ht="15.75" customHeight="1" s="157"/>
    <row r="965" ht="15.75" customHeight="1" s="157"/>
    <row r="966" ht="15.75" customHeight="1" s="157"/>
    <row r="967" ht="15.75" customHeight="1" s="157"/>
    <row r="968" ht="15.75" customHeight="1" s="157"/>
    <row r="969" ht="15.75" customHeight="1" s="157"/>
    <row r="970" ht="15.75" customHeight="1" s="157"/>
    <row r="971" ht="15.75" customHeight="1" s="157"/>
    <row r="972" ht="15.75" customHeight="1" s="157"/>
    <row r="973" ht="15.75" customHeight="1" s="157"/>
    <row r="974" ht="15.75" customHeight="1" s="157"/>
    <row r="975" ht="15.75" customHeight="1" s="157"/>
    <row r="976" ht="15.75" customHeight="1" s="157"/>
    <row r="977" ht="15.75" customHeight="1" s="157"/>
    <row r="978" ht="15.75" customHeight="1" s="157"/>
    <row r="979" ht="15.75" customHeight="1" s="157"/>
    <row r="980" ht="15.75" customHeight="1" s="157"/>
    <row r="981" ht="15.75" customHeight="1" s="157"/>
    <row r="982" ht="15.75" customHeight="1" s="157"/>
    <row r="983" ht="15.75" customHeight="1" s="157"/>
    <row r="984" ht="15.75" customHeight="1" s="157"/>
    <row r="985" ht="15.75" customHeight="1" s="157"/>
    <row r="986" ht="15.75" customHeight="1" s="157"/>
    <row r="987" ht="15.75" customHeight="1" s="157"/>
    <row r="988" ht="15.75" customHeight="1" s="157"/>
    <row r="989" ht="15.75" customHeight="1" s="157"/>
    <row r="990" ht="15.75" customHeight="1" s="157"/>
    <row r="991" ht="15.75" customHeight="1" s="157"/>
    <row r="992" ht="15.75" customHeight="1" s="157"/>
    <row r="993" ht="15.75" customHeight="1" s="157"/>
    <row r="994" ht="15.75" customHeight="1" s="157"/>
    <row r="995" ht="15.75" customHeight="1" s="157"/>
    <row r="996" ht="15.75" customHeight="1" s="157"/>
    <row r="997" ht="15.75" customHeight="1" s="157"/>
    <row r="998" ht="15.75" customHeight="1" s="157"/>
    <row r="999" ht="15.75" customHeight="1" s="157"/>
    <row r="1000" ht="15.75" customHeight="1" s="157"/>
  </sheetData>
  <mergeCells count="105">
    <mergeCell ref="K49:AD49"/>
    <mergeCell ref="P23:U23"/>
    <mergeCell ref="G18:O18"/>
    <mergeCell ref="B6:K6"/>
    <mergeCell ref="Q52:AC55"/>
    <mergeCell ref="A46:AD46"/>
    <mergeCell ref="V30:AD30"/>
    <mergeCell ref="P16:AD16"/>
    <mergeCell ref="A32:F32"/>
    <mergeCell ref="P18:U18"/>
    <mergeCell ref="P21:U21"/>
    <mergeCell ref="A20:F20"/>
    <mergeCell ref="T44:AD44"/>
    <mergeCell ref="G20:O20"/>
    <mergeCell ref="A49:J49"/>
    <mergeCell ref="A29:O29"/>
    <mergeCell ref="P44:S44"/>
    <mergeCell ref="A31:F31"/>
    <mergeCell ref="G22:O22"/>
    <mergeCell ref="B52:M55"/>
    <mergeCell ref="A24:F24"/>
    <mergeCell ref="A15:O15"/>
    <mergeCell ref="P20:U20"/>
    <mergeCell ref="P29:AD29"/>
    <mergeCell ref="P22:U22"/>
    <mergeCell ref="A2:C5"/>
    <mergeCell ref="P31:U31"/>
    <mergeCell ref="A36:AD36"/>
    <mergeCell ref="M41:S41"/>
    <mergeCell ref="A16:O16"/>
    <mergeCell ref="V19:AD19"/>
    <mergeCell ref="V28:AD28"/>
    <mergeCell ref="A27:F27"/>
    <mergeCell ref="A18:F18"/>
    <mergeCell ref="A37:AD37"/>
    <mergeCell ref="G24:O24"/>
    <mergeCell ref="P32:U32"/>
    <mergeCell ref="A34:AD35"/>
    <mergeCell ref="Y2:AC2"/>
    <mergeCell ref="A22:F22"/>
    <mergeCell ref="G26:O26"/>
    <mergeCell ref="A25:F25"/>
    <mergeCell ref="S57:Z57"/>
    <mergeCell ref="A14:AD14"/>
    <mergeCell ref="P24:U24"/>
    <mergeCell ref="A28:F28"/>
    <mergeCell ref="G25:O25"/>
    <mergeCell ref="C57:K57"/>
    <mergeCell ref="A38:AD38"/>
    <mergeCell ref="D2:X5"/>
    <mergeCell ref="R39:T39"/>
    <mergeCell ref="V21:AD21"/>
    <mergeCell ref="P26:U26"/>
    <mergeCell ref="A30:F30"/>
    <mergeCell ref="A40:AD40"/>
    <mergeCell ref="P25:U25"/>
    <mergeCell ref="V23:AD23"/>
    <mergeCell ref="A47:J47"/>
    <mergeCell ref="A39:K39"/>
    <mergeCell ref="V24:AD24"/>
    <mergeCell ref="U39:AD39"/>
    <mergeCell ref="L39:Q39"/>
    <mergeCell ref="A26:F26"/>
    <mergeCell ref="E41:K41"/>
    <mergeCell ref="A50:AD50"/>
    <mergeCell ref="V27:AD27"/>
    <mergeCell ref="F44:O44"/>
    <mergeCell ref="Y5:AC5"/>
    <mergeCell ref="U41:AB41"/>
    <mergeCell ref="A17:O17"/>
    <mergeCell ref="G32:O32"/>
    <mergeCell ref="A19:F19"/>
    <mergeCell ref="Y3:AC4"/>
    <mergeCell ref="P15:AD15"/>
    <mergeCell ref="V22:AD22"/>
    <mergeCell ref="A13:AD13"/>
    <mergeCell ref="G27:O27"/>
    <mergeCell ref="A45:O45"/>
    <mergeCell ref="A51:AD51"/>
    <mergeCell ref="A44:E44"/>
    <mergeCell ref="A41:C41"/>
    <mergeCell ref="G19:O19"/>
    <mergeCell ref="P27:U27"/>
    <mergeCell ref="G28:O28"/>
    <mergeCell ref="V31:AD31"/>
    <mergeCell ref="A21:F21"/>
    <mergeCell ref="P17:AD17"/>
    <mergeCell ref="G30:O30"/>
    <mergeCell ref="A23:F23"/>
    <mergeCell ref="P19:U19"/>
    <mergeCell ref="V32:AD32"/>
    <mergeCell ref="P28:U28"/>
    <mergeCell ref="V26:AD26"/>
    <mergeCell ref="A33:AD33"/>
    <mergeCell ref="A42:AD42"/>
    <mergeCell ref="K47:AD47"/>
    <mergeCell ref="A43:O43"/>
    <mergeCell ref="P30:U30"/>
    <mergeCell ref="V25:AD25"/>
    <mergeCell ref="G31:O31"/>
    <mergeCell ref="V18:AD18"/>
    <mergeCell ref="G21:O21"/>
    <mergeCell ref="A48:AD48"/>
    <mergeCell ref="G23:O23"/>
    <mergeCell ref="V20:AD20"/>
  </mergeCells>
  <dataValidations count="1">
    <dataValidation sqref="K47" showDropDown="0" showInputMessage="1" showErrorMessage="1" allowBlank="1" prompt="Sólo se admiten números" type="decimal">
      <formula1>0</formula1>
      <formula2>1E+21</formula2>
    </dataValidation>
  </dataValidations>
  <printOptions verticalCentered="1"/>
  <pageMargins left="0.236220472440945" right="0" top="0.984251968503937" bottom="0.748031496062992" header="0" footer="0"/>
  <pageSetup orientation="portrait"/>
  <headerFooter>
    <oddHeader/>
    <oddFooter>&amp;LF-DE-012 V3  &amp;R 15/07/2024</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AN246"/>
  <sheetViews>
    <sheetView showGridLines="0" workbookViewId="0">
      <selection activeCell="A1" sqref="A1"/>
    </sheetView>
  </sheetViews>
  <sheetFormatPr baseColWidth="8" defaultColWidth="14.453125" defaultRowHeight="15" customHeight="1"/>
  <cols>
    <col width="11.453125" customWidth="1" style="157" min="1" max="1"/>
    <col width="12.54296875" customWidth="1" style="157" min="2" max="2"/>
    <col width="5.54296875" customWidth="1" style="157" min="3" max="3"/>
    <col width="5.1796875" customWidth="1" style="157" min="4" max="4"/>
    <col width="8" customWidth="1" style="157" min="5" max="5"/>
    <col width="2.54296875" customWidth="1" style="157" min="6" max="6"/>
    <col width="5.453125" customWidth="1" style="157" min="7" max="7"/>
    <col width="11.453125" customWidth="1" style="157" min="8" max="8"/>
    <col width="5" customWidth="1" style="157" min="9" max="9"/>
    <col width="1.81640625" customWidth="1" style="157" min="10" max="10"/>
    <col width="14.81640625" customWidth="1" style="157" min="11" max="11"/>
    <col width="5.453125" customWidth="1" style="157" min="12" max="12"/>
    <col width="4.54296875" customWidth="1" style="157" min="13" max="13"/>
    <col width="9.453125" customWidth="1" style="157" min="14" max="14"/>
    <col width="13.1796875" customWidth="1" style="157" min="15" max="15"/>
    <col width="2.54296875" customWidth="1" style="157" min="16" max="16"/>
    <col width="6.453125" customWidth="1" style="157" min="17" max="17"/>
    <col width="2.453125" customWidth="1" style="157" min="18" max="18"/>
    <col width="3.54296875" customWidth="1" style="157" min="19" max="19"/>
    <col width="5.453125" customWidth="1" style="157" min="20" max="20"/>
    <col width="2.453125" customWidth="1" style="157" min="21" max="21"/>
    <col width="11.81640625" customWidth="1" style="157" min="22" max="22"/>
    <col width="3.1796875" customWidth="1" style="157" min="23" max="23"/>
    <col width="4.453125" customWidth="1" style="157" min="24" max="24"/>
    <col width="29.453125" customWidth="1" style="157" min="25" max="25"/>
    <col width="11.453125" customWidth="1" style="157" min="26" max="40"/>
  </cols>
  <sheetData>
    <row r="1" ht="18" customHeight="1" s="157">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row>
    <row r="2" ht="24" customHeight="1" s="157">
      <c r="A2" s="261" t="n"/>
      <c r="B2" s="145" t="n"/>
      <c r="C2" s="266" t="inlineStr">
        <is>
          <t>FORMATO
SOLICITUD DE INCENTIVOS TRIBUTARIOS
PARA PROYECTOS DE FNCE
EXCLUSIÓN DE IVA, DEDUCCIÓN EN RENTA
EXENCIÓN DE ARANCEL Y DEPRECIACIÓN ACELERADA</t>
        </is>
      </c>
      <c r="D2" s="156" t="n"/>
      <c r="E2" s="156" t="n"/>
      <c r="F2" s="156" t="n"/>
      <c r="G2" s="156" t="n"/>
      <c r="H2" s="156" t="n"/>
      <c r="I2" s="156" t="n"/>
      <c r="J2" s="156" t="n"/>
      <c r="K2" s="156" t="n"/>
      <c r="L2" s="156" t="n"/>
      <c r="M2" s="156" t="n"/>
      <c r="N2" s="156" t="n"/>
      <c r="O2" s="156" t="n"/>
      <c r="P2" s="156" t="n"/>
      <c r="Q2" s="156" t="n"/>
      <c r="R2" s="156" t="n"/>
      <c r="S2" s="145" t="n"/>
      <c r="T2" s="262" t="inlineStr">
        <is>
          <t>Código: F-CT-01</t>
        </is>
      </c>
      <c r="U2" s="170" t="n"/>
      <c r="V2" s="176" t="n"/>
      <c r="W2" s="2" t="n"/>
      <c r="X2" s="2" t="n"/>
      <c r="Y2" s="2" t="n"/>
      <c r="Z2" s="1" t="n"/>
      <c r="AA2" s="1" t="n"/>
      <c r="AB2" s="1" t="n"/>
      <c r="AC2" s="1" t="n"/>
      <c r="AD2" s="1" t="n"/>
      <c r="AE2" s="1" t="n"/>
      <c r="AF2" s="1" t="n"/>
      <c r="AG2" s="1" t="n"/>
      <c r="AH2" s="1" t="n"/>
      <c r="AI2" s="1" t="n"/>
      <c r="AJ2" s="1" t="n"/>
      <c r="AK2" s="1" t="n"/>
      <c r="AL2" s="1" t="n"/>
      <c r="AM2" s="1" t="n"/>
      <c r="AN2" s="1" t="n"/>
    </row>
    <row r="3" ht="9" customHeight="1" s="157">
      <c r="A3" s="146" t="n"/>
      <c r="B3" s="147" t="n"/>
      <c r="C3" s="146" t="n"/>
      <c r="S3" s="147" t="n"/>
      <c r="T3" s="262" t="inlineStr">
        <is>
          <t>Fecha: 10/10/2024</t>
        </is>
      </c>
      <c r="U3" s="156" t="n"/>
      <c r="V3" s="145" t="n"/>
      <c r="W3" s="2" t="n"/>
      <c r="X3" s="2" t="n"/>
      <c r="Y3" s="2" t="n"/>
      <c r="Z3" s="1" t="n"/>
      <c r="AA3" s="1" t="n"/>
      <c r="AB3" s="1" t="n"/>
      <c r="AC3" s="1" t="n"/>
      <c r="AD3" s="1" t="n"/>
      <c r="AE3" s="1" t="n"/>
      <c r="AF3" s="1" t="n"/>
      <c r="AG3" s="1" t="n"/>
      <c r="AH3" s="1" t="n"/>
      <c r="AI3" s="1" t="n"/>
      <c r="AJ3" s="1" t="n"/>
      <c r="AK3" s="1" t="n"/>
      <c r="AL3" s="1" t="n"/>
      <c r="AM3" s="1" t="n"/>
      <c r="AN3" s="1" t="n"/>
    </row>
    <row r="4" ht="11.25" customHeight="1" s="157">
      <c r="A4" s="146" t="n"/>
      <c r="B4" s="147" t="n"/>
      <c r="C4" s="146" t="n"/>
      <c r="S4" s="147" t="n"/>
      <c r="T4" s="148" t="n"/>
      <c r="U4" s="158" t="n"/>
      <c r="V4" s="149" t="n"/>
      <c r="W4" s="2" t="n"/>
      <c r="X4" s="2" t="n"/>
      <c r="Y4" s="2" t="n"/>
      <c r="Z4" s="1" t="n"/>
      <c r="AA4" s="1" t="n"/>
      <c r="AB4" s="1" t="n"/>
      <c r="AC4" s="1" t="n"/>
      <c r="AD4" s="1" t="n"/>
      <c r="AE4" s="1" t="n"/>
      <c r="AF4" s="1" t="n"/>
      <c r="AG4" s="1" t="n"/>
      <c r="AH4" s="1" t="n"/>
      <c r="AI4" s="1" t="n"/>
      <c r="AJ4" s="1" t="n"/>
      <c r="AK4" s="1" t="n"/>
      <c r="AL4" s="1" t="n"/>
      <c r="AM4" s="1" t="n"/>
      <c r="AN4" s="1" t="n"/>
    </row>
    <row r="5" ht="26.25" customHeight="1" s="157">
      <c r="A5" s="148" t="n"/>
      <c r="B5" s="149" t="n"/>
      <c r="C5" s="148" t="n"/>
      <c r="D5" s="158" t="n"/>
      <c r="E5" s="158" t="n"/>
      <c r="F5" s="158" t="n"/>
      <c r="G5" s="158" t="n"/>
      <c r="H5" s="158" t="n"/>
      <c r="I5" s="158" t="n"/>
      <c r="J5" s="158" t="n"/>
      <c r="K5" s="158" t="n"/>
      <c r="L5" s="158" t="n"/>
      <c r="M5" s="158" t="n"/>
      <c r="N5" s="158" t="n"/>
      <c r="O5" s="158" t="n"/>
      <c r="P5" s="158" t="n"/>
      <c r="Q5" s="158" t="n"/>
      <c r="R5" s="158" t="n"/>
      <c r="S5" s="149" t="n"/>
      <c r="T5" s="262" t="inlineStr">
        <is>
          <t>Versión: 03</t>
        </is>
      </c>
      <c r="U5" s="170" t="n"/>
      <c r="V5" s="176" t="n"/>
      <c r="W5" s="2" t="n"/>
      <c r="X5" s="2" t="n"/>
      <c r="Y5" s="2" t="n"/>
      <c r="Z5" s="1" t="n"/>
      <c r="AA5" s="1" t="n"/>
      <c r="AB5" s="1" t="n"/>
      <c r="AC5" s="1" t="n"/>
      <c r="AD5" s="1" t="n"/>
      <c r="AE5" s="1" t="n"/>
      <c r="AF5" s="1" t="n"/>
      <c r="AG5" s="1" t="n"/>
      <c r="AH5" s="1" t="n"/>
      <c r="AI5" s="1" t="n"/>
      <c r="AJ5" s="1" t="n"/>
      <c r="AK5" s="1" t="n"/>
      <c r="AL5" s="1" t="n"/>
      <c r="AM5" s="1" t="n"/>
      <c r="AN5" s="1" t="n"/>
    </row>
    <row r="6" ht="14.25" customHeight="1" s="157">
      <c r="A6" s="1" t="n"/>
      <c r="B6" s="159" t="n"/>
      <c r="L6" s="1" t="n"/>
      <c r="M6" s="1" t="n"/>
      <c r="N6" s="1" t="n"/>
      <c r="O6" s="1" t="n"/>
      <c r="P6" s="1" t="n"/>
      <c r="Q6" s="1" t="n"/>
      <c r="R6" s="1" t="n"/>
      <c r="S6" s="1" t="n"/>
      <c r="T6" s="1" t="n"/>
      <c r="U6" s="1" t="n"/>
      <c r="V6" s="1" t="n"/>
      <c r="W6" s="1" t="n"/>
      <c r="X6" s="1" t="n"/>
      <c r="Y6" s="1" t="n"/>
      <c r="Z6" s="1" t="n"/>
      <c r="AA6" s="1" t="n"/>
      <c r="AB6" s="1" t="n"/>
      <c r="AC6" s="1" t="n"/>
      <c r="AD6" s="1" t="n"/>
      <c r="AE6" s="1" t="n"/>
      <c r="AF6" s="1" t="n"/>
      <c r="AG6" s="1" t="n"/>
      <c r="AH6" s="1" t="n"/>
      <c r="AI6" s="1" t="n"/>
      <c r="AJ6" s="1" t="n"/>
      <c r="AK6" s="1" t="n"/>
      <c r="AL6" s="1" t="n"/>
      <c r="AM6" s="1" t="n"/>
      <c r="AN6" s="1" t="n"/>
    </row>
    <row r="7" ht="14.25" customHeight="1" s="157">
      <c r="A7" s="2" t="n"/>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c r="AA7" s="2" t="n"/>
      <c r="AB7" s="2" t="n"/>
      <c r="AC7" s="2" t="n"/>
      <c r="AD7" s="2" t="n"/>
      <c r="AE7" s="2" t="n"/>
      <c r="AF7" s="2" t="n"/>
      <c r="AG7" s="2" t="n"/>
      <c r="AH7" s="2" t="n"/>
      <c r="AI7" s="2" t="n"/>
      <c r="AJ7" s="2" t="n"/>
      <c r="AK7" s="2" t="n"/>
      <c r="AL7" s="2" t="n"/>
      <c r="AM7" s="2" t="n"/>
      <c r="AN7" s="2" t="n"/>
    </row>
    <row r="8" ht="14.25" customHeight="1" s="157">
      <c r="A8" s="2" t="n"/>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c r="AA8" s="2" t="n"/>
      <c r="AB8" s="2" t="n"/>
      <c r="AC8" s="2" t="n"/>
      <c r="AD8" s="2" t="n"/>
      <c r="AE8" s="2" t="n"/>
      <c r="AF8" s="2" t="n"/>
      <c r="AG8" s="2" t="n"/>
      <c r="AH8" s="2" t="n"/>
      <c r="AI8" s="2" t="n"/>
      <c r="AJ8" s="2" t="n"/>
      <c r="AK8" s="2" t="n"/>
      <c r="AL8" s="2" t="n"/>
      <c r="AM8" s="2" t="n"/>
      <c r="AN8" s="2" t="n"/>
    </row>
    <row r="9" ht="14.25" customHeight="1" s="157">
      <c r="A9" s="2" t="n"/>
      <c r="B9" s="2" t="n"/>
      <c r="C9" s="2" t="n"/>
      <c r="D9" s="2" t="n"/>
      <c r="E9" s="2" t="n"/>
      <c r="F9" s="2" t="n"/>
      <c r="G9" s="2" t="n"/>
      <c r="H9" s="2" t="n"/>
      <c r="I9" s="2" t="n"/>
      <c r="J9" s="2" t="n"/>
      <c r="K9" s="2" t="n"/>
      <c r="L9" s="2" t="n"/>
      <c r="M9" s="2" t="n"/>
      <c r="N9" s="2" t="n"/>
      <c r="O9" s="2" t="n"/>
      <c r="P9" s="2" t="n"/>
      <c r="Q9" s="2" t="n"/>
      <c r="R9" s="2" t="n"/>
      <c r="S9" s="2" t="n"/>
      <c r="T9" s="2" t="n"/>
      <c r="U9" s="2" t="n"/>
      <c r="V9" s="2" t="n"/>
      <c r="W9" s="2" t="n"/>
      <c r="X9" s="2" t="n"/>
      <c r="Y9" s="2" t="n"/>
      <c r="Z9" s="2" t="n"/>
      <c r="AA9" s="2" t="n"/>
      <c r="AB9" s="2" t="n"/>
      <c r="AC9" s="2" t="n"/>
      <c r="AD9" s="2" t="n"/>
      <c r="AE9" s="2" t="n"/>
      <c r="AF9" s="2" t="n"/>
      <c r="AG9" s="2" t="n"/>
      <c r="AH9" s="2" t="n"/>
      <c r="AI9" s="2" t="n"/>
      <c r="AJ9" s="2" t="n"/>
      <c r="AK9" s="2" t="n"/>
      <c r="AL9" s="2" t="n"/>
      <c r="AM9" s="2" t="n"/>
      <c r="AN9" s="2" t="n"/>
    </row>
    <row r="10" ht="14.25" customHeight="1" s="157">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c r="AA10" s="2" t="n"/>
      <c r="AB10" s="2" t="n"/>
      <c r="AC10" s="2" t="n"/>
      <c r="AD10" s="2" t="n"/>
      <c r="AE10" s="2" t="n"/>
      <c r="AF10" s="2" t="n"/>
      <c r="AG10" s="2" t="n"/>
      <c r="AH10" s="2" t="n"/>
      <c r="AI10" s="2" t="n"/>
      <c r="AJ10" s="2" t="n"/>
      <c r="AK10" s="2" t="n"/>
      <c r="AL10" s="2" t="n"/>
      <c r="AM10" s="2" t="n"/>
      <c r="AN10" s="2" t="n"/>
    </row>
    <row r="11" ht="14.25" customHeight="1" s="157">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c r="AA11" s="2" t="n"/>
      <c r="AB11" s="2" t="n"/>
      <c r="AC11" s="2" t="n"/>
      <c r="AD11" s="2" t="n"/>
      <c r="AE11" s="2" t="n"/>
      <c r="AF11" s="2" t="n"/>
      <c r="AG11" s="2" t="n"/>
      <c r="AH11" s="2" t="n"/>
      <c r="AI11" s="2" t="n"/>
      <c r="AJ11" s="2" t="n"/>
      <c r="AK11" s="2" t="n"/>
      <c r="AL11" s="2" t="n"/>
      <c r="AM11" s="2" t="n"/>
      <c r="AN11" s="2" t="n"/>
    </row>
    <row r="12" ht="14.25" customHeight="1" s="157">
      <c r="A12" s="2" t="n"/>
      <c r="B12" s="2" t="n"/>
      <c r="C12" s="2" t="n"/>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c r="AA12" s="2" t="n"/>
      <c r="AB12" s="2" t="n"/>
      <c r="AC12" s="2" t="n"/>
      <c r="AD12" s="2" t="n"/>
      <c r="AE12" s="2" t="n"/>
      <c r="AF12" s="2" t="n"/>
      <c r="AG12" s="2" t="n"/>
      <c r="AH12" s="2" t="n"/>
      <c r="AI12" s="2" t="n"/>
      <c r="AJ12" s="2" t="n"/>
      <c r="AK12" s="2" t="n"/>
      <c r="AL12" s="2" t="n"/>
      <c r="AM12" s="2" t="n"/>
      <c r="AN12" s="2" t="n"/>
    </row>
    <row r="13" ht="14.25" customHeight="1" s="157">
      <c r="A13" s="2" t="n"/>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c r="AA13" s="2" t="n"/>
      <c r="AB13" s="2" t="n"/>
      <c r="AC13" s="2" t="n"/>
      <c r="AD13" s="2" t="n"/>
      <c r="AE13" s="2" t="n"/>
      <c r="AF13" s="2" t="n"/>
      <c r="AG13" s="2" t="n"/>
      <c r="AH13" s="2" t="n"/>
      <c r="AI13" s="2" t="n"/>
      <c r="AJ13" s="2" t="n"/>
      <c r="AK13" s="2" t="n"/>
      <c r="AL13" s="2" t="n"/>
      <c r="AM13" s="2" t="n"/>
      <c r="AN13" s="2" t="n"/>
    </row>
    <row r="14" ht="57" customHeight="1" s="157">
      <c r="A14" s="196" t="inlineStr">
        <is>
          <t>FORMATO 2
GENERALIDADES DEL PROYECTO DE FNCE
(CAPÍTULO III DE LA LEY 1715 DE 2014)</t>
        </is>
      </c>
      <c r="B14" s="153" t="n"/>
      <c r="C14" s="153" t="n"/>
      <c r="D14" s="153" t="n"/>
      <c r="E14" s="153" t="n"/>
      <c r="F14" s="153" t="n"/>
      <c r="G14" s="153" t="n"/>
      <c r="H14" s="153" t="n"/>
      <c r="I14" s="153" t="n"/>
      <c r="J14" s="153" t="n"/>
      <c r="K14" s="153" t="n"/>
      <c r="L14" s="153" t="n"/>
      <c r="M14" s="153" t="n"/>
      <c r="N14" s="153" t="n"/>
      <c r="O14" s="153" t="n"/>
      <c r="P14" s="153" t="n"/>
      <c r="Q14" s="153" t="n"/>
      <c r="R14" s="153" t="n"/>
      <c r="S14" s="153" t="n"/>
      <c r="T14" s="153" t="n"/>
      <c r="U14" s="153" t="n"/>
      <c r="V14" s="154" t="n"/>
      <c r="W14" s="2" t="n"/>
      <c r="X14" s="2" t="n"/>
      <c r="Y14" s="2" t="n"/>
      <c r="Z14" s="2" t="n"/>
      <c r="AA14" s="2" t="n"/>
      <c r="AB14" s="2" t="n"/>
      <c r="AC14" s="2" t="n"/>
      <c r="AD14" s="2" t="n"/>
      <c r="AE14" s="2" t="n"/>
      <c r="AF14" s="2" t="n"/>
      <c r="AG14" s="2" t="n"/>
      <c r="AH14" s="2" t="n"/>
      <c r="AI14" s="2" t="n"/>
      <c r="AJ14" s="2" t="n"/>
      <c r="AK14" s="2" t="n"/>
      <c r="AL14" s="2" t="n"/>
      <c r="AM14" s="2" t="n"/>
      <c r="AN14" s="2" t="n"/>
    </row>
    <row r="15" ht="14.25" customHeight="1" s="157">
      <c r="A15" s="214" t="n"/>
      <c r="B15" s="161" t="n"/>
      <c r="C15" s="161" t="n"/>
      <c r="D15" s="161" t="n"/>
      <c r="E15" s="161" t="n"/>
      <c r="F15" s="161" t="n"/>
      <c r="G15" s="161" t="n"/>
      <c r="H15" s="161" t="n"/>
      <c r="I15" s="161" t="n"/>
      <c r="J15" s="161" t="n"/>
      <c r="K15" s="161" t="n"/>
      <c r="L15" s="161" t="n"/>
      <c r="M15" s="161" t="n"/>
      <c r="N15" s="161" t="n"/>
      <c r="O15" s="161" t="n"/>
      <c r="P15" s="161" t="n"/>
      <c r="Q15" s="161" t="n"/>
      <c r="R15" s="161" t="n"/>
      <c r="S15" s="161" t="n"/>
      <c r="T15" s="161" t="n"/>
      <c r="U15" s="161" t="n"/>
      <c r="V15" s="215" t="n"/>
      <c r="W15" s="2" t="n"/>
      <c r="X15" s="2" t="n"/>
      <c r="Y15" s="2" t="n"/>
      <c r="Z15" s="2" t="n"/>
      <c r="AA15" s="2" t="n"/>
      <c r="AB15" s="2" t="n"/>
      <c r="AC15" s="2" t="n"/>
      <c r="AD15" s="2" t="n"/>
      <c r="AE15" s="2" t="n"/>
      <c r="AF15" s="2" t="n"/>
      <c r="AG15" s="2" t="n"/>
      <c r="AH15" s="2" t="n"/>
      <c r="AI15" s="2" t="n"/>
      <c r="AJ15" s="2" t="n"/>
      <c r="AK15" s="2" t="n"/>
      <c r="AL15" s="2" t="n"/>
      <c r="AM15" s="2" t="n"/>
      <c r="AN15" s="2" t="n"/>
    </row>
    <row r="16" ht="14.25" customHeight="1" s="157">
      <c r="A16" s="222" t="inlineStr">
        <is>
          <t>1. INFORMACIÓN GENERAL DEL PROYECTO DE FNCE</t>
        </is>
      </c>
      <c r="B16" s="168" t="n"/>
      <c r="C16" s="168" t="n"/>
      <c r="D16" s="168" t="n"/>
      <c r="E16" s="168" t="n"/>
      <c r="F16" s="168" t="n"/>
      <c r="G16" s="168" t="n"/>
      <c r="H16" s="168" t="n"/>
      <c r="I16" s="168" t="n"/>
      <c r="J16" s="168" t="n"/>
      <c r="K16" s="168" t="n"/>
      <c r="L16" s="168" t="n"/>
      <c r="M16" s="168" t="n"/>
      <c r="N16" s="168" t="n"/>
      <c r="O16" s="168" t="n"/>
      <c r="P16" s="168" t="n"/>
      <c r="Q16" s="168" t="n"/>
      <c r="R16" s="168" t="n"/>
      <c r="S16" s="168" t="n"/>
      <c r="T16" s="168" t="n"/>
      <c r="U16" s="168" t="n"/>
      <c r="V16" s="183" t="n"/>
      <c r="W16" s="2" t="n"/>
      <c r="X16" s="2" t="n"/>
      <c r="Y16" s="2" t="n"/>
      <c r="Z16" s="2" t="n"/>
      <c r="AA16" s="2" t="n"/>
      <c r="AB16" s="2" t="n"/>
      <c r="AC16" s="2" t="n"/>
      <c r="AD16" s="2" t="n"/>
      <c r="AE16" s="2" t="n"/>
      <c r="AF16" s="2" t="n"/>
      <c r="AG16" s="2" t="n"/>
      <c r="AH16" s="2" t="n"/>
      <c r="AI16" s="2" t="n"/>
      <c r="AJ16" s="2" t="n"/>
      <c r="AK16" s="2" t="n"/>
      <c r="AL16" s="2" t="n"/>
      <c r="AM16" s="2" t="n"/>
      <c r="AN16" s="2" t="n"/>
    </row>
    <row r="17" ht="14.25" customHeight="1" s="157">
      <c r="A17" s="225" t="inlineStr">
        <is>
          <t>Nombre del proyecto</t>
        </is>
      </c>
      <c r="B17" s="168" t="n"/>
      <c r="C17" s="168" t="n"/>
      <c r="D17" s="168" t="n"/>
      <c r="E17" s="183" t="n"/>
      <c r="F17" s="236">
        <f>NOMBRE</f>
        <v/>
      </c>
      <c r="G17" s="168" t="n"/>
      <c r="H17" s="168" t="n"/>
      <c r="I17" s="168" t="n"/>
      <c r="J17" s="168" t="n"/>
      <c r="K17" s="168" t="n"/>
      <c r="L17" s="168" t="n"/>
      <c r="M17" s="168" t="n"/>
      <c r="N17" s="168" t="n"/>
      <c r="O17" s="168" t="n"/>
      <c r="P17" s="168" t="n"/>
      <c r="Q17" s="168" t="n"/>
      <c r="R17" s="168" t="n"/>
      <c r="S17" s="168" t="n"/>
      <c r="T17" s="168" t="n"/>
      <c r="U17" s="168" t="n"/>
      <c r="V17" s="183" t="n"/>
      <c r="W17" s="2" t="n"/>
      <c r="X17" s="2" t="n"/>
      <c r="Y17" s="2" t="n"/>
      <c r="Z17" s="2" t="n"/>
      <c r="AA17" s="2" t="n"/>
      <c r="AB17" s="2" t="n"/>
      <c r="AC17" s="2" t="n"/>
      <c r="AD17" s="2" t="n"/>
      <c r="AE17" s="2" t="n"/>
      <c r="AF17" s="2" t="n"/>
      <c r="AG17" s="2" t="n"/>
      <c r="AH17" s="2" t="n"/>
      <c r="AI17" s="2" t="n"/>
      <c r="AJ17" s="2" t="n"/>
      <c r="AK17" s="2" t="n"/>
      <c r="AL17" s="2" t="n"/>
      <c r="AM17" s="2" t="n"/>
      <c r="AN17" s="2" t="n"/>
    </row>
    <row r="18" ht="14.25" customHeight="1" s="157">
      <c r="A18" s="225" t="inlineStr">
        <is>
          <t>Sector donde se realizará el proyecto</t>
        </is>
      </c>
      <c r="B18" s="168" t="n"/>
      <c r="C18" s="168" t="n"/>
      <c r="D18" s="168" t="n"/>
      <c r="E18" s="183" t="n"/>
      <c r="F18" s="245" t="inlineStr">
        <is>
          <t>Generación eléctrica</t>
        </is>
      </c>
      <c r="G18" s="168" t="n"/>
      <c r="H18" s="168" t="n"/>
      <c r="I18" s="168" t="n"/>
      <c r="J18" s="168" t="n"/>
      <c r="K18" s="168" t="n"/>
      <c r="L18" s="168" t="n"/>
      <c r="M18" s="168" t="n"/>
      <c r="N18" s="168" t="n"/>
      <c r="O18" s="168" t="n"/>
      <c r="P18" s="168" t="n"/>
      <c r="Q18" s="168" t="n"/>
      <c r="R18" s="168" t="n"/>
      <c r="S18" s="168" t="n"/>
      <c r="T18" s="168" t="n"/>
      <c r="U18" s="168" t="n"/>
      <c r="V18" s="183" t="n"/>
      <c r="W18" s="2" t="n"/>
      <c r="X18" s="2" t="n"/>
      <c r="Y18" s="2" t="n"/>
      <c r="Z18" s="2" t="n"/>
      <c r="AA18" s="2" t="n"/>
      <c r="AB18" s="2" t="n"/>
      <c r="AC18" s="2" t="n"/>
      <c r="AD18" s="2" t="n"/>
      <c r="AE18" s="2" t="n"/>
      <c r="AF18" s="2" t="n"/>
      <c r="AG18" s="2" t="n"/>
      <c r="AH18" s="2" t="n"/>
      <c r="AI18" s="2" t="n"/>
      <c r="AJ18" s="2" t="n"/>
      <c r="AK18" s="2" t="n"/>
      <c r="AL18" s="2" t="n"/>
      <c r="AM18" s="2" t="n"/>
      <c r="AN18" s="2" t="n"/>
    </row>
    <row r="19" ht="14.25" customHeight="1" s="157">
      <c r="A19" s="225" t="inlineStr">
        <is>
          <t>Tipo de generador</t>
        </is>
      </c>
      <c r="B19" s="168" t="n"/>
      <c r="C19" s="168" t="n"/>
      <c r="D19" s="168" t="n"/>
      <c r="E19" s="183" t="n"/>
      <c r="F19" s="245" t="inlineStr">
        <is>
          <t>Generador</t>
        </is>
      </c>
      <c r="G19" s="168" t="n"/>
      <c r="H19" s="168" t="n"/>
      <c r="I19" s="168" t="n"/>
      <c r="J19" s="168" t="n"/>
      <c r="K19" s="168" t="n"/>
      <c r="L19" s="168" t="n"/>
      <c r="M19" s="168" t="n"/>
      <c r="N19" s="168" t="n"/>
      <c r="O19" s="168" t="n"/>
      <c r="P19" s="168" t="n"/>
      <c r="Q19" s="168" t="n"/>
      <c r="R19" s="168" t="n"/>
      <c r="S19" s="168" t="n"/>
      <c r="T19" s="168" t="n"/>
      <c r="U19" s="168" t="n"/>
      <c r="V19" s="183" t="n"/>
      <c r="W19" s="2" t="n"/>
      <c r="X19" s="2" t="n"/>
      <c r="Y19" s="2" t="n"/>
      <c r="Z19" s="2" t="n"/>
      <c r="AA19" s="2" t="n"/>
      <c r="AB19" s="2" t="n"/>
      <c r="AC19" s="2" t="n"/>
      <c r="AD19" s="2" t="n"/>
      <c r="AE19" s="2" t="n"/>
      <c r="AF19" s="2" t="n"/>
      <c r="AG19" s="2" t="n"/>
      <c r="AH19" s="2" t="n"/>
      <c r="AI19" s="2" t="n"/>
      <c r="AJ19" s="2" t="n"/>
      <c r="AK19" s="2" t="n"/>
      <c r="AL19" s="2" t="n"/>
      <c r="AM19" s="2" t="n"/>
      <c r="AN19" s="2" t="n"/>
    </row>
    <row r="20" ht="14.25" customHeight="1" s="157">
      <c r="A20" s="230" t="inlineStr">
        <is>
          <t>Tipo de FNCE (Ley 1715 de 2014)</t>
        </is>
      </c>
      <c r="B20" s="168" t="n"/>
      <c r="C20" s="168" t="n"/>
      <c r="D20" s="168" t="n"/>
      <c r="E20" s="183" t="n"/>
      <c r="F20" s="249" t="inlineStr">
        <is>
          <t>Solar</t>
        </is>
      </c>
      <c r="G20" s="168" t="n"/>
      <c r="H20" s="168" t="n"/>
      <c r="I20" s="168" t="n"/>
      <c r="J20" s="168" t="n"/>
      <c r="K20" s="168" t="n"/>
      <c r="L20" s="168" t="n"/>
      <c r="M20" s="168" t="n"/>
      <c r="N20" s="168" t="n"/>
      <c r="O20" s="168" t="n"/>
      <c r="P20" s="168" t="n"/>
      <c r="Q20" s="168" t="n"/>
      <c r="R20" s="168" t="n"/>
      <c r="S20" s="168" t="n"/>
      <c r="T20" s="168" t="n"/>
      <c r="U20" s="168" t="n"/>
      <c r="V20" s="183" t="n"/>
      <c r="W20" s="2" t="n"/>
      <c r="X20" s="2" t="n"/>
      <c r="Y20" s="2" t="n"/>
      <c r="Z20" s="2" t="n"/>
      <c r="AA20" s="2" t="n"/>
      <c r="AB20" s="2" t="n"/>
      <c r="AC20" s="2" t="n"/>
      <c r="AD20" s="2" t="n"/>
      <c r="AE20" s="2" t="n"/>
      <c r="AF20" s="2" t="n"/>
      <c r="AG20" s="2" t="n"/>
      <c r="AH20" s="2" t="n"/>
      <c r="AI20" s="2" t="n"/>
      <c r="AJ20" s="2" t="n"/>
      <c r="AK20" s="2" t="n"/>
      <c r="AL20" s="2" t="n"/>
      <c r="AM20" s="2" t="n"/>
      <c r="AN20" s="2" t="n"/>
    </row>
    <row r="21" ht="14.25" customHeight="1" s="157">
      <c r="A21" s="253" t="inlineStr">
        <is>
          <t>Recurso Energético</t>
        </is>
      </c>
      <c r="B21" s="153" t="n"/>
      <c r="C21" s="153" t="n"/>
      <c r="D21" s="153" t="n"/>
      <c r="E21" s="154" t="n"/>
      <c r="F21" s="245" t="inlineStr">
        <is>
          <t>Sol</t>
        </is>
      </c>
      <c r="G21" s="168" t="n"/>
      <c r="H21" s="168" t="n"/>
      <c r="I21" s="168" t="n"/>
      <c r="J21" s="168" t="n"/>
      <c r="K21" s="168" t="n"/>
      <c r="L21" s="168" t="n"/>
      <c r="M21" s="168" t="n"/>
      <c r="N21" s="168" t="n"/>
      <c r="O21" s="168" t="n"/>
      <c r="P21" s="168" t="n"/>
      <c r="Q21" s="168" t="n"/>
      <c r="R21" s="168" t="n"/>
      <c r="S21" s="168" t="n"/>
      <c r="T21" s="168" t="n"/>
      <c r="U21" s="168" t="n"/>
      <c r="V21" s="183" t="n"/>
      <c r="W21" s="2" t="n"/>
      <c r="X21" s="2" t="n"/>
      <c r="Y21" s="2" t="n"/>
      <c r="Z21" s="2" t="n"/>
      <c r="AA21" s="2" t="n"/>
      <c r="AB21" s="2" t="n"/>
      <c r="AC21" s="2" t="n"/>
      <c r="AD21" s="2" t="n"/>
      <c r="AE21" s="2" t="n"/>
      <c r="AF21" s="2" t="n"/>
      <c r="AG21" s="2" t="n"/>
      <c r="AH21" s="2" t="n"/>
      <c r="AI21" s="2" t="n"/>
      <c r="AJ21" s="2" t="n"/>
      <c r="AK21" s="2" t="n"/>
      <c r="AL21" s="2" t="n"/>
      <c r="AM21" s="2" t="n"/>
      <c r="AN21" s="2" t="n"/>
    </row>
    <row r="22" ht="14.25" customHeight="1" s="157">
      <c r="A22" s="214" t="n"/>
      <c r="B22" s="161" t="n"/>
      <c r="C22" s="161" t="n"/>
      <c r="D22" s="161" t="n"/>
      <c r="E22" s="215" t="n"/>
      <c r="F22" s="254" t="n"/>
      <c r="G22" s="168" t="n"/>
      <c r="H22" s="168" t="n"/>
      <c r="I22" s="168" t="n"/>
      <c r="J22" s="168" t="n"/>
      <c r="K22" s="255" t="n"/>
      <c r="L22" s="224" t="inlineStr">
        <is>
          <t>Relacionar Cual</t>
        </is>
      </c>
      <c r="M22" s="168" t="n"/>
      <c r="N22" s="168" t="n"/>
      <c r="O22" s="168" t="n"/>
      <c r="P22" s="168" t="n"/>
      <c r="Q22" s="168" t="n"/>
      <c r="R22" s="168" t="n"/>
      <c r="S22" s="168" t="n"/>
      <c r="T22" s="168" t="n"/>
      <c r="U22" s="168" t="n"/>
      <c r="V22" s="183" t="n"/>
      <c r="W22" s="2" t="n"/>
      <c r="X22" s="2" t="n"/>
      <c r="Y22" s="2" t="n"/>
      <c r="Z22" s="2" t="n"/>
      <c r="AA22" s="2" t="n"/>
      <c r="AB22" s="2" t="n"/>
      <c r="AC22" s="2" t="n"/>
      <c r="AD22" s="2" t="n"/>
      <c r="AE22" s="2" t="n"/>
      <c r="AF22" s="2" t="n"/>
      <c r="AG22" s="2" t="n"/>
      <c r="AH22" s="2" t="n"/>
      <c r="AI22" s="2" t="n"/>
      <c r="AJ22" s="2" t="n"/>
      <c r="AK22" s="2" t="n"/>
      <c r="AL22" s="2" t="n"/>
      <c r="AM22" s="2" t="n"/>
      <c r="AN22" s="2" t="n"/>
    </row>
    <row r="23" ht="14.25" customHeight="1" s="157">
      <c r="A23" s="253" t="inlineStr">
        <is>
          <t>Tecnología</t>
        </is>
      </c>
      <c r="B23" s="153" t="n"/>
      <c r="C23" s="153" t="n"/>
      <c r="D23" s="153" t="n"/>
      <c r="E23" s="154" t="n"/>
      <c r="F23" s="245" t="inlineStr">
        <is>
          <t>Fotovoltaica</t>
        </is>
      </c>
      <c r="G23" s="168" t="n"/>
      <c r="H23" s="168" t="n"/>
      <c r="I23" s="168" t="n"/>
      <c r="J23" s="168" t="n"/>
      <c r="K23" s="168" t="n"/>
      <c r="L23" s="168" t="n"/>
      <c r="M23" s="168" t="n"/>
      <c r="N23" s="168" t="n"/>
      <c r="O23" s="168" t="n"/>
      <c r="P23" s="168" t="n"/>
      <c r="Q23" s="168" t="n"/>
      <c r="R23" s="168" t="n"/>
      <c r="S23" s="168" t="n"/>
      <c r="T23" s="168" t="n"/>
      <c r="U23" s="168" t="n"/>
      <c r="V23" s="183" t="n"/>
      <c r="W23" s="2" t="n"/>
      <c r="X23" s="2" t="n"/>
      <c r="Y23" s="2" t="n"/>
      <c r="Z23" s="2" t="n"/>
      <c r="AA23" s="2" t="n"/>
      <c r="AB23" s="2" t="n"/>
      <c r="AC23" s="2" t="n"/>
      <c r="AD23" s="2" t="n"/>
      <c r="AE23" s="2" t="n"/>
      <c r="AF23" s="2" t="n"/>
      <c r="AG23" s="2" t="n"/>
      <c r="AH23" s="2" t="n"/>
      <c r="AI23" s="2" t="n"/>
      <c r="AJ23" s="2" t="n"/>
      <c r="AK23" s="2" t="n"/>
      <c r="AL23" s="2" t="n"/>
      <c r="AM23" s="2" t="n"/>
      <c r="AN23" s="2" t="n"/>
    </row>
    <row r="24" ht="15" customHeight="1" s="157">
      <c r="A24" s="214" t="n"/>
      <c r="B24" s="161" t="n"/>
      <c r="C24" s="161" t="n"/>
      <c r="D24" s="161" t="n"/>
      <c r="E24" s="215" t="n"/>
      <c r="F24" s="254" t="inlineStr">
        <is>
          <t>Otra</t>
        </is>
      </c>
      <c r="G24" s="168" t="n"/>
      <c r="H24" s="168" t="n"/>
      <c r="I24" s="168" t="n"/>
      <c r="J24" s="168" t="n"/>
      <c r="K24" s="255" t="n"/>
      <c r="L24" s="224" t="inlineStr">
        <is>
          <t>Relacionar Cual</t>
        </is>
      </c>
      <c r="M24" s="168" t="n"/>
      <c r="N24" s="168" t="n"/>
      <c r="O24" s="168" t="n"/>
      <c r="P24" s="168" t="n"/>
      <c r="Q24" s="168" t="n"/>
      <c r="R24" s="168" t="n"/>
      <c r="S24" s="168" t="n"/>
      <c r="T24" s="168" t="n"/>
      <c r="U24" s="168" t="n"/>
      <c r="V24" s="183" t="n"/>
      <c r="W24" s="2" t="n"/>
      <c r="X24" s="2" t="n"/>
      <c r="Y24" s="2" t="n"/>
      <c r="Z24" s="2" t="n"/>
      <c r="AA24" s="2" t="n"/>
      <c r="AB24" s="2" t="n"/>
      <c r="AC24" s="2" t="n"/>
      <c r="AD24" s="2" t="n"/>
      <c r="AE24" s="2" t="n"/>
      <c r="AF24" s="2" t="n"/>
      <c r="AG24" s="2" t="n"/>
      <c r="AH24" s="2" t="n"/>
      <c r="AI24" s="2" t="n"/>
      <c r="AJ24" s="2" t="n"/>
      <c r="AK24" s="2" t="n"/>
      <c r="AL24" s="2" t="n"/>
      <c r="AM24" s="2" t="n"/>
      <c r="AN24" s="2" t="n"/>
    </row>
    <row r="25" ht="14.25" customHeight="1" s="157">
      <c r="A25" s="248" t="inlineStr">
        <is>
          <t>Ubicación</t>
        </is>
      </c>
      <c r="B25" s="153" t="n"/>
      <c r="C25" s="153" t="n"/>
      <c r="D25" s="153" t="n"/>
      <c r="E25" s="154" t="n"/>
      <c r="F25" s="244" t="inlineStr">
        <is>
          <t>Departamento</t>
        </is>
      </c>
      <c r="G25" s="185" t="n"/>
      <c r="H25" s="185" t="n"/>
      <c r="I25" s="185" t="n"/>
      <c r="J25" s="185" t="n"/>
      <c r="K25" s="186" t="n"/>
      <c r="L25" s="235" t="n"/>
      <c r="M25" s="168" t="n"/>
      <c r="N25" s="168" t="n"/>
      <c r="O25" s="168" t="n"/>
      <c r="P25" s="168" t="n"/>
      <c r="Q25" s="168" t="n"/>
      <c r="R25" s="168" t="n"/>
      <c r="S25" s="168" t="n"/>
      <c r="T25" s="168" t="n"/>
      <c r="U25" s="168" t="n"/>
      <c r="V25" s="183" t="n"/>
      <c r="W25" s="2" t="n"/>
      <c r="X25" s="2" t="n"/>
      <c r="Y25" s="2" t="n"/>
      <c r="Z25" s="2" t="n"/>
      <c r="AA25" s="2" t="n"/>
      <c r="AB25" s="2" t="n"/>
      <c r="AC25" s="2" t="n"/>
      <c r="AD25" s="2" t="n"/>
      <c r="AE25" s="2" t="n"/>
      <c r="AF25" s="2" t="n"/>
      <c r="AG25" s="2" t="n"/>
      <c r="AH25" s="2" t="n"/>
      <c r="AI25" s="2" t="n"/>
      <c r="AJ25" s="2" t="n"/>
      <c r="AK25" s="2" t="n"/>
      <c r="AL25" s="2" t="n"/>
      <c r="AM25" s="2" t="n"/>
      <c r="AN25" s="2" t="n"/>
    </row>
    <row r="26" ht="14.25" customHeight="1" s="157">
      <c r="A26" s="229" t="n"/>
      <c r="E26" s="234" t="n"/>
      <c r="F26" s="238" t="inlineStr">
        <is>
          <t>Municipio</t>
        </is>
      </c>
      <c r="G26" s="170" t="n"/>
      <c r="H26" s="170" t="n"/>
      <c r="I26" s="170" t="n"/>
      <c r="J26" s="170" t="n"/>
      <c r="K26" s="171" t="n"/>
      <c r="L26" s="235" t="n"/>
      <c r="M26" s="168" t="n"/>
      <c r="N26" s="168" t="n"/>
      <c r="O26" s="168" t="n"/>
      <c r="P26" s="168" t="n"/>
      <c r="Q26" s="168" t="n"/>
      <c r="R26" s="168" t="n"/>
      <c r="S26" s="168" t="n"/>
      <c r="T26" s="168" t="n"/>
      <c r="U26" s="168" t="n"/>
      <c r="V26" s="183" t="n"/>
      <c r="W26" s="2" t="n"/>
      <c r="X26" s="2" t="n"/>
      <c r="Y26" s="2" t="n"/>
      <c r="Z26" s="2" t="n"/>
      <c r="AA26" s="2" t="n"/>
      <c r="AB26" s="2" t="n"/>
      <c r="AC26" s="2" t="n"/>
      <c r="AD26" s="2" t="n"/>
      <c r="AE26" s="2" t="n"/>
      <c r="AF26" s="2" t="n"/>
      <c r="AG26" s="2" t="n"/>
      <c r="AH26" s="2" t="n"/>
      <c r="AI26" s="2" t="n"/>
      <c r="AJ26" s="2" t="n"/>
      <c r="AK26" s="2" t="n"/>
      <c r="AL26" s="2" t="n"/>
      <c r="AM26" s="2" t="n"/>
      <c r="AN26" s="2" t="n"/>
    </row>
    <row r="27" ht="15" customHeight="1" s="157">
      <c r="A27" s="214" t="n"/>
      <c r="B27" s="161" t="n"/>
      <c r="C27" s="161" t="n"/>
      <c r="D27" s="161" t="n"/>
      <c r="E27" s="215" t="n"/>
      <c r="F27" s="256" t="inlineStr">
        <is>
          <t>Zona</t>
        </is>
      </c>
      <c r="G27" s="161" t="n"/>
      <c r="H27" s="161" t="n"/>
      <c r="I27" s="161" t="n"/>
      <c r="J27" s="161" t="n"/>
      <c r="K27" s="215" t="n"/>
      <c r="L27" s="227" t="inlineStr">
        <is>
          <t>SIN</t>
        </is>
      </c>
      <c r="M27" s="168" t="n"/>
      <c r="N27" s="168" t="n"/>
      <c r="O27" s="168" t="n"/>
      <c r="P27" s="168" t="n"/>
      <c r="Q27" s="168" t="n"/>
      <c r="R27" s="168" t="n"/>
      <c r="S27" s="168" t="n"/>
      <c r="T27" s="168" t="n"/>
      <c r="U27" s="168" t="n"/>
      <c r="V27" s="183" t="n"/>
      <c r="W27" s="2" t="n"/>
      <c r="X27" s="2" t="n"/>
      <c r="Y27" s="2" t="n"/>
      <c r="Z27" s="2" t="n"/>
      <c r="AA27" s="2" t="n"/>
      <c r="AB27" s="2" t="n"/>
      <c r="AC27" s="2" t="n"/>
      <c r="AD27" s="2" t="n"/>
      <c r="AE27" s="2" t="n"/>
      <c r="AF27" s="2" t="n"/>
      <c r="AG27" s="2" t="n"/>
      <c r="AH27" s="2" t="n"/>
      <c r="AI27" s="2" t="n"/>
      <c r="AJ27" s="2" t="n"/>
      <c r="AK27" s="2" t="n"/>
      <c r="AL27" s="2" t="n"/>
      <c r="AM27" s="2" t="n"/>
      <c r="AN27" s="2" t="n"/>
    </row>
    <row r="28" ht="14.25" customHeight="1" s="157">
      <c r="A28" s="222" t="inlineStr">
        <is>
          <t xml:space="preserve">2. INFORMACIÓN TÉCNICA </t>
        </is>
      </c>
      <c r="B28" s="168" t="n"/>
      <c r="C28" s="168" t="n"/>
      <c r="D28" s="168" t="n"/>
      <c r="E28" s="168" t="n"/>
      <c r="F28" s="168" t="n"/>
      <c r="G28" s="168" t="n"/>
      <c r="H28" s="168" t="n"/>
      <c r="I28" s="168" t="n"/>
      <c r="J28" s="168" t="n"/>
      <c r="K28" s="168" t="n"/>
      <c r="L28" s="168" t="n"/>
      <c r="M28" s="168" t="n"/>
      <c r="N28" s="168" t="n"/>
      <c r="O28" s="168" t="n"/>
      <c r="P28" s="168" t="n"/>
      <c r="Q28" s="168" t="n"/>
      <c r="R28" s="168" t="n"/>
      <c r="S28" s="168" t="n"/>
      <c r="T28" s="168" t="n"/>
      <c r="U28" s="168" t="n"/>
      <c r="V28" s="183" t="n"/>
      <c r="W28" s="2" t="n"/>
      <c r="X28" s="2" t="n"/>
      <c r="Y28" s="2" t="n"/>
      <c r="Z28" s="2" t="n"/>
      <c r="AA28" s="2" t="n"/>
      <c r="AB28" s="2" t="n"/>
      <c r="AC28" s="2" t="n"/>
      <c r="AD28" s="2" t="n"/>
      <c r="AE28" s="2" t="n"/>
      <c r="AF28" s="2" t="n"/>
      <c r="AG28" s="2" t="n"/>
      <c r="AH28" s="2" t="n"/>
      <c r="AI28" s="2" t="n"/>
      <c r="AJ28" s="2" t="n"/>
      <c r="AK28" s="2" t="n"/>
      <c r="AL28" s="2" t="n"/>
      <c r="AM28" s="2" t="n"/>
      <c r="AN28" s="2" t="n"/>
    </row>
    <row r="29" ht="14.25" customHeight="1" s="157">
      <c r="A29" s="247" t="inlineStr">
        <is>
          <t>Datos técnicos</t>
        </is>
      </c>
      <c r="B29" s="156" t="n"/>
      <c r="C29" s="156" t="n"/>
      <c r="D29" s="156" t="n"/>
      <c r="E29" s="201" t="n"/>
      <c r="F29" s="243" t="inlineStr">
        <is>
          <t>Área del Proyecto (m2)</t>
        </is>
      </c>
      <c r="G29" s="170" t="n"/>
      <c r="H29" s="170" t="n"/>
      <c r="I29" s="170" t="n"/>
      <c r="J29" s="170" t="n"/>
      <c r="K29" s="170" t="n"/>
      <c r="L29" s="170" t="n"/>
      <c r="M29" s="176" t="n"/>
      <c r="N29" s="223" t="n"/>
      <c r="O29" s="170" t="n"/>
      <c r="P29" s="170" t="n"/>
      <c r="Q29" s="170" t="n"/>
      <c r="R29" s="170" t="n"/>
      <c r="S29" s="170" t="n"/>
      <c r="T29" s="170" t="n"/>
      <c r="U29" s="170" t="n"/>
      <c r="V29" s="171" t="n"/>
      <c r="W29" s="2" t="n"/>
      <c r="X29" s="2" t="n"/>
      <c r="Y29" s="2" t="n"/>
      <c r="Z29" s="2" t="n"/>
      <c r="AA29" s="2" t="n"/>
      <c r="AB29" s="2" t="n"/>
      <c r="AC29" s="2" t="n"/>
      <c r="AD29" s="2" t="n"/>
      <c r="AE29" s="2" t="n"/>
      <c r="AF29" s="2" t="n"/>
      <c r="AG29" s="2" t="n"/>
      <c r="AH29" s="2" t="n"/>
      <c r="AI29" s="2" t="n"/>
      <c r="AJ29" s="2" t="n"/>
      <c r="AK29" s="2" t="n"/>
      <c r="AL29" s="2" t="n"/>
      <c r="AM29" s="2" t="n"/>
      <c r="AN29" s="2" t="n"/>
    </row>
    <row r="30" ht="14.25" customHeight="1" s="157">
      <c r="A30" s="229" t="n"/>
      <c r="E30" s="234" t="n"/>
      <c r="F30" s="243" t="inlineStr">
        <is>
          <t>Capacidad Instalada (kW)</t>
        </is>
      </c>
      <c r="G30" s="170" t="n"/>
      <c r="H30" s="170" t="n"/>
      <c r="I30" s="170" t="n"/>
      <c r="J30" s="170" t="n"/>
      <c r="K30" s="170" t="n"/>
      <c r="L30" s="170" t="n"/>
      <c r="M30" s="176" t="n"/>
      <c r="N30" s="223" t="n"/>
      <c r="O30" s="170" t="n"/>
      <c r="P30" s="170" t="n"/>
      <c r="Q30" s="170" t="n"/>
      <c r="R30" s="170" t="n"/>
      <c r="S30" s="170" t="n"/>
      <c r="T30" s="170" t="n"/>
      <c r="U30" s="170" t="n"/>
      <c r="V30" s="171" t="n"/>
      <c r="W30" s="2" t="n"/>
      <c r="X30" s="2" t="n"/>
      <c r="Y30" s="2" t="n"/>
      <c r="Z30" s="2" t="n"/>
      <c r="AA30" s="2" t="n"/>
      <c r="AB30" s="2" t="n"/>
      <c r="AC30" s="2" t="n"/>
      <c r="AD30" s="2" t="n"/>
      <c r="AE30" s="2" t="n"/>
      <c r="AF30" s="2" t="n"/>
      <c r="AG30" s="2" t="n"/>
      <c r="AH30" s="2" t="n"/>
      <c r="AI30" s="2" t="n"/>
      <c r="AJ30" s="2" t="n"/>
      <c r="AK30" s="2" t="n"/>
      <c r="AL30" s="2" t="n"/>
      <c r="AM30" s="2" t="n"/>
      <c r="AN30" s="2" t="n"/>
    </row>
    <row r="31" ht="14.25" customHeight="1" s="157">
      <c r="A31" s="229" t="n"/>
      <c r="E31" s="234" t="n"/>
      <c r="F31" s="242" t="inlineStr">
        <is>
          <t>Energía Generada (kWh/año)</t>
        </is>
      </c>
      <c r="G31" s="170" t="n"/>
      <c r="H31" s="170" t="n"/>
      <c r="I31" s="170" t="n"/>
      <c r="J31" s="170" t="n"/>
      <c r="K31" s="170" t="n"/>
      <c r="L31" s="170" t="n"/>
      <c r="M31" s="176" t="n"/>
      <c r="N31" s="223" t="n"/>
      <c r="O31" s="170" t="n"/>
      <c r="P31" s="170" t="n"/>
      <c r="Q31" s="170" t="n"/>
      <c r="R31" s="170" t="n"/>
      <c r="S31" s="170" t="n"/>
      <c r="T31" s="170" t="n"/>
      <c r="U31" s="170" t="n"/>
      <c r="V31" s="171" t="n"/>
      <c r="W31" s="2" t="n"/>
      <c r="X31" s="2" t="n"/>
      <c r="Y31" s="2" t="n"/>
      <c r="Z31" s="2" t="n"/>
      <c r="AA31" s="2" t="n"/>
      <c r="AB31" s="2" t="n"/>
      <c r="AC31" s="2" t="n"/>
      <c r="AD31" s="2" t="n"/>
      <c r="AE31" s="2" t="n"/>
      <c r="AF31" s="2" t="n"/>
      <c r="AG31" s="2" t="n"/>
      <c r="AH31" s="2" t="n"/>
      <c r="AI31" s="2" t="n"/>
      <c r="AJ31" s="2" t="n"/>
      <c r="AK31" s="2" t="n"/>
      <c r="AL31" s="2" t="n"/>
      <c r="AM31" s="2" t="n"/>
      <c r="AN31" s="2" t="n"/>
    </row>
    <row r="32" ht="14.25" customHeight="1" s="157">
      <c r="A32" s="229" t="n"/>
      <c r="E32" s="234" t="n"/>
      <c r="F32" s="238" t="inlineStr">
        <is>
          <t>Vida útil del proyecto (años)</t>
        </is>
      </c>
      <c r="G32" s="170" t="n"/>
      <c r="H32" s="170" t="n"/>
      <c r="I32" s="170" t="n"/>
      <c r="J32" s="170" t="n"/>
      <c r="K32" s="170" t="n"/>
      <c r="L32" s="170" t="n"/>
      <c r="M32" s="171" t="n"/>
      <c r="N32" s="223" t="n"/>
      <c r="O32" s="170" t="n"/>
      <c r="P32" s="170" t="n"/>
      <c r="Q32" s="170" t="n"/>
      <c r="R32" s="170" t="n"/>
      <c r="S32" s="170" t="n"/>
      <c r="T32" s="170" t="n"/>
      <c r="U32" s="170" t="n"/>
      <c r="V32" s="171" t="n"/>
      <c r="W32" s="2" t="n"/>
      <c r="X32" s="2" t="n"/>
      <c r="Y32" s="2" t="n"/>
      <c r="Z32" s="2" t="n"/>
      <c r="AA32" s="2" t="n"/>
      <c r="AB32" s="2" t="n"/>
      <c r="AC32" s="2" t="n"/>
      <c r="AD32" s="2" t="n"/>
      <c r="AE32" s="2" t="n"/>
      <c r="AF32" s="2" t="n"/>
      <c r="AG32" s="2" t="n"/>
      <c r="AH32" s="2" t="n"/>
      <c r="AI32" s="2" t="n"/>
      <c r="AJ32" s="2" t="n"/>
      <c r="AK32" s="2" t="n"/>
      <c r="AL32" s="2" t="n"/>
      <c r="AM32" s="2" t="n"/>
      <c r="AN32" s="2" t="n"/>
    </row>
    <row r="33" ht="14.25" customHeight="1" s="157">
      <c r="A33" s="229" t="n"/>
      <c r="E33" s="234" t="n"/>
      <c r="F33" s="242" t="inlineStr">
        <is>
          <t>Eficiencia de la planta (%)</t>
        </is>
      </c>
      <c r="G33" s="170" t="n"/>
      <c r="H33" s="170" t="n"/>
      <c r="I33" s="170" t="n"/>
      <c r="J33" s="170" t="n"/>
      <c r="K33" s="170" t="n"/>
      <c r="L33" s="170" t="n"/>
      <c r="M33" s="176" t="n"/>
      <c r="N33" s="223" t="n"/>
      <c r="O33" s="170" t="n"/>
      <c r="P33" s="170" t="n"/>
      <c r="Q33" s="170" t="n"/>
      <c r="R33" s="170" t="n"/>
      <c r="S33" s="170" t="n"/>
      <c r="T33" s="170" t="n"/>
      <c r="U33" s="170" t="n"/>
      <c r="V33" s="171" t="n"/>
      <c r="W33" s="2" t="n"/>
      <c r="X33" s="2" t="n"/>
      <c r="Y33" s="2" t="n"/>
      <c r="Z33" s="2" t="n"/>
      <c r="AA33" s="2" t="n"/>
      <c r="AB33" s="2" t="n"/>
      <c r="AC33" s="2" t="n"/>
      <c r="AD33" s="2" t="n"/>
      <c r="AE33" s="2" t="n"/>
      <c r="AF33" s="2" t="n"/>
      <c r="AG33" s="2" t="n"/>
      <c r="AH33" s="2" t="n"/>
      <c r="AI33" s="2" t="n"/>
      <c r="AJ33" s="2" t="n"/>
      <c r="AK33" s="2" t="n"/>
      <c r="AL33" s="2" t="n"/>
      <c r="AM33" s="2" t="n"/>
      <c r="AN33" s="2" t="n"/>
    </row>
    <row r="34" ht="14.25" customHeight="1" s="157">
      <c r="A34" s="214" t="n"/>
      <c r="B34" s="161" t="n"/>
      <c r="C34" s="161" t="n"/>
      <c r="D34" s="161" t="n"/>
      <c r="E34" s="215" t="n"/>
      <c r="F34" s="241" t="inlineStr">
        <is>
          <t>Factor de Planta (%)</t>
        </is>
      </c>
      <c r="G34" s="164" t="n"/>
      <c r="H34" s="164" t="n"/>
      <c r="I34" s="164" t="n"/>
      <c r="J34" s="164" t="n"/>
      <c r="K34" s="164" t="n"/>
      <c r="L34" s="164" t="n"/>
      <c r="M34" s="204" t="n"/>
      <c r="N34" s="223" t="n"/>
      <c r="O34" s="170" t="n"/>
      <c r="P34" s="170" t="n"/>
      <c r="Q34" s="170" t="n"/>
      <c r="R34" s="170" t="n"/>
      <c r="S34" s="170" t="n"/>
      <c r="T34" s="170" t="n"/>
      <c r="U34" s="170" t="n"/>
      <c r="V34" s="171" t="n"/>
      <c r="W34" s="2" t="n"/>
      <c r="X34" s="2" t="n"/>
      <c r="Y34" s="2" t="n"/>
      <c r="Z34" s="2" t="n"/>
      <c r="AA34" s="2" t="n"/>
      <c r="AB34" s="2" t="n"/>
      <c r="AC34" s="2" t="n"/>
      <c r="AD34" s="2" t="n"/>
      <c r="AE34" s="2" t="n"/>
      <c r="AF34" s="2" t="n"/>
      <c r="AG34" s="2" t="n"/>
      <c r="AH34" s="2" t="n"/>
      <c r="AI34" s="2" t="n"/>
      <c r="AJ34" s="2" t="n"/>
      <c r="AK34" s="2" t="n"/>
      <c r="AL34" s="2" t="n"/>
      <c r="AM34" s="2" t="n"/>
      <c r="AN34" s="2" t="n"/>
    </row>
    <row r="35" ht="14.25" customHeight="1" s="157">
      <c r="A35" s="228" t="inlineStr">
        <is>
          <t>Datos de Conexión</t>
        </is>
      </c>
      <c r="B35" s="153" t="n"/>
      <c r="C35" s="153" t="n"/>
      <c r="D35" s="153" t="n"/>
      <c r="E35" s="188" t="n"/>
      <c r="F35" s="246" t="inlineStr">
        <is>
          <t>¿Se conectará a la red?</t>
        </is>
      </c>
      <c r="G35" s="185" t="n"/>
      <c r="H35" s="185" t="n"/>
      <c r="I35" s="185" t="n"/>
      <c r="J35" s="185" t="n"/>
      <c r="K35" s="185" t="n"/>
      <c r="L35" s="185" t="n"/>
      <c r="M35" s="186" t="n"/>
      <c r="N35" s="257" t="inlineStr">
        <is>
          <t>Si</t>
        </is>
      </c>
      <c r="O35" s="185" t="n"/>
      <c r="P35" s="185" t="n"/>
      <c r="Q35" s="185" t="n"/>
      <c r="R35" s="185" t="n"/>
      <c r="S35" s="185" t="n"/>
      <c r="T35" s="185" t="n"/>
      <c r="U35" s="185" t="n"/>
      <c r="V35" s="186" t="n"/>
      <c r="W35" s="2" t="n"/>
      <c r="X35" s="2" t="n"/>
      <c r="Y35" s="2" t="n"/>
      <c r="Z35" s="2" t="n"/>
      <c r="AA35" s="2" t="n"/>
      <c r="AB35" s="2" t="n"/>
      <c r="AC35" s="2" t="n"/>
      <c r="AD35" s="2" t="n"/>
      <c r="AE35" s="2" t="n"/>
      <c r="AF35" s="2" t="n"/>
      <c r="AG35" s="2" t="n"/>
      <c r="AH35" s="2" t="n"/>
      <c r="AI35" s="2" t="n"/>
      <c r="AJ35" s="2" t="n"/>
      <c r="AK35" s="2" t="n"/>
      <c r="AL35" s="2" t="n"/>
      <c r="AM35" s="2" t="n"/>
      <c r="AN35" s="2" t="n"/>
    </row>
    <row r="36" ht="15" customHeight="1" s="157">
      <c r="A36" s="229" t="n"/>
      <c r="E36" s="147" t="n"/>
      <c r="F36" s="238" t="inlineStr">
        <is>
          <t>Nivel de tensión (kV) (Cuando aplique)</t>
        </is>
      </c>
      <c r="G36" s="170" t="n"/>
      <c r="H36" s="170" t="n"/>
      <c r="I36" s="170" t="n"/>
      <c r="J36" s="170" t="n"/>
      <c r="K36" s="170" t="n"/>
      <c r="L36" s="170" t="n"/>
      <c r="M36" s="171" t="n"/>
      <c r="N36" s="252" t="n"/>
      <c r="O36" s="170" t="n"/>
      <c r="P36" s="170" t="n"/>
      <c r="Q36" s="170" t="n"/>
      <c r="R36" s="170" t="n"/>
      <c r="S36" s="170" t="n"/>
      <c r="T36" s="170" t="n"/>
      <c r="U36" s="170" t="n"/>
      <c r="V36" s="171" t="n"/>
      <c r="W36" s="2" t="n"/>
      <c r="X36" s="2" t="n"/>
      <c r="Y36" s="2" t="n"/>
      <c r="Z36" s="2" t="n"/>
      <c r="AA36" s="2" t="n"/>
      <c r="AB36" s="2" t="n"/>
      <c r="AC36" s="2" t="n"/>
      <c r="AD36" s="2" t="n"/>
      <c r="AE36" s="2" t="n"/>
      <c r="AF36" s="2" t="n"/>
      <c r="AG36" s="2" t="n"/>
      <c r="AH36" s="2" t="n"/>
      <c r="AI36" s="2" t="n"/>
      <c r="AJ36" s="2" t="n"/>
      <c r="AK36" s="2" t="n"/>
      <c r="AL36" s="2" t="n"/>
      <c r="AM36" s="2" t="n"/>
      <c r="AN36" s="2" t="n"/>
    </row>
    <row r="37" ht="14.25" customHeight="1" s="157">
      <c r="A37" s="214" t="n"/>
      <c r="B37" s="161" t="n"/>
      <c r="C37" s="161" t="n"/>
      <c r="D37" s="161" t="n"/>
      <c r="E37" s="162" t="n"/>
      <c r="F37" s="231" t="inlineStr">
        <is>
          <t>Nombre del Operador de Red (Cuando aplique)</t>
        </is>
      </c>
      <c r="G37" s="164" t="n"/>
      <c r="H37" s="164" t="n"/>
      <c r="I37" s="164" t="n"/>
      <c r="J37" s="164" t="n"/>
      <c r="K37" s="164" t="n"/>
      <c r="L37" s="164" t="n"/>
      <c r="M37" s="165" t="n"/>
      <c r="N37" s="226" t="inlineStr">
        <is>
          <t>AIR-E</t>
        </is>
      </c>
      <c r="O37" s="164" t="n"/>
      <c r="P37" s="164" t="n"/>
      <c r="Q37" s="164" t="n"/>
      <c r="R37" s="164" t="n"/>
      <c r="S37" s="164" t="n"/>
      <c r="T37" s="164" t="n"/>
      <c r="U37" s="164" t="n"/>
      <c r="V37" s="165" t="n"/>
      <c r="W37" s="2" t="n"/>
      <c r="X37" s="2" t="n"/>
      <c r="Y37" s="2" t="n"/>
      <c r="Z37" s="2" t="n"/>
      <c r="AA37" s="2" t="n"/>
      <c r="AB37" s="2" t="n"/>
      <c r="AC37" s="2" t="n"/>
      <c r="AD37" s="2" t="n"/>
      <c r="AE37" s="2" t="n"/>
      <c r="AF37" s="2" t="n"/>
      <c r="AG37" s="2" t="n"/>
      <c r="AH37" s="2" t="n"/>
      <c r="AI37" s="2" t="n"/>
      <c r="AJ37" s="2" t="n"/>
      <c r="AK37" s="2" t="n"/>
      <c r="AL37" s="2" t="n"/>
      <c r="AM37" s="2" t="n"/>
      <c r="AN37" s="2" t="n"/>
    </row>
    <row r="38" ht="15" customHeight="1" s="157">
      <c r="A38" s="222" t="inlineStr">
        <is>
          <t>3. PERIODO DE EJECUCIÓN</t>
        </is>
      </c>
      <c r="B38" s="168" t="n"/>
      <c r="C38" s="168" t="n"/>
      <c r="D38" s="168" t="n"/>
      <c r="E38" s="168" t="n"/>
      <c r="F38" s="168" t="n"/>
      <c r="G38" s="168" t="n"/>
      <c r="H38" s="168" t="n"/>
      <c r="I38" s="168" t="n"/>
      <c r="J38" s="168" t="n"/>
      <c r="K38" s="168" t="n"/>
      <c r="L38" s="168" t="n"/>
      <c r="M38" s="168" t="n"/>
      <c r="N38" s="168" t="n"/>
      <c r="O38" s="168" t="n"/>
      <c r="P38" s="168" t="n"/>
      <c r="Q38" s="168" t="n"/>
      <c r="R38" s="168" t="n"/>
      <c r="S38" s="168" t="n"/>
      <c r="T38" s="168" t="n"/>
      <c r="U38" s="168" t="n"/>
      <c r="V38" s="183" t="n"/>
      <c r="W38" s="2" t="n"/>
      <c r="X38" s="2" t="n"/>
      <c r="Y38" s="2" t="n"/>
      <c r="Z38" s="2" t="n"/>
      <c r="AA38" s="2" t="n"/>
      <c r="AB38" s="2" t="n"/>
      <c r="AC38" s="2" t="n"/>
      <c r="AD38" s="2" t="n"/>
      <c r="AE38" s="2" t="n"/>
      <c r="AF38" s="2" t="n"/>
      <c r="AG38" s="2" t="n"/>
      <c r="AH38" s="2" t="n"/>
      <c r="AI38" s="2" t="n"/>
      <c r="AJ38" s="2" t="n"/>
      <c r="AK38" s="2" t="n"/>
      <c r="AL38" s="2" t="n"/>
      <c r="AM38" s="2" t="n"/>
      <c r="AN38" s="2" t="n"/>
    </row>
    <row r="39" ht="15" customHeight="1" s="157">
      <c r="A39" s="233" t="inlineStr">
        <is>
          <t>Periodo de Ejecución</t>
        </is>
      </c>
      <c r="E39" s="234" t="n"/>
      <c r="F39" s="232" t="inlineStr">
        <is>
          <t>Fecha estimada de inicio de construcción</t>
        </is>
      </c>
      <c r="N39" s="240" t="n">
        <v>45667</v>
      </c>
      <c r="O39" s="170" t="n"/>
      <c r="P39" s="170" t="n"/>
      <c r="Q39" s="170" t="n"/>
      <c r="R39" s="170" t="n"/>
      <c r="S39" s="170" t="n"/>
      <c r="T39" s="170" t="n"/>
      <c r="U39" s="170" t="n"/>
      <c r="V39" s="171" t="n"/>
      <c r="W39" s="2" t="n"/>
      <c r="X39" s="2" t="n"/>
      <c r="Y39" s="2" t="n"/>
      <c r="Z39" s="2" t="n"/>
      <c r="AA39" s="2" t="n"/>
      <c r="AB39" s="2" t="n"/>
      <c r="AC39" s="2" t="n"/>
      <c r="AD39" s="2" t="n"/>
      <c r="AE39" s="2" t="n"/>
      <c r="AF39" s="2" t="n"/>
      <c r="AG39" s="2" t="n"/>
      <c r="AH39" s="2" t="n"/>
      <c r="AI39" s="2" t="n"/>
      <c r="AJ39" s="2" t="n"/>
      <c r="AK39" s="2" t="n"/>
      <c r="AL39" s="2" t="n"/>
      <c r="AM39" s="2" t="n"/>
      <c r="AN39" s="2" t="n"/>
    </row>
    <row r="40" ht="15" customHeight="1" s="157">
      <c r="A40" s="214" t="n"/>
      <c r="B40" s="161" t="n"/>
      <c r="C40" s="161" t="n"/>
      <c r="D40" s="161" t="n"/>
      <c r="E40" s="215" t="n"/>
      <c r="F40" s="231" t="inlineStr">
        <is>
          <t>Fecha estimada de entrada en operación comercial</t>
        </is>
      </c>
      <c r="G40" s="164" t="n"/>
      <c r="H40" s="164" t="n"/>
      <c r="I40" s="164" t="n"/>
      <c r="J40" s="164" t="n"/>
      <c r="K40" s="164" t="n"/>
      <c r="L40" s="164" t="n"/>
      <c r="M40" s="165" t="n"/>
      <c r="N40" s="240" t="n"/>
      <c r="O40" s="170" t="n"/>
      <c r="P40" s="170" t="n"/>
      <c r="Q40" s="170" t="n"/>
      <c r="R40" s="170" t="n"/>
      <c r="S40" s="170" t="n"/>
      <c r="T40" s="170" t="n"/>
      <c r="U40" s="170" t="n"/>
      <c r="V40" s="171" t="n"/>
      <c r="W40" s="2" t="n"/>
      <c r="X40" s="2" t="n"/>
      <c r="Y40" s="2" t="n"/>
      <c r="Z40" s="2" t="n"/>
      <c r="AA40" s="2" t="n"/>
      <c r="AB40" s="2" t="n"/>
      <c r="AC40" s="2" t="n"/>
      <c r="AD40" s="2" t="n"/>
      <c r="AE40" s="2" t="n"/>
      <c r="AF40" s="2" t="n"/>
      <c r="AG40" s="2" t="n"/>
      <c r="AH40" s="2" t="n"/>
      <c r="AI40" s="2" t="n"/>
      <c r="AJ40" s="2" t="n"/>
      <c r="AK40" s="2" t="n"/>
      <c r="AL40" s="2" t="n"/>
      <c r="AM40" s="2" t="n"/>
      <c r="AN40" s="2" t="n"/>
    </row>
    <row r="41" ht="15.75" customHeight="1" s="157">
      <c r="A41" s="222" t="inlineStr">
        <is>
          <t>4. INFORMACIÓN ECONÓMICA</t>
        </is>
      </c>
      <c r="B41" s="168" t="n"/>
      <c r="C41" s="168" t="n"/>
      <c r="D41" s="168" t="n"/>
      <c r="E41" s="168" t="n"/>
      <c r="F41" s="168" t="n"/>
      <c r="G41" s="168" t="n"/>
      <c r="H41" s="168" t="n"/>
      <c r="I41" s="168" t="n"/>
      <c r="J41" s="168" t="n"/>
      <c r="K41" s="168" t="n"/>
      <c r="L41" s="168" t="n"/>
      <c r="M41" s="168" t="n"/>
      <c r="N41" s="168" t="n"/>
      <c r="O41" s="168" t="n"/>
      <c r="P41" s="168" t="n"/>
      <c r="Q41" s="168" t="n"/>
      <c r="R41" s="168" t="n"/>
      <c r="S41" s="168" t="n"/>
      <c r="T41" s="168" t="n"/>
      <c r="U41" s="168" t="n"/>
      <c r="V41" s="183" t="n"/>
      <c r="W41" s="2" t="n"/>
      <c r="X41" s="2" t="n"/>
      <c r="Y41" s="2" t="n"/>
      <c r="Z41" s="2" t="n"/>
      <c r="AA41" s="2" t="n"/>
      <c r="AB41" s="2" t="n"/>
      <c r="AC41" s="2" t="n"/>
      <c r="AD41" s="2" t="n"/>
      <c r="AE41" s="2" t="n"/>
      <c r="AF41" s="2" t="n"/>
      <c r="AG41" s="2" t="n"/>
      <c r="AH41" s="2" t="n"/>
      <c r="AI41" s="2" t="n"/>
      <c r="AJ41" s="2" t="n"/>
      <c r="AK41" s="2" t="n"/>
      <c r="AL41" s="2" t="n"/>
      <c r="AM41" s="2" t="n"/>
      <c r="AN41" s="2" t="n"/>
    </row>
    <row r="42" ht="14.25" customHeight="1" s="157">
      <c r="A42" s="250" t="inlineStr">
        <is>
          <t>Datos Económicos</t>
        </is>
      </c>
      <c r="B42" s="153" t="n"/>
      <c r="C42" s="153" t="n"/>
      <c r="D42" s="153" t="n"/>
      <c r="E42" s="154" t="n"/>
      <c r="F42" s="239" t="inlineStr">
        <is>
          <t>Costo total del proyecto antes de IVA (COP)</t>
        </is>
      </c>
      <c r="G42" s="185" t="n"/>
      <c r="H42" s="185" t="n"/>
      <c r="I42" s="185" t="n"/>
      <c r="J42" s="185" t="n"/>
      <c r="K42" s="185" t="n"/>
      <c r="L42" s="185" t="n"/>
      <c r="M42" s="210" t="n"/>
      <c r="N42" s="237" t="n"/>
      <c r="O42" s="185" t="n"/>
      <c r="P42" s="185" t="n"/>
      <c r="Q42" s="185" t="n"/>
      <c r="R42" s="185" t="n"/>
      <c r="S42" s="185" t="n"/>
      <c r="T42" s="185" t="n"/>
      <c r="U42" s="185" t="n"/>
      <c r="V42" s="186" t="n"/>
      <c r="W42" s="2" t="n"/>
      <c r="X42" s="2" t="n"/>
      <c r="Y42" s="2" t="n"/>
      <c r="Z42" s="2" t="n"/>
      <c r="AA42" s="2" t="n"/>
      <c r="AB42" s="2" t="n"/>
      <c r="AC42" s="2" t="n"/>
      <c r="AD42" s="2" t="n"/>
      <c r="AE42" s="2" t="n"/>
      <c r="AF42" s="2" t="n"/>
      <c r="AG42" s="2" t="n"/>
      <c r="AH42" s="2" t="n"/>
      <c r="AI42" s="2" t="n"/>
      <c r="AJ42" s="2" t="n"/>
      <c r="AK42" s="2" t="n"/>
      <c r="AL42" s="2" t="n"/>
      <c r="AM42" s="2" t="n"/>
      <c r="AN42" s="2" t="n"/>
    </row>
    <row r="43" ht="14.25" customHeight="1" s="157">
      <c r="A43" s="229" t="n"/>
      <c r="E43" s="234" t="n"/>
      <c r="F43" s="243" t="inlineStr">
        <is>
          <t>IVA del proyecto (COP)</t>
        </is>
      </c>
      <c r="G43" s="170" t="n"/>
      <c r="H43" s="170" t="n"/>
      <c r="I43" s="170" t="n"/>
      <c r="J43" s="170" t="n"/>
      <c r="K43" s="170" t="n"/>
      <c r="L43" s="170" t="n"/>
      <c r="M43" s="176" t="n"/>
      <c r="N43" s="223" t="n"/>
      <c r="O43" s="170" t="n"/>
      <c r="P43" s="170" t="n"/>
      <c r="Q43" s="170" t="n"/>
      <c r="R43" s="170" t="n"/>
      <c r="S43" s="170" t="n"/>
      <c r="T43" s="170" t="n"/>
      <c r="U43" s="170" t="n"/>
      <c r="V43" s="171" t="n"/>
      <c r="W43" s="2" t="n"/>
      <c r="X43" s="2" t="n"/>
      <c r="Y43" s="2" t="n"/>
      <c r="Z43" s="2" t="n"/>
      <c r="AA43" s="2" t="n"/>
      <c r="AB43" s="2" t="n"/>
      <c r="AC43" s="2" t="n"/>
      <c r="AD43" s="2" t="n"/>
      <c r="AE43" s="2" t="n"/>
      <c r="AF43" s="2" t="n"/>
      <c r="AG43" s="2" t="n"/>
      <c r="AH43" s="2" t="n"/>
      <c r="AI43" s="2" t="n"/>
      <c r="AJ43" s="2" t="n"/>
      <c r="AK43" s="2" t="n"/>
      <c r="AL43" s="2" t="n"/>
      <c r="AM43" s="2" t="n"/>
      <c r="AN43" s="2" t="n"/>
    </row>
    <row r="44" ht="34.5" customHeight="1" s="157">
      <c r="A44" s="251" t="n"/>
      <c r="B44" s="158" t="n"/>
      <c r="C44" s="158" t="n"/>
      <c r="D44" s="158" t="n"/>
      <c r="E44" s="178" t="n"/>
      <c r="F44" s="238" t="inlineStr">
        <is>
          <t>Costo de generación sin el proyecto (COP/kWh) (Cuando aplique)</t>
        </is>
      </c>
      <c r="G44" s="170" t="n"/>
      <c r="H44" s="170" t="n"/>
      <c r="I44" s="170" t="n"/>
      <c r="J44" s="170" t="n"/>
      <c r="K44" s="170" t="n"/>
      <c r="L44" s="170" t="n"/>
      <c r="M44" s="171" t="n"/>
      <c r="N44" s="223" t="n"/>
      <c r="O44" s="170" t="n"/>
      <c r="P44" s="170" t="n"/>
      <c r="Q44" s="170" t="n"/>
      <c r="R44" s="170" t="n"/>
      <c r="S44" s="170" t="n"/>
      <c r="T44" s="170" t="n"/>
      <c r="U44" s="170" t="n"/>
      <c r="V44" s="171" t="n"/>
      <c r="W44" s="2" t="n"/>
      <c r="X44" s="2" t="n"/>
      <c r="Y44" s="2" t="n"/>
      <c r="Z44" s="2" t="n"/>
      <c r="AA44" s="2" t="n"/>
      <c r="AB44" s="2" t="n"/>
      <c r="AC44" s="2" t="n"/>
      <c r="AD44" s="2" t="n"/>
      <c r="AE44" s="2" t="n"/>
      <c r="AF44" s="2" t="n"/>
      <c r="AG44" s="2" t="n"/>
      <c r="AH44" s="2" t="n"/>
      <c r="AI44" s="2" t="n"/>
      <c r="AJ44" s="2" t="n"/>
      <c r="AK44" s="2" t="n"/>
      <c r="AL44" s="2" t="n"/>
      <c r="AM44" s="2" t="n"/>
      <c r="AN44" s="2" t="n"/>
    </row>
    <row r="45" ht="14.25" customHeight="1" s="157">
      <c r="A45" s="222" t="inlineStr">
        <is>
          <t>5. DESCRIPCIÓN DEL PROYECTO</t>
        </is>
      </c>
      <c r="B45" s="168" t="n"/>
      <c r="C45" s="168" t="n"/>
      <c r="D45" s="168" t="n"/>
      <c r="E45" s="168" t="n"/>
      <c r="F45" s="168" t="n"/>
      <c r="G45" s="168" t="n"/>
      <c r="H45" s="168" t="n"/>
      <c r="I45" s="168" t="n"/>
      <c r="J45" s="168" t="n"/>
      <c r="K45" s="168" t="n"/>
      <c r="L45" s="168" t="n"/>
      <c r="M45" s="168" t="n"/>
      <c r="N45" s="168" t="n"/>
      <c r="O45" s="168" t="n"/>
      <c r="P45" s="168" t="n"/>
      <c r="Q45" s="168" t="n"/>
      <c r="R45" s="168" t="n"/>
      <c r="S45" s="168" t="n"/>
      <c r="T45" s="168" t="n"/>
      <c r="U45" s="168" t="n"/>
      <c r="V45" s="183" t="n"/>
      <c r="W45" s="2" t="n"/>
      <c r="X45" s="2" t="n"/>
      <c r="Y45" s="2" t="n"/>
      <c r="Z45" s="2" t="n"/>
      <c r="AA45" s="2" t="n"/>
      <c r="AB45" s="2" t="n"/>
      <c r="AC45" s="2" t="n"/>
      <c r="AD45" s="2" t="n"/>
      <c r="AE45" s="2" t="n"/>
      <c r="AF45" s="2" t="n"/>
      <c r="AG45" s="2" t="n"/>
      <c r="AH45" s="2" t="n"/>
      <c r="AI45" s="2" t="n"/>
      <c r="AJ45" s="2" t="n"/>
      <c r="AK45" s="2" t="n"/>
      <c r="AL45" s="2" t="n"/>
      <c r="AM45" s="2" t="n"/>
      <c r="AN45" s="2" t="n"/>
    </row>
    <row r="46" ht="126.75" customHeight="1" s="157">
      <c r="A46" s="224" t="n"/>
      <c r="B46" s="168" t="n"/>
      <c r="C46" s="168" t="n"/>
      <c r="D46" s="168" t="n"/>
      <c r="E46" s="168" t="n"/>
      <c r="F46" s="168" t="n"/>
      <c r="G46" s="168" t="n"/>
      <c r="H46" s="168" t="n"/>
      <c r="I46" s="168" t="n"/>
      <c r="J46" s="168" t="n"/>
      <c r="K46" s="168" t="n"/>
      <c r="L46" s="168" t="n"/>
      <c r="M46" s="168" t="n"/>
      <c r="N46" s="168" t="n"/>
      <c r="O46" s="168" t="n"/>
      <c r="P46" s="168" t="n"/>
      <c r="Q46" s="168" t="n"/>
      <c r="R46" s="168" t="n"/>
      <c r="S46" s="168" t="n"/>
      <c r="T46" s="168" t="n"/>
      <c r="U46" s="168" t="n"/>
      <c r="V46" s="183" t="n"/>
      <c r="W46" s="2" t="n"/>
      <c r="X46" s="2" t="n"/>
      <c r="Y46" s="2" t="n"/>
      <c r="Z46" s="2" t="n"/>
      <c r="AA46" s="2" t="n"/>
      <c r="AB46" s="2" t="n"/>
      <c r="AC46" s="2" t="n"/>
      <c r="AD46" s="2" t="n"/>
      <c r="AE46" s="2" t="n"/>
      <c r="AF46" s="2" t="n"/>
      <c r="AG46" s="2" t="n"/>
      <c r="AH46" s="2" t="n"/>
      <c r="AI46" s="2" t="n"/>
      <c r="AJ46" s="2" t="n"/>
      <c r="AK46" s="2" t="n"/>
      <c r="AL46" s="2" t="n"/>
      <c r="AM46" s="2" t="n"/>
      <c r="AN46" s="2" t="n"/>
    </row>
    <row r="47" ht="14.25" customHeight="1" s="157">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c r="AA47" s="2" t="n"/>
      <c r="AB47" s="2" t="n"/>
      <c r="AC47" s="2" t="n"/>
      <c r="AD47" s="2" t="n"/>
      <c r="AE47" s="2" t="n"/>
      <c r="AF47" s="2" t="n"/>
      <c r="AG47" s="2" t="n"/>
      <c r="AH47" s="2" t="n"/>
      <c r="AI47" s="2" t="n"/>
      <c r="AJ47" s="2" t="n"/>
      <c r="AK47" s="2" t="n"/>
      <c r="AL47" s="2" t="n"/>
      <c r="AM47" s="2" t="n"/>
      <c r="AN47" s="2" t="n"/>
    </row>
    <row r="48" ht="14.25" customHeight="1" s="157">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c r="AA48" s="2" t="n"/>
      <c r="AB48" s="2" t="n"/>
      <c r="AC48" s="2" t="n"/>
      <c r="AD48" s="2" t="n"/>
      <c r="AE48" s="2" t="n"/>
      <c r="AF48" s="2" t="n"/>
      <c r="AG48" s="2" t="n"/>
      <c r="AH48" s="2" t="n"/>
      <c r="AI48" s="2" t="n"/>
      <c r="AJ48" s="2" t="n"/>
      <c r="AK48" s="2" t="n"/>
      <c r="AL48" s="2" t="n"/>
      <c r="AM48" s="2" t="n"/>
      <c r="AN48" s="2" t="n"/>
    </row>
    <row r="49" ht="14.25" customHeight="1" s="157">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c r="AA49" s="2" t="n"/>
      <c r="AB49" s="2" t="n"/>
      <c r="AC49" s="2" t="n"/>
      <c r="AD49" s="2" t="n"/>
      <c r="AE49" s="2" t="n"/>
      <c r="AF49" s="2" t="n"/>
      <c r="AG49" s="2" t="n"/>
      <c r="AH49" s="2" t="n"/>
      <c r="AI49" s="2" t="n"/>
      <c r="AJ49" s="2" t="n"/>
      <c r="AK49" s="2" t="n"/>
      <c r="AL49" s="2" t="n"/>
      <c r="AM49" s="2" t="n"/>
      <c r="AN49" s="2" t="n"/>
    </row>
    <row r="50" ht="14.25" customHeight="1" s="157">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c r="AA50" s="2" t="n"/>
      <c r="AB50" s="2" t="n"/>
      <c r="AC50" s="2" t="n"/>
      <c r="AD50" s="2" t="n"/>
      <c r="AE50" s="2" t="n"/>
      <c r="AF50" s="2" t="n"/>
      <c r="AG50" s="2" t="n"/>
      <c r="AH50" s="2" t="n"/>
      <c r="AI50" s="2" t="n"/>
      <c r="AJ50" s="2" t="n"/>
      <c r="AK50" s="2" t="n"/>
      <c r="AL50" s="2" t="n"/>
      <c r="AM50" s="2" t="n"/>
      <c r="AN50" s="2" t="n"/>
    </row>
    <row r="51" ht="14.25" customHeight="1" s="157">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c r="AA51" s="2" t="n"/>
      <c r="AB51" s="2" t="n"/>
      <c r="AC51" s="2" t="n"/>
      <c r="AD51" s="2" t="n"/>
      <c r="AE51" s="2" t="n"/>
      <c r="AF51" s="2" t="n"/>
      <c r="AG51" s="2" t="n"/>
      <c r="AH51" s="2" t="n"/>
      <c r="AI51" s="2" t="n"/>
      <c r="AJ51" s="2" t="n"/>
      <c r="AK51" s="2" t="n"/>
      <c r="AL51" s="2" t="n"/>
      <c r="AM51" s="2" t="n"/>
      <c r="AN51" s="2" t="n"/>
    </row>
    <row r="52" ht="14.25" customHeight="1" s="157">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c r="AA52" s="2" t="n"/>
      <c r="AB52" s="2" t="n"/>
      <c r="AC52" s="2" t="n"/>
      <c r="AD52" s="2" t="n"/>
      <c r="AE52" s="2" t="n"/>
      <c r="AF52" s="2" t="n"/>
      <c r="AG52" s="2" t="n"/>
      <c r="AH52" s="2" t="n"/>
      <c r="AI52" s="2" t="n"/>
      <c r="AJ52" s="2" t="n"/>
      <c r="AK52" s="2" t="n"/>
      <c r="AL52" s="2" t="n"/>
      <c r="AM52" s="2" t="n"/>
      <c r="AN52" s="2" t="n"/>
    </row>
    <row r="53" ht="14.25" customHeight="1" s="157">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c r="AA53" s="2" t="n"/>
      <c r="AB53" s="2" t="n"/>
      <c r="AC53" s="2" t="n"/>
      <c r="AD53" s="2" t="n"/>
      <c r="AE53" s="2" t="n"/>
      <c r="AF53" s="2" t="n"/>
      <c r="AG53" s="2" t="n"/>
      <c r="AH53" s="2" t="n"/>
      <c r="AI53" s="2" t="n"/>
      <c r="AJ53" s="2" t="n"/>
      <c r="AK53" s="2" t="n"/>
      <c r="AL53" s="2" t="n"/>
      <c r="AM53" s="2" t="n"/>
      <c r="AN53" s="2" t="n"/>
    </row>
    <row r="54" ht="14.25" customHeight="1" s="157">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c r="AA54" s="2" t="n"/>
      <c r="AB54" s="2" t="n"/>
      <c r="AC54" s="2" t="n"/>
      <c r="AD54" s="2" t="n"/>
      <c r="AE54" s="2" t="n"/>
      <c r="AF54" s="2" t="n"/>
      <c r="AG54" s="2" t="n"/>
      <c r="AH54" s="2" t="n"/>
      <c r="AI54" s="2" t="n"/>
      <c r="AJ54" s="2" t="n"/>
      <c r="AK54" s="2" t="n"/>
      <c r="AL54" s="2" t="n"/>
      <c r="AM54" s="2" t="n"/>
      <c r="AN54" s="2" t="n"/>
    </row>
    <row r="55" ht="14.25" customHeight="1" s="157">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c r="AA55" s="2" t="n"/>
      <c r="AB55" s="2" t="n"/>
      <c r="AC55" s="2" t="n"/>
      <c r="AD55" s="2" t="n"/>
      <c r="AE55" s="2" t="n"/>
      <c r="AF55" s="2" t="n"/>
      <c r="AG55" s="2" t="n"/>
      <c r="AH55" s="2" t="n"/>
      <c r="AI55" s="2" t="n"/>
      <c r="AJ55" s="2" t="n"/>
      <c r="AK55" s="2" t="n"/>
      <c r="AL55" s="2" t="n"/>
      <c r="AM55" s="2" t="n"/>
      <c r="AN55" s="2" t="n"/>
    </row>
    <row r="56" ht="14.25" customHeight="1" s="157">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c r="AA56" s="2" t="n"/>
      <c r="AB56" s="2" t="n"/>
      <c r="AC56" s="2" t="n"/>
      <c r="AD56" s="2" t="n"/>
      <c r="AE56" s="2" t="n"/>
      <c r="AF56" s="2" t="n"/>
      <c r="AG56" s="2" t="n"/>
      <c r="AH56" s="2" t="n"/>
      <c r="AI56" s="2" t="n"/>
      <c r="AJ56" s="2" t="n"/>
      <c r="AK56" s="2" t="n"/>
      <c r="AL56" s="2" t="n"/>
      <c r="AM56" s="2" t="n"/>
      <c r="AN56" s="2" t="n"/>
    </row>
    <row r="57" ht="14.25" customHeight="1" s="157">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c r="AA57" s="2" t="n"/>
      <c r="AB57" s="2" t="n"/>
      <c r="AC57" s="2" t="n"/>
      <c r="AD57" s="2" t="n"/>
      <c r="AE57" s="2" t="n"/>
      <c r="AF57" s="2" t="n"/>
      <c r="AG57" s="2" t="n"/>
      <c r="AH57" s="2" t="n"/>
      <c r="AI57" s="2" t="n"/>
      <c r="AJ57" s="2" t="n"/>
      <c r="AK57" s="2" t="n"/>
      <c r="AL57" s="2" t="n"/>
      <c r="AM57" s="2" t="n"/>
      <c r="AN57" s="2" t="n"/>
    </row>
    <row r="58" ht="14.25" customHeight="1" s="157">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c r="AA58" s="2" t="n"/>
      <c r="AB58" s="2" t="n"/>
      <c r="AC58" s="2" t="n"/>
      <c r="AD58" s="2" t="n"/>
      <c r="AE58" s="2" t="n"/>
      <c r="AF58" s="2" t="n"/>
      <c r="AG58" s="2" t="n"/>
      <c r="AH58" s="2" t="n"/>
      <c r="AI58" s="2" t="n"/>
      <c r="AJ58" s="2" t="n"/>
      <c r="AK58" s="2" t="n"/>
      <c r="AL58" s="2" t="n"/>
      <c r="AM58" s="2" t="n"/>
      <c r="AN58" s="2" t="n"/>
    </row>
    <row r="59" ht="14.25" customHeight="1" s="157">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c r="AA59" s="2" t="n"/>
      <c r="AB59" s="2" t="n"/>
      <c r="AC59" s="2" t="n"/>
      <c r="AD59" s="2" t="n"/>
      <c r="AE59" s="2" t="n"/>
      <c r="AF59" s="2" t="n"/>
      <c r="AG59" s="2" t="n"/>
      <c r="AH59" s="2" t="n"/>
      <c r="AI59" s="2" t="n"/>
      <c r="AJ59" s="2" t="n"/>
      <c r="AK59" s="2" t="n"/>
      <c r="AL59" s="2" t="n"/>
      <c r="AM59" s="2" t="n"/>
      <c r="AN59" s="2" t="n"/>
    </row>
    <row r="60" ht="14.25" customHeight="1" s="157">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c r="AA60" s="2" t="n"/>
      <c r="AB60" s="2" t="n"/>
      <c r="AC60" s="2" t="n"/>
      <c r="AD60" s="2" t="n"/>
      <c r="AE60" s="2" t="n"/>
      <c r="AF60" s="2" t="n"/>
      <c r="AG60" s="2" t="n"/>
      <c r="AH60" s="2" t="n"/>
      <c r="AI60" s="2" t="n"/>
      <c r="AJ60" s="2" t="n"/>
      <c r="AK60" s="2" t="n"/>
      <c r="AL60" s="2" t="n"/>
      <c r="AM60" s="2" t="n"/>
      <c r="AN60" s="2" t="n"/>
    </row>
    <row r="61" ht="14.25" customHeight="1" s="157">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c r="AA61" s="2" t="n"/>
      <c r="AB61" s="2" t="n"/>
      <c r="AC61" s="2" t="n"/>
      <c r="AD61" s="2" t="n"/>
      <c r="AE61" s="2" t="n"/>
      <c r="AF61" s="2" t="n"/>
      <c r="AG61" s="2" t="n"/>
      <c r="AH61" s="2" t="n"/>
      <c r="AI61" s="2" t="n"/>
      <c r="AJ61" s="2" t="n"/>
      <c r="AK61" s="2" t="n"/>
      <c r="AL61" s="2" t="n"/>
      <c r="AM61" s="2" t="n"/>
      <c r="AN61" s="2" t="n"/>
    </row>
    <row r="62" ht="14.25" customHeight="1" s="157">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c r="AA62" s="2" t="n"/>
      <c r="AB62" s="2" t="n"/>
      <c r="AC62" s="2" t="n"/>
      <c r="AD62" s="2" t="n"/>
      <c r="AE62" s="2" t="n"/>
      <c r="AF62" s="2" t="n"/>
      <c r="AG62" s="2" t="n"/>
      <c r="AH62" s="2" t="n"/>
      <c r="AI62" s="2" t="n"/>
      <c r="AJ62" s="2" t="n"/>
      <c r="AK62" s="2" t="n"/>
      <c r="AL62" s="2" t="n"/>
      <c r="AM62" s="2" t="n"/>
      <c r="AN62" s="2" t="n"/>
    </row>
    <row r="63" ht="14.25" customHeight="1" s="157">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c r="AA63" s="2" t="n"/>
      <c r="AB63" s="2" t="n"/>
      <c r="AC63" s="2" t="n"/>
      <c r="AD63" s="2" t="n"/>
      <c r="AE63" s="2" t="n"/>
      <c r="AF63" s="2" t="n"/>
      <c r="AG63" s="2" t="n"/>
      <c r="AH63" s="2" t="n"/>
      <c r="AI63" s="2" t="n"/>
      <c r="AJ63" s="2" t="n"/>
      <c r="AK63" s="2" t="n"/>
      <c r="AL63" s="2" t="n"/>
      <c r="AM63" s="2" t="n"/>
      <c r="AN63" s="2" t="n"/>
    </row>
    <row r="64" ht="14.25" customHeight="1" s="157">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c r="AA64" s="2" t="n"/>
      <c r="AB64" s="2" t="n"/>
      <c r="AC64" s="2" t="n"/>
      <c r="AD64" s="2" t="n"/>
      <c r="AE64" s="2" t="n"/>
      <c r="AF64" s="2" t="n"/>
      <c r="AG64" s="2" t="n"/>
      <c r="AH64" s="2" t="n"/>
      <c r="AI64" s="2" t="n"/>
      <c r="AJ64" s="2" t="n"/>
      <c r="AK64" s="2" t="n"/>
      <c r="AL64" s="2" t="n"/>
      <c r="AM64" s="2" t="n"/>
      <c r="AN64" s="2" t="n"/>
    </row>
    <row r="65" ht="14.25" customHeight="1" s="157">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c r="AA65" s="2" t="n"/>
      <c r="AB65" s="2" t="n"/>
      <c r="AC65" s="2" t="n"/>
      <c r="AD65" s="2" t="n"/>
      <c r="AE65" s="2" t="n"/>
      <c r="AF65" s="2" t="n"/>
      <c r="AG65" s="2" t="n"/>
      <c r="AH65" s="2" t="n"/>
      <c r="AI65" s="2" t="n"/>
      <c r="AJ65" s="2" t="n"/>
      <c r="AK65" s="2" t="n"/>
      <c r="AL65" s="2" t="n"/>
      <c r="AM65" s="2" t="n"/>
      <c r="AN65" s="2" t="n"/>
    </row>
    <row r="66" ht="14.25" customHeight="1" s="157">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c r="AA66" s="2" t="n"/>
      <c r="AB66" s="2" t="n"/>
      <c r="AC66" s="2" t="n"/>
      <c r="AD66" s="2" t="n"/>
      <c r="AE66" s="2" t="n"/>
      <c r="AF66" s="2" t="n"/>
      <c r="AG66" s="2" t="n"/>
      <c r="AH66" s="2" t="n"/>
      <c r="AI66" s="2" t="n"/>
      <c r="AJ66" s="2" t="n"/>
      <c r="AK66" s="2" t="n"/>
      <c r="AL66" s="2" t="n"/>
      <c r="AM66" s="2" t="n"/>
      <c r="AN66" s="2" t="n"/>
    </row>
    <row r="67" ht="14.25" customHeight="1" s="157">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c r="AA67" s="2" t="n"/>
      <c r="AB67" s="2" t="n"/>
      <c r="AC67" s="2" t="n"/>
      <c r="AD67" s="2" t="n"/>
      <c r="AE67" s="2" t="n"/>
      <c r="AF67" s="2" t="n"/>
      <c r="AG67" s="2" t="n"/>
      <c r="AH67" s="2" t="n"/>
      <c r="AI67" s="2" t="n"/>
      <c r="AJ67" s="2" t="n"/>
      <c r="AK67" s="2" t="n"/>
      <c r="AL67" s="2" t="n"/>
      <c r="AM67" s="2" t="n"/>
      <c r="AN67" s="2" t="n"/>
    </row>
    <row r="68" ht="14.25" customHeight="1" s="157">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c r="AA68" s="2" t="n"/>
      <c r="AB68" s="2" t="n"/>
      <c r="AC68" s="2" t="n"/>
      <c r="AD68" s="2" t="n"/>
      <c r="AE68" s="2" t="n"/>
      <c r="AF68" s="2" t="n"/>
      <c r="AG68" s="2" t="n"/>
      <c r="AH68" s="2" t="n"/>
      <c r="AI68" s="2" t="n"/>
      <c r="AJ68" s="2" t="n"/>
      <c r="AK68" s="2" t="n"/>
      <c r="AL68" s="2" t="n"/>
      <c r="AM68" s="2" t="n"/>
      <c r="AN68" s="2" t="n"/>
    </row>
    <row r="69" ht="14.25" customHeight="1" s="157">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c r="AA69" s="2" t="n"/>
      <c r="AB69" s="2" t="n"/>
      <c r="AC69" s="2" t="n"/>
      <c r="AD69" s="2" t="n"/>
      <c r="AE69" s="2" t="n"/>
      <c r="AF69" s="2" t="n"/>
      <c r="AG69" s="2" t="n"/>
      <c r="AH69" s="2" t="n"/>
      <c r="AI69" s="2" t="n"/>
      <c r="AJ69" s="2" t="n"/>
      <c r="AK69" s="2" t="n"/>
      <c r="AL69" s="2" t="n"/>
      <c r="AM69" s="2" t="n"/>
      <c r="AN69" s="2" t="n"/>
    </row>
    <row r="70" ht="14.25" customHeight="1" s="157">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c r="AA70" s="2" t="n"/>
      <c r="AB70" s="2" t="n"/>
      <c r="AC70" s="2" t="n"/>
      <c r="AD70" s="2" t="n"/>
      <c r="AE70" s="2" t="n"/>
      <c r="AF70" s="2" t="n"/>
      <c r="AG70" s="2" t="n"/>
      <c r="AH70" s="2" t="n"/>
      <c r="AI70" s="2" t="n"/>
      <c r="AJ70" s="2" t="n"/>
      <c r="AK70" s="2" t="n"/>
      <c r="AL70" s="2" t="n"/>
      <c r="AM70" s="2" t="n"/>
      <c r="AN70" s="2" t="n"/>
    </row>
    <row r="71" ht="14.25" customHeight="1" s="157">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c r="AA71" s="2" t="n"/>
      <c r="AB71" s="2" t="n"/>
      <c r="AC71" s="2" t="n"/>
      <c r="AD71" s="2" t="n"/>
      <c r="AE71" s="2" t="n"/>
      <c r="AF71" s="2" t="n"/>
      <c r="AG71" s="2" t="n"/>
      <c r="AH71" s="2" t="n"/>
      <c r="AI71" s="2" t="n"/>
      <c r="AJ71" s="2" t="n"/>
      <c r="AK71" s="2" t="n"/>
      <c r="AL71" s="2" t="n"/>
      <c r="AM71" s="2" t="n"/>
      <c r="AN71" s="2" t="n"/>
    </row>
    <row r="72" ht="14.25" customHeight="1" s="157">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c r="AA72" s="2" t="n"/>
      <c r="AB72" s="2" t="n"/>
      <c r="AC72" s="2" t="n"/>
      <c r="AD72" s="2" t="n"/>
      <c r="AE72" s="2" t="n"/>
      <c r="AF72" s="2" t="n"/>
      <c r="AG72" s="2" t="n"/>
      <c r="AH72" s="2" t="n"/>
      <c r="AI72" s="2" t="n"/>
      <c r="AJ72" s="2" t="n"/>
      <c r="AK72" s="2" t="n"/>
      <c r="AL72" s="2" t="n"/>
      <c r="AM72" s="2" t="n"/>
      <c r="AN72" s="2" t="n"/>
    </row>
    <row r="73" ht="14.25" customHeight="1" s="157">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c r="AA73" s="2" t="n"/>
      <c r="AB73" s="2" t="n"/>
      <c r="AC73" s="2" t="n"/>
      <c r="AD73" s="2" t="n"/>
      <c r="AE73" s="2" t="n"/>
      <c r="AF73" s="2" t="n"/>
      <c r="AG73" s="2" t="n"/>
      <c r="AH73" s="2" t="n"/>
      <c r="AI73" s="2" t="n"/>
      <c r="AJ73" s="2" t="n"/>
      <c r="AK73" s="2" t="n"/>
      <c r="AL73" s="2" t="n"/>
      <c r="AM73" s="2" t="n"/>
      <c r="AN73" s="2" t="n"/>
    </row>
    <row r="74" ht="14.25" customHeight="1" s="157">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c r="AA74" s="2" t="n"/>
      <c r="AB74" s="2" t="n"/>
      <c r="AC74" s="2" t="n"/>
      <c r="AD74" s="2" t="n"/>
      <c r="AE74" s="2" t="n"/>
      <c r="AF74" s="2" t="n"/>
      <c r="AG74" s="2" t="n"/>
      <c r="AH74" s="2" t="n"/>
      <c r="AI74" s="2" t="n"/>
      <c r="AJ74" s="2" t="n"/>
      <c r="AK74" s="2" t="n"/>
      <c r="AL74" s="2" t="n"/>
      <c r="AM74" s="2" t="n"/>
      <c r="AN74" s="2" t="n"/>
    </row>
    <row r="75" ht="14.25" customHeight="1" s="157">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c r="AA75" s="2" t="n"/>
      <c r="AB75" s="2" t="n"/>
      <c r="AC75" s="2" t="n"/>
      <c r="AD75" s="2" t="n"/>
      <c r="AE75" s="2" t="n"/>
      <c r="AF75" s="2" t="n"/>
      <c r="AG75" s="2" t="n"/>
      <c r="AH75" s="2" t="n"/>
      <c r="AI75" s="2" t="n"/>
      <c r="AJ75" s="2" t="n"/>
      <c r="AK75" s="2" t="n"/>
      <c r="AL75" s="2" t="n"/>
      <c r="AM75" s="2" t="n"/>
      <c r="AN75" s="2" t="n"/>
    </row>
    <row r="76" ht="14.25" customHeight="1" s="157">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c r="AA76" s="2" t="n"/>
      <c r="AB76" s="2" t="n"/>
      <c r="AC76" s="2" t="n"/>
      <c r="AD76" s="2" t="n"/>
      <c r="AE76" s="2" t="n"/>
      <c r="AF76" s="2" t="n"/>
      <c r="AG76" s="2" t="n"/>
      <c r="AH76" s="2" t="n"/>
      <c r="AI76" s="2" t="n"/>
      <c r="AJ76" s="2" t="n"/>
      <c r="AK76" s="2" t="n"/>
      <c r="AL76" s="2" t="n"/>
      <c r="AM76" s="2" t="n"/>
      <c r="AN76" s="2" t="n"/>
    </row>
    <row r="77" ht="14.25" customHeight="1" s="157">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c r="AA77" s="2" t="n"/>
      <c r="AB77" s="2" t="n"/>
      <c r="AC77" s="2" t="n"/>
      <c r="AD77" s="2" t="n"/>
      <c r="AE77" s="2" t="n"/>
      <c r="AF77" s="2" t="n"/>
      <c r="AG77" s="2" t="n"/>
      <c r="AH77" s="2" t="n"/>
      <c r="AI77" s="2" t="n"/>
      <c r="AJ77" s="2" t="n"/>
      <c r="AK77" s="2" t="n"/>
      <c r="AL77" s="2" t="n"/>
      <c r="AM77" s="2" t="n"/>
      <c r="AN77" s="2" t="n"/>
    </row>
    <row r="78" ht="14.25" customHeight="1" s="157">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c r="AA78" s="2" t="n"/>
      <c r="AB78" s="2" t="n"/>
      <c r="AC78" s="2" t="n"/>
      <c r="AD78" s="2" t="n"/>
      <c r="AE78" s="2" t="n"/>
      <c r="AF78" s="2" t="n"/>
      <c r="AG78" s="2" t="n"/>
      <c r="AH78" s="2" t="n"/>
      <c r="AI78" s="2" t="n"/>
      <c r="AJ78" s="2" t="n"/>
      <c r="AK78" s="2" t="n"/>
      <c r="AL78" s="2" t="n"/>
      <c r="AM78" s="2" t="n"/>
      <c r="AN78" s="2" t="n"/>
    </row>
    <row r="79" ht="14.25" customHeight="1" s="157">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c r="AA79" s="2" t="n"/>
      <c r="AB79" s="2" t="n"/>
      <c r="AC79" s="2" t="n"/>
      <c r="AD79" s="2" t="n"/>
      <c r="AE79" s="2" t="n"/>
      <c r="AF79" s="2" t="n"/>
      <c r="AG79" s="2" t="n"/>
      <c r="AH79" s="2" t="n"/>
      <c r="AI79" s="2" t="n"/>
      <c r="AJ79" s="2" t="n"/>
      <c r="AK79" s="2" t="n"/>
      <c r="AL79" s="2" t="n"/>
      <c r="AM79" s="2" t="n"/>
      <c r="AN79" s="2" t="n"/>
    </row>
    <row r="80" ht="14.25" customHeight="1" s="157">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c r="AA80" s="2" t="n"/>
      <c r="AB80" s="2" t="n"/>
      <c r="AC80" s="2" t="n"/>
      <c r="AD80" s="2" t="n"/>
      <c r="AE80" s="2" t="n"/>
      <c r="AF80" s="2" t="n"/>
      <c r="AG80" s="2" t="n"/>
      <c r="AH80" s="2" t="n"/>
      <c r="AI80" s="2" t="n"/>
      <c r="AJ80" s="2" t="n"/>
      <c r="AK80" s="2" t="n"/>
      <c r="AL80" s="2" t="n"/>
      <c r="AM80" s="2" t="n"/>
      <c r="AN80" s="2" t="n"/>
    </row>
    <row r="81" ht="14.25" customHeight="1" s="157">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c r="AA81" s="2" t="n"/>
      <c r="AB81" s="2" t="n"/>
      <c r="AC81" s="2" t="n"/>
      <c r="AD81" s="2" t="n"/>
      <c r="AE81" s="2" t="n"/>
      <c r="AF81" s="2" t="n"/>
      <c r="AG81" s="2" t="n"/>
      <c r="AH81" s="2" t="n"/>
      <c r="AI81" s="2" t="n"/>
      <c r="AJ81" s="2" t="n"/>
      <c r="AK81" s="2" t="n"/>
      <c r="AL81" s="2" t="n"/>
      <c r="AM81" s="2" t="n"/>
      <c r="AN81" s="2" t="n"/>
    </row>
    <row r="82" ht="14.25" customHeight="1" s="157">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c r="AA82" s="2" t="n"/>
      <c r="AB82" s="2" t="n"/>
      <c r="AC82" s="2" t="n"/>
      <c r="AD82" s="2" t="n"/>
      <c r="AE82" s="2" t="n"/>
      <c r="AF82" s="2" t="n"/>
      <c r="AG82" s="2" t="n"/>
      <c r="AH82" s="2" t="n"/>
      <c r="AI82" s="2" t="n"/>
      <c r="AJ82" s="2" t="n"/>
      <c r="AK82" s="2" t="n"/>
      <c r="AL82" s="2" t="n"/>
      <c r="AM82" s="2" t="n"/>
      <c r="AN82" s="2" t="n"/>
    </row>
    <row r="83" ht="14.25" customHeight="1" s="157">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c r="AA83" s="2" t="n"/>
      <c r="AB83" s="2" t="n"/>
      <c r="AC83" s="2" t="n"/>
      <c r="AD83" s="2" t="n"/>
      <c r="AE83" s="2" t="n"/>
      <c r="AF83" s="2" t="n"/>
      <c r="AG83" s="2" t="n"/>
      <c r="AH83" s="2" t="n"/>
      <c r="AI83" s="2" t="n"/>
      <c r="AJ83" s="2" t="n"/>
      <c r="AK83" s="2" t="n"/>
      <c r="AL83" s="2" t="n"/>
      <c r="AM83" s="2" t="n"/>
      <c r="AN83" s="2" t="n"/>
    </row>
    <row r="84" ht="14.25" customHeight="1" s="157">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c r="AA84" s="2" t="n"/>
      <c r="AB84" s="2" t="n"/>
      <c r="AC84" s="2" t="n"/>
      <c r="AD84" s="2" t="n"/>
      <c r="AE84" s="2" t="n"/>
      <c r="AF84" s="2" t="n"/>
      <c r="AG84" s="2" t="n"/>
      <c r="AH84" s="2" t="n"/>
      <c r="AI84" s="2" t="n"/>
      <c r="AJ84" s="2" t="n"/>
      <c r="AK84" s="2" t="n"/>
      <c r="AL84" s="2" t="n"/>
      <c r="AM84" s="2" t="n"/>
      <c r="AN84" s="2" t="n"/>
    </row>
    <row r="85" ht="14.25" customHeight="1" s="157">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c r="AA85" s="2" t="n"/>
      <c r="AB85" s="2" t="n"/>
      <c r="AC85" s="2" t="n"/>
      <c r="AD85" s="2" t="n"/>
      <c r="AE85" s="2" t="n"/>
      <c r="AF85" s="2" t="n"/>
      <c r="AG85" s="2" t="n"/>
      <c r="AH85" s="2" t="n"/>
      <c r="AI85" s="2" t="n"/>
      <c r="AJ85" s="2" t="n"/>
      <c r="AK85" s="2" t="n"/>
      <c r="AL85" s="2" t="n"/>
      <c r="AM85" s="2" t="n"/>
      <c r="AN85" s="2" t="n"/>
    </row>
    <row r="86" ht="14.25" customHeight="1" s="157">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c r="AA86" s="2" t="n"/>
      <c r="AB86" s="2" t="n"/>
      <c r="AC86" s="2" t="n"/>
      <c r="AD86" s="2" t="n"/>
      <c r="AE86" s="2" t="n"/>
      <c r="AF86" s="2" t="n"/>
      <c r="AG86" s="2" t="n"/>
      <c r="AH86" s="2" t="n"/>
      <c r="AI86" s="2" t="n"/>
      <c r="AJ86" s="2" t="n"/>
      <c r="AK86" s="2" t="n"/>
      <c r="AL86" s="2" t="n"/>
      <c r="AM86" s="2" t="n"/>
      <c r="AN86" s="2" t="n"/>
    </row>
    <row r="87" ht="14.25" customHeight="1" s="157">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c r="AA87" s="2" t="n"/>
      <c r="AB87" s="2" t="n"/>
      <c r="AC87" s="2" t="n"/>
      <c r="AD87" s="2" t="n"/>
      <c r="AE87" s="2" t="n"/>
      <c r="AF87" s="2" t="n"/>
      <c r="AG87" s="2" t="n"/>
      <c r="AH87" s="2" t="n"/>
      <c r="AI87" s="2" t="n"/>
      <c r="AJ87" s="2" t="n"/>
      <c r="AK87" s="2" t="n"/>
      <c r="AL87" s="2" t="n"/>
      <c r="AM87" s="2" t="n"/>
      <c r="AN87" s="2" t="n"/>
    </row>
    <row r="88" ht="14.25" customHeight="1" s="157">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c r="AA88" s="2" t="n"/>
      <c r="AB88" s="2" t="n"/>
      <c r="AC88" s="2" t="n"/>
      <c r="AD88" s="2" t="n"/>
      <c r="AE88" s="2" t="n"/>
      <c r="AF88" s="2" t="n"/>
      <c r="AG88" s="2" t="n"/>
      <c r="AH88" s="2" t="n"/>
      <c r="AI88" s="2" t="n"/>
      <c r="AJ88" s="2" t="n"/>
      <c r="AK88" s="2" t="n"/>
      <c r="AL88" s="2" t="n"/>
      <c r="AM88" s="2" t="n"/>
      <c r="AN88" s="2" t="n"/>
    </row>
    <row r="89" ht="14.25" customHeight="1" s="157">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c r="AA89" s="2" t="n"/>
      <c r="AB89" s="2" t="n"/>
      <c r="AC89" s="2" t="n"/>
      <c r="AD89" s="2" t="n"/>
      <c r="AE89" s="2" t="n"/>
      <c r="AF89" s="2" t="n"/>
      <c r="AG89" s="2" t="n"/>
      <c r="AH89" s="2" t="n"/>
      <c r="AI89" s="2" t="n"/>
      <c r="AJ89" s="2" t="n"/>
      <c r="AK89" s="2" t="n"/>
      <c r="AL89" s="2" t="n"/>
      <c r="AM89" s="2" t="n"/>
      <c r="AN89" s="2" t="n"/>
    </row>
    <row r="90" ht="14.25" customHeight="1" s="157">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c r="AA90" s="2" t="n"/>
      <c r="AB90" s="2" t="n"/>
      <c r="AC90" s="2" t="n"/>
      <c r="AD90" s="2" t="n"/>
      <c r="AE90" s="2" t="n"/>
      <c r="AF90" s="2" t="n"/>
      <c r="AG90" s="2" t="n"/>
      <c r="AH90" s="2" t="n"/>
      <c r="AI90" s="2" t="n"/>
      <c r="AJ90" s="2" t="n"/>
      <c r="AK90" s="2" t="n"/>
      <c r="AL90" s="2" t="n"/>
      <c r="AM90" s="2" t="n"/>
      <c r="AN90" s="2" t="n"/>
    </row>
    <row r="91" ht="14.25" customHeight="1" s="157">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c r="AA91" s="2" t="n"/>
      <c r="AB91" s="2" t="n"/>
      <c r="AC91" s="2" t="n"/>
      <c r="AD91" s="2" t="n"/>
      <c r="AE91" s="2" t="n"/>
      <c r="AF91" s="2" t="n"/>
      <c r="AG91" s="2" t="n"/>
      <c r="AH91" s="2" t="n"/>
      <c r="AI91" s="2" t="n"/>
      <c r="AJ91" s="2" t="n"/>
      <c r="AK91" s="2" t="n"/>
      <c r="AL91" s="2" t="n"/>
      <c r="AM91" s="2" t="n"/>
      <c r="AN91" s="2" t="n"/>
    </row>
    <row r="92" ht="14.25" customHeight="1" s="157">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c r="AA92" s="2" t="n"/>
      <c r="AB92" s="2" t="n"/>
      <c r="AC92" s="2" t="n"/>
      <c r="AD92" s="2" t="n"/>
      <c r="AE92" s="2" t="n"/>
      <c r="AF92" s="2" t="n"/>
      <c r="AG92" s="2" t="n"/>
      <c r="AH92" s="2" t="n"/>
      <c r="AI92" s="2" t="n"/>
      <c r="AJ92" s="2" t="n"/>
      <c r="AK92" s="2" t="n"/>
      <c r="AL92" s="2" t="n"/>
      <c r="AM92" s="2" t="n"/>
      <c r="AN92" s="2" t="n"/>
    </row>
    <row r="93" ht="14.25" customHeight="1" s="157">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c r="AA93" s="2" t="n"/>
      <c r="AB93" s="2" t="n"/>
      <c r="AC93" s="2" t="n"/>
      <c r="AD93" s="2" t="n"/>
      <c r="AE93" s="2" t="n"/>
      <c r="AF93" s="2" t="n"/>
      <c r="AG93" s="2" t="n"/>
      <c r="AH93" s="2" t="n"/>
      <c r="AI93" s="2" t="n"/>
      <c r="AJ93" s="2" t="n"/>
      <c r="AK93" s="2" t="n"/>
      <c r="AL93" s="2" t="n"/>
      <c r="AM93" s="2" t="n"/>
      <c r="AN93" s="2" t="n"/>
    </row>
    <row r="94" ht="14.25" customHeight="1" s="157">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c r="AA94" s="2" t="n"/>
      <c r="AB94" s="2" t="n"/>
      <c r="AC94" s="2" t="n"/>
      <c r="AD94" s="2" t="n"/>
      <c r="AE94" s="2" t="n"/>
      <c r="AF94" s="2" t="n"/>
      <c r="AG94" s="2" t="n"/>
      <c r="AH94" s="2" t="n"/>
      <c r="AI94" s="2" t="n"/>
      <c r="AJ94" s="2" t="n"/>
      <c r="AK94" s="2" t="n"/>
      <c r="AL94" s="2" t="n"/>
      <c r="AM94" s="2" t="n"/>
      <c r="AN94" s="2" t="n"/>
    </row>
    <row r="95" ht="14.25" customHeight="1" s="157">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c r="AA95" s="2" t="n"/>
      <c r="AB95" s="2" t="n"/>
      <c r="AC95" s="2" t="n"/>
      <c r="AD95" s="2" t="n"/>
      <c r="AE95" s="2" t="n"/>
      <c r="AF95" s="2" t="n"/>
      <c r="AG95" s="2" t="n"/>
      <c r="AH95" s="2" t="n"/>
      <c r="AI95" s="2" t="n"/>
      <c r="AJ95" s="2" t="n"/>
      <c r="AK95" s="2" t="n"/>
      <c r="AL95" s="2" t="n"/>
      <c r="AM95" s="2" t="n"/>
      <c r="AN95" s="2" t="n"/>
    </row>
    <row r="96" ht="14.25" customHeight="1" s="157">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c r="AA96" s="2" t="n"/>
      <c r="AB96" s="2" t="n"/>
      <c r="AC96" s="2" t="n"/>
      <c r="AD96" s="2" t="n"/>
      <c r="AE96" s="2" t="n"/>
      <c r="AF96" s="2" t="n"/>
      <c r="AG96" s="2" t="n"/>
      <c r="AH96" s="2" t="n"/>
      <c r="AI96" s="2" t="n"/>
      <c r="AJ96" s="2" t="n"/>
      <c r="AK96" s="2" t="n"/>
      <c r="AL96" s="2" t="n"/>
      <c r="AM96" s="2" t="n"/>
      <c r="AN96" s="2" t="n"/>
    </row>
    <row r="97" ht="14.25" customHeight="1" s="157">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c r="AA97" s="2" t="n"/>
      <c r="AB97" s="2" t="n"/>
      <c r="AC97" s="2" t="n"/>
      <c r="AD97" s="2" t="n"/>
      <c r="AE97" s="2" t="n"/>
      <c r="AF97" s="2" t="n"/>
      <c r="AG97" s="2" t="n"/>
      <c r="AH97" s="2" t="n"/>
      <c r="AI97" s="2" t="n"/>
      <c r="AJ97" s="2" t="n"/>
      <c r="AK97" s="2" t="n"/>
      <c r="AL97" s="2" t="n"/>
      <c r="AM97" s="2" t="n"/>
      <c r="AN97" s="2" t="n"/>
    </row>
    <row r="98" ht="14.25" customHeight="1" s="157">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c r="AA98" s="2" t="n"/>
      <c r="AB98" s="2" t="n"/>
      <c r="AC98" s="2" t="n"/>
      <c r="AD98" s="2" t="n"/>
      <c r="AE98" s="2" t="n"/>
      <c r="AF98" s="2" t="n"/>
      <c r="AG98" s="2" t="n"/>
      <c r="AH98" s="2" t="n"/>
      <c r="AI98" s="2" t="n"/>
      <c r="AJ98" s="2" t="n"/>
      <c r="AK98" s="2" t="n"/>
      <c r="AL98" s="2" t="n"/>
      <c r="AM98" s="2" t="n"/>
      <c r="AN98" s="2" t="n"/>
    </row>
    <row r="99" ht="14.25" customHeight="1" s="157">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c r="AA99" s="2" t="n"/>
      <c r="AB99" s="2" t="n"/>
      <c r="AC99" s="2" t="n"/>
      <c r="AD99" s="2" t="n"/>
      <c r="AE99" s="2" t="n"/>
      <c r="AF99" s="2" t="n"/>
      <c r="AG99" s="2" t="n"/>
      <c r="AH99" s="2" t="n"/>
      <c r="AI99" s="2" t="n"/>
      <c r="AJ99" s="2" t="n"/>
      <c r="AK99" s="2" t="n"/>
      <c r="AL99" s="2" t="n"/>
      <c r="AM99" s="2" t="n"/>
      <c r="AN99" s="2" t="n"/>
    </row>
    <row r="100" ht="14.25" customHeight="1" s="157">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c r="AA100" s="2" t="n"/>
      <c r="AB100" s="2" t="n"/>
      <c r="AC100" s="2" t="n"/>
      <c r="AD100" s="2" t="n"/>
      <c r="AE100" s="2" t="n"/>
      <c r="AF100" s="2" t="n"/>
      <c r="AG100" s="2" t="n"/>
      <c r="AH100" s="2" t="n"/>
      <c r="AI100" s="2" t="n"/>
      <c r="AJ100" s="2" t="n"/>
      <c r="AK100" s="2" t="n"/>
      <c r="AL100" s="2" t="n"/>
      <c r="AM100" s="2" t="n"/>
      <c r="AN100" s="2" t="n"/>
    </row>
    <row r="101" ht="14.25" customHeight="1" s="157">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c r="AA101" s="2" t="n"/>
      <c r="AB101" s="2" t="n"/>
      <c r="AC101" s="2" t="n"/>
      <c r="AD101" s="2" t="n"/>
      <c r="AE101" s="2" t="n"/>
      <c r="AF101" s="2" t="n"/>
      <c r="AG101" s="2" t="n"/>
      <c r="AH101" s="2" t="n"/>
      <c r="AI101" s="2" t="n"/>
      <c r="AJ101" s="2" t="n"/>
      <c r="AK101" s="2" t="n"/>
      <c r="AL101" s="2" t="n"/>
      <c r="AM101" s="2" t="n"/>
      <c r="AN101" s="2" t="n"/>
    </row>
    <row r="102" ht="14.25" customHeight="1" s="157">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c r="AA102" s="2" t="n"/>
      <c r="AB102" s="2" t="n"/>
      <c r="AC102" s="2" t="n"/>
      <c r="AD102" s="2" t="n"/>
      <c r="AE102" s="2" t="n"/>
      <c r="AF102" s="2" t="n"/>
      <c r="AG102" s="2" t="n"/>
      <c r="AH102" s="2" t="n"/>
      <c r="AI102" s="2" t="n"/>
      <c r="AJ102" s="2" t="n"/>
      <c r="AK102" s="2" t="n"/>
      <c r="AL102" s="2" t="n"/>
      <c r="AM102" s="2" t="n"/>
      <c r="AN102" s="2" t="n"/>
    </row>
    <row r="103" ht="14.25" customHeight="1" s="157">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c r="AA103" s="2" t="n"/>
      <c r="AB103" s="2" t="n"/>
      <c r="AC103" s="2" t="n"/>
      <c r="AD103" s="2" t="n"/>
      <c r="AE103" s="2" t="n"/>
      <c r="AF103" s="2" t="n"/>
      <c r="AG103" s="2" t="n"/>
      <c r="AH103" s="2" t="n"/>
      <c r="AI103" s="2" t="n"/>
      <c r="AJ103" s="2" t="n"/>
      <c r="AK103" s="2" t="n"/>
      <c r="AL103" s="2" t="n"/>
      <c r="AM103" s="2" t="n"/>
      <c r="AN103" s="2" t="n"/>
    </row>
    <row r="104" ht="14.25" customHeight="1" s="157">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c r="AA104" s="2" t="n"/>
      <c r="AB104" s="2" t="n"/>
      <c r="AC104" s="2" t="n"/>
      <c r="AD104" s="2" t="n"/>
      <c r="AE104" s="2" t="n"/>
      <c r="AF104" s="2" t="n"/>
      <c r="AG104" s="2" t="n"/>
      <c r="AH104" s="2" t="n"/>
      <c r="AI104" s="2" t="n"/>
      <c r="AJ104" s="2" t="n"/>
      <c r="AK104" s="2" t="n"/>
      <c r="AL104" s="2" t="n"/>
      <c r="AM104" s="2" t="n"/>
      <c r="AN104" s="2" t="n"/>
    </row>
    <row r="105" ht="14.25" customHeight="1" s="157">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c r="AA105" s="2" t="n"/>
      <c r="AB105" s="2" t="n"/>
      <c r="AC105" s="2" t="n"/>
      <c r="AD105" s="2" t="n"/>
      <c r="AE105" s="2" t="n"/>
      <c r="AF105" s="2" t="n"/>
      <c r="AG105" s="2" t="n"/>
      <c r="AH105" s="2" t="n"/>
      <c r="AI105" s="2" t="n"/>
      <c r="AJ105" s="2" t="n"/>
      <c r="AK105" s="2" t="n"/>
      <c r="AL105" s="2" t="n"/>
      <c r="AM105" s="2" t="n"/>
      <c r="AN105" s="2" t="n"/>
    </row>
    <row r="106" ht="14.25" customHeight="1" s="157">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c r="AA106" s="2" t="n"/>
      <c r="AB106" s="2" t="n"/>
      <c r="AC106" s="2" t="n"/>
      <c r="AD106" s="2" t="n"/>
      <c r="AE106" s="2" t="n"/>
      <c r="AF106" s="2" t="n"/>
      <c r="AG106" s="2" t="n"/>
      <c r="AH106" s="2" t="n"/>
      <c r="AI106" s="2" t="n"/>
      <c r="AJ106" s="2" t="n"/>
      <c r="AK106" s="2" t="n"/>
      <c r="AL106" s="2" t="n"/>
      <c r="AM106" s="2" t="n"/>
      <c r="AN106" s="2" t="n"/>
    </row>
    <row r="107" ht="14.25" customHeight="1" s="157">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c r="AA107" s="2" t="n"/>
      <c r="AB107" s="2" t="n"/>
      <c r="AC107" s="2" t="n"/>
      <c r="AD107" s="2" t="n"/>
      <c r="AE107" s="2" t="n"/>
      <c r="AF107" s="2" t="n"/>
      <c r="AG107" s="2" t="n"/>
      <c r="AH107" s="2" t="n"/>
      <c r="AI107" s="2" t="n"/>
      <c r="AJ107" s="2" t="n"/>
      <c r="AK107" s="2" t="n"/>
      <c r="AL107" s="2" t="n"/>
      <c r="AM107" s="2" t="n"/>
      <c r="AN107" s="2" t="n"/>
    </row>
    <row r="108" ht="14.25" customHeight="1" s="157">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c r="AA108" s="2" t="n"/>
      <c r="AB108" s="2" t="n"/>
      <c r="AC108" s="2" t="n"/>
      <c r="AD108" s="2" t="n"/>
      <c r="AE108" s="2" t="n"/>
      <c r="AF108" s="2" t="n"/>
      <c r="AG108" s="2" t="n"/>
      <c r="AH108" s="2" t="n"/>
      <c r="AI108" s="2" t="n"/>
      <c r="AJ108" s="2" t="n"/>
      <c r="AK108" s="2" t="n"/>
      <c r="AL108" s="2" t="n"/>
      <c r="AM108" s="2" t="n"/>
      <c r="AN108" s="2" t="n"/>
    </row>
    <row r="109" ht="14.25" customHeight="1" s="157">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c r="AA109" s="2" t="n"/>
      <c r="AB109" s="2" t="n"/>
      <c r="AC109" s="2" t="n"/>
      <c r="AD109" s="2" t="n"/>
      <c r="AE109" s="2" t="n"/>
      <c r="AF109" s="2" t="n"/>
      <c r="AG109" s="2" t="n"/>
      <c r="AH109" s="2" t="n"/>
      <c r="AI109" s="2" t="n"/>
      <c r="AJ109" s="2" t="n"/>
      <c r="AK109" s="2" t="n"/>
      <c r="AL109" s="2" t="n"/>
      <c r="AM109" s="2" t="n"/>
      <c r="AN109" s="2" t="n"/>
    </row>
    <row r="110" ht="14.25" customHeight="1" s="157">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c r="AA110" s="2" t="n"/>
      <c r="AB110" s="2" t="n"/>
      <c r="AC110" s="2" t="n"/>
      <c r="AD110" s="2" t="n"/>
      <c r="AE110" s="2" t="n"/>
      <c r="AF110" s="2" t="n"/>
      <c r="AG110" s="2" t="n"/>
      <c r="AH110" s="2" t="n"/>
      <c r="AI110" s="2" t="n"/>
      <c r="AJ110" s="2" t="n"/>
      <c r="AK110" s="2" t="n"/>
      <c r="AL110" s="2" t="n"/>
      <c r="AM110" s="2" t="n"/>
      <c r="AN110" s="2" t="n"/>
    </row>
    <row r="111" ht="14.25" customHeight="1" s="157">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c r="AA111" s="2" t="n"/>
      <c r="AB111" s="2" t="n"/>
      <c r="AC111" s="2" t="n"/>
      <c r="AD111" s="2" t="n"/>
      <c r="AE111" s="2" t="n"/>
      <c r="AF111" s="2" t="n"/>
      <c r="AG111" s="2" t="n"/>
      <c r="AH111" s="2" t="n"/>
      <c r="AI111" s="2" t="n"/>
      <c r="AJ111" s="2" t="n"/>
      <c r="AK111" s="2" t="n"/>
      <c r="AL111" s="2" t="n"/>
      <c r="AM111" s="2" t="n"/>
      <c r="AN111" s="2" t="n"/>
    </row>
    <row r="112" ht="14.25" customHeight="1" s="157">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c r="AA112" s="2" t="n"/>
      <c r="AB112" s="2" t="n"/>
      <c r="AC112" s="2" t="n"/>
      <c r="AD112" s="2" t="n"/>
      <c r="AE112" s="2" t="n"/>
      <c r="AF112" s="2" t="n"/>
      <c r="AG112" s="2" t="n"/>
      <c r="AH112" s="2" t="n"/>
      <c r="AI112" s="2" t="n"/>
      <c r="AJ112" s="2" t="n"/>
      <c r="AK112" s="2" t="n"/>
      <c r="AL112" s="2" t="n"/>
      <c r="AM112" s="2" t="n"/>
      <c r="AN112" s="2" t="n"/>
    </row>
    <row r="113" ht="14.25" customHeight="1" s="157">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c r="AA113" s="2" t="n"/>
      <c r="AB113" s="2" t="n"/>
      <c r="AC113" s="2" t="n"/>
      <c r="AD113" s="2" t="n"/>
      <c r="AE113" s="2" t="n"/>
      <c r="AF113" s="2" t="n"/>
      <c r="AG113" s="2" t="n"/>
      <c r="AH113" s="2" t="n"/>
      <c r="AI113" s="2" t="n"/>
      <c r="AJ113" s="2" t="n"/>
      <c r="AK113" s="2" t="n"/>
      <c r="AL113" s="2" t="n"/>
      <c r="AM113" s="2" t="n"/>
      <c r="AN113" s="2" t="n"/>
    </row>
    <row r="114" ht="14.25" customHeight="1" s="157">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c r="AA114" s="2" t="n"/>
      <c r="AB114" s="2" t="n"/>
      <c r="AC114" s="2" t="n"/>
      <c r="AD114" s="2" t="n"/>
      <c r="AE114" s="2" t="n"/>
      <c r="AF114" s="2" t="n"/>
      <c r="AG114" s="2" t="n"/>
      <c r="AH114" s="2" t="n"/>
      <c r="AI114" s="2" t="n"/>
      <c r="AJ114" s="2" t="n"/>
      <c r="AK114" s="2" t="n"/>
      <c r="AL114" s="2" t="n"/>
      <c r="AM114" s="2" t="n"/>
      <c r="AN114" s="2" t="n"/>
    </row>
    <row r="115" ht="14.25" customHeight="1" s="157">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c r="AA115" s="2" t="n"/>
      <c r="AB115" s="2" t="n"/>
      <c r="AC115" s="2" t="n"/>
      <c r="AD115" s="2" t="n"/>
      <c r="AE115" s="2" t="n"/>
      <c r="AF115" s="2" t="n"/>
      <c r="AG115" s="2" t="n"/>
      <c r="AH115" s="2" t="n"/>
      <c r="AI115" s="2" t="n"/>
      <c r="AJ115" s="2" t="n"/>
      <c r="AK115" s="2" t="n"/>
      <c r="AL115" s="2" t="n"/>
      <c r="AM115" s="2" t="n"/>
      <c r="AN115" s="2" t="n"/>
    </row>
    <row r="116" ht="14.25" customHeight="1" s="157">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c r="AA116" s="2" t="n"/>
      <c r="AB116" s="2" t="n"/>
      <c r="AC116" s="2" t="n"/>
      <c r="AD116" s="2" t="n"/>
      <c r="AE116" s="2" t="n"/>
      <c r="AF116" s="2" t="n"/>
      <c r="AG116" s="2" t="n"/>
      <c r="AH116" s="2" t="n"/>
      <c r="AI116" s="2" t="n"/>
      <c r="AJ116" s="2" t="n"/>
      <c r="AK116" s="2" t="n"/>
      <c r="AL116" s="2" t="n"/>
      <c r="AM116" s="2" t="n"/>
      <c r="AN116" s="2" t="n"/>
    </row>
    <row r="117" ht="14.25" customHeight="1" s="157">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c r="AA117" s="2" t="n"/>
      <c r="AB117" s="2" t="n"/>
      <c r="AC117" s="2" t="n"/>
      <c r="AD117" s="2" t="n"/>
      <c r="AE117" s="2" t="n"/>
      <c r="AF117" s="2" t="n"/>
      <c r="AG117" s="2" t="n"/>
      <c r="AH117" s="2" t="n"/>
      <c r="AI117" s="2" t="n"/>
      <c r="AJ117" s="2" t="n"/>
      <c r="AK117" s="2" t="n"/>
      <c r="AL117" s="2" t="n"/>
      <c r="AM117" s="2" t="n"/>
      <c r="AN117" s="2" t="n"/>
    </row>
    <row r="118" ht="14.25" customHeight="1" s="157">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c r="AA118" s="2" t="n"/>
      <c r="AB118" s="2" t="n"/>
      <c r="AC118" s="2" t="n"/>
      <c r="AD118" s="2" t="n"/>
      <c r="AE118" s="2" t="n"/>
      <c r="AF118" s="2" t="n"/>
      <c r="AG118" s="2" t="n"/>
      <c r="AH118" s="2" t="n"/>
      <c r="AI118" s="2" t="n"/>
      <c r="AJ118" s="2" t="n"/>
      <c r="AK118" s="2" t="n"/>
      <c r="AL118" s="2" t="n"/>
      <c r="AM118" s="2" t="n"/>
      <c r="AN118" s="2" t="n"/>
    </row>
    <row r="119" ht="14.25" customHeight="1" s="157">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c r="AA119" s="2" t="n"/>
      <c r="AB119" s="2" t="n"/>
      <c r="AC119" s="2" t="n"/>
      <c r="AD119" s="2" t="n"/>
      <c r="AE119" s="2" t="n"/>
      <c r="AF119" s="2" t="n"/>
      <c r="AG119" s="2" t="n"/>
      <c r="AH119" s="2" t="n"/>
      <c r="AI119" s="2" t="n"/>
      <c r="AJ119" s="2" t="n"/>
      <c r="AK119" s="2" t="n"/>
      <c r="AL119" s="2" t="n"/>
      <c r="AM119" s="2" t="n"/>
      <c r="AN119" s="2" t="n"/>
    </row>
    <row r="120" ht="14.25" customHeight="1" s="157">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c r="AA120" s="2" t="n"/>
      <c r="AB120" s="2" t="n"/>
      <c r="AC120" s="2" t="n"/>
      <c r="AD120" s="2" t="n"/>
      <c r="AE120" s="2" t="n"/>
      <c r="AF120" s="2" t="n"/>
      <c r="AG120" s="2" t="n"/>
      <c r="AH120" s="2" t="n"/>
      <c r="AI120" s="2" t="n"/>
      <c r="AJ120" s="2" t="n"/>
      <c r="AK120" s="2" t="n"/>
      <c r="AL120" s="2" t="n"/>
      <c r="AM120" s="2" t="n"/>
      <c r="AN120" s="2" t="n"/>
    </row>
    <row r="121" ht="14.25" customHeight="1" s="157">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c r="AA121" s="2" t="n"/>
      <c r="AB121" s="2" t="n"/>
      <c r="AC121" s="2" t="n"/>
      <c r="AD121" s="2" t="n"/>
      <c r="AE121" s="2" t="n"/>
      <c r="AF121" s="2" t="n"/>
      <c r="AG121" s="2" t="n"/>
      <c r="AH121" s="2" t="n"/>
      <c r="AI121" s="2" t="n"/>
      <c r="AJ121" s="2" t="n"/>
      <c r="AK121" s="2" t="n"/>
      <c r="AL121" s="2" t="n"/>
      <c r="AM121" s="2" t="n"/>
      <c r="AN121" s="2" t="n"/>
    </row>
    <row r="122" ht="14.25" customHeight="1" s="157">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c r="AA122" s="2" t="n"/>
      <c r="AB122" s="2" t="n"/>
      <c r="AC122" s="2" t="n"/>
      <c r="AD122" s="2" t="n"/>
      <c r="AE122" s="2" t="n"/>
      <c r="AF122" s="2" t="n"/>
      <c r="AG122" s="2" t="n"/>
      <c r="AH122" s="2" t="n"/>
      <c r="AI122" s="2" t="n"/>
      <c r="AJ122" s="2" t="n"/>
      <c r="AK122" s="2" t="n"/>
      <c r="AL122" s="2" t="n"/>
      <c r="AM122" s="2" t="n"/>
      <c r="AN122" s="2" t="n"/>
    </row>
    <row r="123" ht="14.25" customHeight="1" s="157">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c r="AA123" s="2" t="n"/>
      <c r="AB123" s="2" t="n"/>
      <c r="AC123" s="2" t="n"/>
      <c r="AD123" s="2" t="n"/>
      <c r="AE123" s="2" t="n"/>
      <c r="AF123" s="2" t="n"/>
      <c r="AG123" s="2" t="n"/>
      <c r="AH123" s="2" t="n"/>
      <c r="AI123" s="2" t="n"/>
      <c r="AJ123" s="2" t="n"/>
      <c r="AK123" s="2" t="n"/>
      <c r="AL123" s="2" t="n"/>
      <c r="AM123" s="2" t="n"/>
      <c r="AN123" s="2" t="n"/>
    </row>
    <row r="124" ht="14.25" customHeight="1" s="157">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c r="AA124" s="2" t="n"/>
      <c r="AB124" s="2" t="n"/>
      <c r="AC124" s="2" t="n"/>
      <c r="AD124" s="2" t="n"/>
      <c r="AE124" s="2" t="n"/>
      <c r="AF124" s="2" t="n"/>
      <c r="AG124" s="2" t="n"/>
      <c r="AH124" s="2" t="n"/>
      <c r="AI124" s="2" t="n"/>
      <c r="AJ124" s="2" t="n"/>
      <c r="AK124" s="2" t="n"/>
      <c r="AL124" s="2" t="n"/>
      <c r="AM124" s="2" t="n"/>
      <c r="AN124" s="2" t="n"/>
    </row>
    <row r="125" ht="14.25" customHeight="1" s="157">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c r="AA125" s="2" t="n"/>
      <c r="AB125" s="2" t="n"/>
      <c r="AC125" s="2" t="n"/>
      <c r="AD125" s="2" t="n"/>
      <c r="AE125" s="2" t="n"/>
      <c r="AF125" s="2" t="n"/>
      <c r="AG125" s="2" t="n"/>
      <c r="AH125" s="2" t="n"/>
      <c r="AI125" s="2" t="n"/>
      <c r="AJ125" s="2" t="n"/>
      <c r="AK125" s="2" t="n"/>
      <c r="AL125" s="2" t="n"/>
      <c r="AM125" s="2" t="n"/>
      <c r="AN125" s="2" t="n"/>
    </row>
    <row r="126" ht="14.25" customHeight="1" s="157">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c r="AA126" s="2" t="n"/>
      <c r="AB126" s="2" t="n"/>
      <c r="AC126" s="2" t="n"/>
      <c r="AD126" s="2" t="n"/>
      <c r="AE126" s="2" t="n"/>
      <c r="AF126" s="2" t="n"/>
      <c r="AG126" s="2" t="n"/>
      <c r="AH126" s="2" t="n"/>
      <c r="AI126" s="2" t="n"/>
      <c r="AJ126" s="2" t="n"/>
      <c r="AK126" s="2" t="n"/>
      <c r="AL126" s="2" t="n"/>
      <c r="AM126" s="2" t="n"/>
      <c r="AN126" s="2" t="n"/>
    </row>
    <row r="127" ht="14.25" customHeight="1" s="157">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c r="AA127" s="2" t="n"/>
      <c r="AB127" s="2" t="n"/>
      <c r="AC127" s="2" t="n"/>
      <c r="AD127" s="2" t="n"/>
      <c r="AE127" s="2" t="n"/>
      <c r="AF127" s="2" t="n"/>
      <c r="AG127" s="2" t="n"/>
      <c r="AH127" s="2" t="n"/>
      <c r="AI127" s="2" t="n"/>
      <c r="AJ127" s="2" t="n"/>
      <c r="AK127" s="2" t="n"/>
      <c r="AL127" s="2" t="n"/>
      <c r="AM127" s="2" t="n"/>
      <c r="AN127" s="2" t="n"/>
    </row>
    <row r="128" ht="14.25" customHeight="1" s="157">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c r="AA128" s="2" t="n"/>
      <c r="AB128" s="2" t="n"/>
      <c r="AC128" s="2" t="n"/>
      <c r="AD128" s="2" t="n"/>
      <c r="AE128" s="2" t="n"/>
      <c r="AF128" s="2" t="n"/>
      <c r="AG128" s="2" t="n"/>
      <c r="AH128" s="2" t="n"/>
      <c r="AI128" s="2" t="n"/>
      <c r="AJ128" s="2" t="n"/>
      <c r="AK128" s="2" t="n"/>
      <c r="AL128" s="2" t="n"/>
      <c r="AM128" s="2" t="n"/>
      <c r="AN128" s="2" t="n"/>
    </row>
    <row r="129" ht="14.25" customHeight="1" s="157">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c r="AA129" s="2" t="n"/>
      <c r="AB129" s="2" t="n"/>
      <c r="AC129" s="2" t="n"/>
      <c r="AD129" s="2" t="n"/>
      <c r="AE129" s="2" t="n"/>
      <c r="AF129" s="2" t="n"/>
      <c r="AG129" s="2" t="n"/>
      <c r="AH129" s="2" t="n"/>
      <c r="AI129" s="2" t="n"/>
      <c r="AJ129" s="2" t="n"/>
      <c r="AK129" s="2" t="n"/>
      <c r="AL129" s="2" t="n"/>
      <c r="AM129" s="2" t="n"/>
      <c r="AN129" s="2" t="n"/>
    </row>
    <row r="130" ht="14.25" customHeight="1" s="157">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c r="AA130" s="2" t="n"/>
      <c r="AB130" s="2" t="n"/>
      <c r="AC130" s="2" t="n"/>
      <c r="AD130" s="2" t="n"/>
      <c r="AE130" s="2" t="n"/>
      <c r="AF130" s="2" t="n"/>
      <c r="AG130" s="2" t="n"/>
      <c r="AH130" s="2" t="n"/>
      <c r="AI130" s="2" t="n"/>
      <c r="AJ130" s="2" t="n"/>
      <c r="AK130" s="2" t="n"/>
      <c r="AL130" s="2" t="n"/>
      <c r="AM130" s="2" t="n"/>
      <c r="AN130" s="2" t="n"/>
    </row>
    <row r="131" ht="14.25" customHeight="1" s="157">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c r="AA131" s="2" t="n"/>
      <c r="AB131" s="2" t="n"/>
      <c r="AC131" s="2" t="n"/>
      <c r="AD131" s="2" t="n"/>
      <c r="AE131" s="2" t="n"/>
      <c r="AF131" s="2" t="n"/>
      <c r="AG131" s="2" t="n"/>
      <c r="AH131" s="2" t="n"/>
      <c r="AI131" s="2" t="n"/>
      <c r="AJ131" s="2" t="n"/>
      <c r="AK131" s="2" t="n"/>
      <c r="AL131" s="2" t="n"/>
      <c r="AM131" s="2" t="n"/>
      <c r="AN131" s="2" t="n"/>
    </row>
    <row r="132" ht="14.25" customHeight="1" s="157">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c r="AA132" s="2" t="n"/>
      <c r="AB132" s="2" t="n"/>
      <c r="AC132" s="2" t="n"/>
      <c r="AD132" s="2" t="n"/>
      <c r="AE132" s="2" t="n"/>
      <c r="AF132" s="2" t="n"/>
      <c r="AG132" s="2" t="n"/>
      <c r="AH132" s="2" t="n"/>
      <c r="AI132" s="2" t="n"/>
      <c r="AJ132" s="2" t="n"/>
      <c r="AK132" s="2" t="n"/>
      <c r="AL132" s="2" t="n"/>
      <c r="AM132" s="2" t="n"/>
      <c r="AN132" s="2" t="n"/>
    </row>
    <row r="133" ht="14.25" customHeight="1" s="157">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c r="AA133" s="2" t="n"/>
      <c r="AB133" s="2" t="n"/>
      <c r="AC133" s="2" t="n"/>
      <c r="AD133" s="2" t="n"/>
      <c r="AE133" s="2" t="n"/>
      <c r="AF133" s="2" t="n"/>
      <c r="AG133" s="2" t="n"/>
      <c r="AH133" s="2" t="n"/>
      <c r="AI133" s="2" t="n"/>
      <c r="AJ133" s="2" t="n"/>
      <c r="AK133" s="2" t="n"/>
      <c r="AL133" s="2" t="n"/>
      <c r="AM133" s="2" t="n"/>
      <c r="AN133" s="2" t="n"/>
    </row>
    <row r="134" ht="14.25" customHeight="1" s="157">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c r="AA134" s="2" t="n"/>
      <c r="AB134" s="2" t="n"/>
      <c r="AC134" s="2" t="n"/>
      <c r="AD134" s="2" t="n"/>
      <c r="AE134" s="2" t="n"/>
      <c r="AF134" s="2" t="n"/>
      <c r="AG134" s="2" t="n"/>
      <c r="AH134" s="2" t="n"/>
      <c r="AI134" s="2" t="n"/>
      <c r="AJ134" s="2" t="n"/>
      <c r="AK134" s="2" t="n"/>
      <c r="AL134" s="2" t="n"/>
      <c r="AM134" s="2" t="n"/>
      <c r="AN134" s="2" t="n"/>
    </row>
    <row r="135" ht="14.25" customHeight="1" s="157">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c r="AA135" s="2" t="n"/>
      <c r="AB135" s="2" t="n"/>
      <c r="AC135" s="2" t="n"/>
      <c r="AD135" s="2" t="n"/>
      <c r="AE135" s="2" t="n"/>
      <c r="AF135" s="2" t="n"/>
      <c r="AG135" s="2" t="n"/>
      <c r="AH135" s="2" t="n"/>
      <c r="AI135" s="2" t="n"/>
      <c r="AJ135" s="2" t="n"/>
      <c r="AK135" s="2" t="n"/>
      <c r="AL135" s="2" t="n"/>
      <c r="AM135" s="2" t="n"/>
      <c r="AN135" s="2" t="n"/>
    </row>
    <row r="136" ht="14.25" customHeight="1" s="157">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c r="AA136" s="2" t="n"/>
      <c r="AB136" s="2" t="n"/>
      <c r="AC136" s="2" t="n"/>
      <c r="AD136" s="2" t="n"/>
      <c r="AE136" s="2" t="n"/>
      <c r="AF136" s="2" t="n"/>
      <c r="AG136" s="2" t="n"/>
      <c r="AH136" s="2" t="n"/>
      <c r="AI136" s="2" t="n"/>
      <c r="AJ136" s="2" t="n"/>
      <c r="AK136" s="2" t="n"/>
      <c r="AL136" s="2" t="n"/>
      <c r="AM136" s="2" t="n"/>
      <c r="AN136" s="2" t="n"/>
    </row>
    <row r="137" ht="14.25" customHeight="1" s="157">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c r="AA137" s="2" t="n"/>
      <c r="AB137" s="2" t="n"/>
      <c r="AC137" s="2" t="n"/>
      <c r="AD137" s="2" t="n"/>
      <c r="AE137" s="2" t="n"/>
      <c r="AF137" s="2" t="n"/>
      <c r="AG137" s="2" t="n"/>
      <c r="AH137" s="2" t="n"/>
      <c r="AI137" s="2" t="n"/>
      <c r="AJ137" s="2" t="n"/>
      <c r="AK137" s="2" t="n"/>
      <c r="AL137" s="2" t="n"/>
      <c r="AM137" s="2" t="n"/>
      <c r="AN137" s="2" t="n"/>
    </row>
    <row r="138" ht="14.25" customHeight="1" s="157">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c r="AA138" s="2" t="n"/>
      <c r="AB138" s="2" t="n"/>
      <c r="AC138" s="2" t="n"/>
      <c r="AD138" s="2" t="n"/>
      <c r="AE138" s="2" t="n"/>
      <c r="AF138" s="2" t="n"/>
      <c r="AG138" s="2" t="n"/>
      <c r="AH138" s="2" t="n"/>
      <c r="AI138" s="2" t="n"/>
      <c r="AJ138" s="2" t="n"/>
      <c r="AK138" s="2" t="n"/>
      <c r="AL138" s="2" t="n"/>
      <c r="AM138" s="2" t="n"/>
      <c r="AN138" s="2" t="n"/>
    </row>
    <row r="139" ht="14.25" customHeight="1" s="157">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c r="AA139" s="2" t="n"/>
      <c r="AB139" s="2" t="n"/>
      <c r="AC139" s="2" t="n"/>
      <c r="AD139" s="2" t="n"/>
      <c r="AE139" s="2" t="n"/>
      <c r="AF139" s="2" t="n"/>
      <c r="AG139" s="2" t="n"/>
      <c r="AH139" s="2" t="n"/>
      <c r="AI139" s="2" t="n"/>
      <c r="AJ139" s="2" t="n"/>
      <c r="AK139" s="2" t="n"/>
      <c r="AL139" s="2" t="n"/>
      <c r="AM139" s="2" t="n"/>
      <c r="AN139" s="2" t="n"/>
    </row>
    <row r="140" ht="14.25" customHeight="1" s="157">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c r="AA140" s="2" t="n"/>
      <c r="AB140" s="2" t="n"/>
      <c r="AC140" s="2" t="n"/>
      <c r="AD140" s="2" t="n"/>
      <c r="AE140" s="2" t="n"/>
      <c r="AF140" s="2" t="n"/>
      <c r="AG140" s="2" t="n"/>
      <c r="AH140" s="2" t="n"/>
      <c r="AI140" s="2" t="n"/>
      <c r="AJ140" s="2" t="n"/>
      <c r="AK140" s="2" t="n"/>
      <c r="AL140" s="2" t="n"/>
      <c r="AM140" s="2" t="n"/>
      <c r="AN140" s="2" t="n"/>
    </row>
    <row r="141" ht="14.25" customHeight="1" s="157">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c r="AA141" s="2" t="n"/>
      <c r="AB141" s="2" t="n"/>
      <c r="AC141" s="2" t="n"/>
      <c r="AD141" s="2" t="n"/>
      <c r="AE141" s="2" t="n"/>
      <c r="AF141" s="2" t="n"/>
      <c r="AG141" s="2" t="n"/>
      <c r="AH141" s="2" t="n"/>
      <c r="AI141" s="2" t="n"/>
      <c r="AJ141" s="2" t="n"/>
      <c r="AK141" s="2" t="n"/>
      <c r="AL141" s="2" t="n"/>
      <c r="AM141" s="2" t="n"/>
      <c r="AN141" s="2" t="n"/>
    </row>
    <row r="142" ht="14.25" customHeight="1" s="157">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c r="AA142" s="2" t="n"/>
      <c r="AB142" s="2" t="n"/>
      <c r="AC142" s="2" t="n"/>
      <c r="AD142" s="2" t="n"/>
      <c r="AE142" s="2" t="n"/>
      <c r="AF142" s="2" t="n"/>
      <c r="AG142" s="2" t="n"/>
      <c r="AH142" s="2" t="n"/>
      <c r="AI142" s="2" t="n"/>
      <c r="AJ142" s="2" t="n"/>
      <c r="AK142" s="2" t="n"/>
      <c r="AL142" s="2" t="n"/>
      <c r="AM142" s="2" t="n"/>
      <c r="AN142" s="2" t="n"/>
    </row>
    <row r="143" ht="14.25" customHeight="1" s="157">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c r="AA143" s="2" t="n"/>
      <c r="AB143" s="2" t="n"/>
      <c r="AC143" s="2" t="n"/>
      <c r="AD143" s="2" t="n"/>
      <c r="AE143" s="2" t="n"/>
      <c r="AF143" s="2" t="n"/>
      <c r="AG143" s="2" t="n"/>
      <c r="AH143" s="2" t="n"/>
      <c r="AI143" s="2" t="n"/>
      <c r="AJ143" s="2" t="n"/>
      <c r="AK143" s="2" t="n"/>
      <c r="AL143" s="2" t="n"/>
      <c r="AM143" s="2" t="n"/>
      <c r="AN143" s="2" t="n"/>
    </row>
    <row r="144" ht="14.25" customHeight="1" s="157">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c r="AA144" s="2" t="n"/>
      <c r="AB144" s="2" t="n"/>
      <c r="AC144" s="2" t="n"/>
      <c r="AD144" s="2" t="n"/>
      <c r="AE144" s="2" t="n"/>
      <c r="AF144" s="2" t="n"/>
      <c r="AG144" s="2" t="n"/>
      <c r="AH144" s="2" t="n"/>
      <c r="AI144" s="2" t="n"/>
      <c r="AJ144" s="2" t="n"/>
      <c r="AK144" s="2" t="n"/>
      <c r="AL144" s="2" t="n"/>
      <c r="AM144" s="2" t="n"/>
      <c r="AN144" s="2" t="n"/>
    </row>
    <row r="145" ht="14.25" customHeight="1" s="157">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c r="AA145" s="2" t="n"/>
      <c r="AB145" s="2" t="n"/>
      <c r="AC145" s="2" t="n"/>
      <c r="AD145" s="2" t="n"/>
      <c r="AE145" s="2" t="n"/>
      <c r="AF145" s="2" t="n"/>
      <c r="AG145" s="2" t="n"/>
      <c r="AH145" s="2" t="n"/>
      <c r="AI145" s="2" t="n"/>
      <c r="AJ145" s="2" t="n"/>
      <c r="AK145" s="2" t="n"/>
      <c r="AL145" s="2" t="n"/>
      <c r="AM145" s="2" t="n"/>
      <c r="AN145" s="2" t="n"/>
    </row>
    <row r="146" ht="14.25" customHeight="1" s="157">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c r="AA146" s="2" t="n"/>
      <c r="AB146" s="2" t="n"/>
      <c r="AC146" s="2" t="n"/>
      <c r="AD146" s="2" t="n"/>
      <c r="AE146" s="2" t="n"/>
      <c r="AF146" s="2" t="n"/>
      <c r="AG146" s="2" t="n"/>
      <c r="AH146" s="2" t="n"/>
      <c r="AI146" s="2" t="n"/>
      <c r="AJ146" s="2" t="n"/>
      <c r="AK146" s="2" t="n"/>
      <c r="AL146" s="2" t="n"/>
      <c r="AM146" s="2" t="n"/>
      <c r="AN146" s="2" t="n"/>
    </row>
    <row r="147" ht="14.25" customHeight="1" s="157">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c r="AA147" s="2" t="n"/>
      <c r="AB147" s="2" t="n"/>
      <c r="AC147" s="2" t="n"/>
      <c r="AD147" s="2" t="n"/>
      <c r="AE147" s="2" t="n"/>
      <c r="AF147" s="2" t="n"/>
      <c r="AG147" s="2" t="n"/>
      <c r="AH147" s="2" t="n"/>
      <c r="AI147" s="2" t="n"/>
      <c r="AJ147" s="2" t="n"/>
      <c r="AK147" s="2" t="n"/>
      <c r="AL147" s="2" t="n"/>
      <c r="AM147" s="2" t="n"/>
      <c r="AN147" s="2" t="n"/>
    </row>
    <row r="148" ht="14.25" customHeight="1" s="157">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c r="AA148" s="2" t="n"/>
      <c r="AB148" s="2" t="n"/>
      <c r="AC148" s="2" t="n"/>
      <c r="AD148" s="2" t="n"/>
      <c r="AE148" s="2" t="n"/>
      <c r="AF148" s="2" t="n"/>
      <c r="AG148" s="2" t="n"/>
      <c r="AH148" s="2" t="n"/>
      <c r="AI148" s="2" t="n"/>
      <c r="AJ148" s="2" t="n"/>
      <c r="AK148" s="2" t="n"/>
      <c r="AL148" s="2" t="n"/>
      <c r="AM148" s="2" t="n"/>
      <c r="AN148" s="2" t="n"/>
    </row>
    <row r="149" ht="14.25" customHeight="1" s="157">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c r="AA149" s="2" t="n"/>
      <c r="AB149" s="2" t="n"/>
      <c r="AC149" s="2" t="n"/>
      <c r="AD149" s="2" t="n"/>
      <c r="AE149" s="2" t="n"/>
      <c r="AF149" s="2" t="n"/>
      <c r="AG149" s="2" t="n"/>
      <c r="AH149" s="2" t="n"/>
      <c r="AI149" s="2" t="n"/>
      <c r="AJ149" s="2" t="n"/>
      <c r="AK149" s="2" t="n"/>
      <c r="AL149" s="2" t="n"/>
      <c r="AM149" s="2" t="n"/>
      <c r="AN149" s="2" t="n"/>
    </row>
    <row r="150" ht="14.25" customHeight="1" s="157">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c r="AA150" s="2" t="n"/>
      <c r="AB150" s="2" t="n"/>
      <c r="AC150" s="2" t="n"/>
      <c r="AD150" s="2" t="n"/>
      <c r="AE150" s="2" t="n"/>
      <c r="AF150" s="2" t="n"/>
      <c r="AG150" s="2" t="n"/>
      <c r="AH150" s="2" t="n"/>
      <c r="AI150" s="2" t="n"/>
      <c r="AJ150" s="2" t="n"/>
      <c r="AK150" s="2" t="n"/>
      <c r="AL150" s="2" t="n"/>
      <c r="AM150" s="2" t="n"/>
      <c r="AN150" s="2" t="n"/>
    </row>
    <row r="151" ht="14.25" customHeight="1" s="157">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c r="AA151" s="2" t="n"/>
      <c r="AB151" s="2" t="n"/>
      <c r="AC151" s="2" t="n"/>
      <c r="AD151" s="2" t="n"/>
      <c r="AE151" s="2" t="n"/>
      <c r="AF151" s="2" t="n"/>
      <c r="AG151" s="2" t="n"/>
      <c r="AH151" s="2" t="n"/>
      <c r="AI151" s="2" t="n"/>
      <c r="AJ151" s="2" t="n"/>
      <c r="AK151" s="2" t="n"/>
      <c r="AL151" s="2" t="n"/>
      <c r="AM151" s="2" t="n"/>
      <c r="AN151" s="2" t="n"/>
    </row>
    <row r="152" ht="14.25" customHeight="1" s="157">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c r="AA152" s="2" t="n"/>
      <c r="AB152" s="2" t="n"/>
      <c r="AC152" s="2" t="n"/>
      <c r="AD152" s="2" t="n"/>
      <c r="AE152" s="2" t="n"/>
      <c r="AF152" s="2" t="n"/>
      <c r="AG152" s="2" t="n"/>
      <c r="AH152" s="2" t="n"/>
      <c r="AI152" s="2" t="n"/>
      <c r="AJ152" s="2" t="n"/>
      <c r="AK152" s="2" t="n"/>
      <c r="AL152" s="2" t="n"/>
      <c r="AM152" s="2" t="n"/>
      <c r="AN152" s="2" t="n"/>
    </row>
    <row r="153" ht="14.25" customHeight="1" s="157">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c r="AA153" s="2" t="n"/>
      <c r="AB153" s="2" t="n"/>
      <c r="AC153" s="2" t="n"/>
      <c r="AD153" s="2" t="n"/>
      <c r="AE153" s="2" t="n"/>
      <c r="AF153" s="2" t="n"/>
      <c r="AG153" s="2" t="n"/>
      <c r="AH153" s="2" t="n"/>
      <c r="AI153" s="2" t="n"/>
      <c r="AJ153" s="2" t="n"/>
      <c r="AK153" s="2" t="n"/>
      <c r="AL153" s="2" t="n"/>
      <c r="AM153" s="2" t="n"/>
      <c r="AN153" s="2" t="n"/>
    </row>
    <row r="154" ht="14.25" customHeight="1" s="157">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c r="AA154" s="2" t="n"/>
      <c r="AB154" s="2" t="n"/>
      <c r="AC154" s="2" t="n"/>
      <c r="AD154" s="2" t="n"/>
      <c r="AE154" s="2" t="n"/>
      <c r="AF154" s="2" t="n"/>
      <c r="AG154" s="2" t="n"/>
      <c r="AH154" s="2" t="n"/>
      <c r="AI154" s="2" t="n"/>
      <c r="AJ154" s="2" t="n"/>
      <c r="AK154" s="2" t="n"/>
      <c r="AL154" s="2" t="n"/>
      <c r="AM154" s="2" t="n"/>
      <c r="AN154" s="2" t="n"/>
    </row>
    <row r="155" ht="14.25" customHeight="1" s="157">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c r="AA155" s="2" t="n"/>
      <c r="AB155" s="2" t="n"/>
      <c r="AC155" s="2" t="n"/>
      <c r="AD155" s="2" t="n"/>
      <c r="AE155" s="2" t="n"/>
      <c r="AF155" s="2" t="n"/>
      <c r="AG155" s="2" t="n"/>
      <c r="AH155" s="2" t="n"/>
      <c r="AI155" s="2" t="n"/>
      <c r="AJ155" s="2" t="n"/>
      <c r="AK155" s="2" t="n"/>
      <c r="AL155" s="2" t="n"/>
      <c r="AM155" s="2" t="n"/>
      <c r="AN155" s="2" t="n"/>
    </row>
    <row r="156" ht="14.25" customHeight="1" s="157">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c r="AA156" s="2" t="n"/>
      <c r="AB156" s="2" t="n"/>
      <c r="AC156" s="2" t="n"/>
      <c r="AD156" s="2" t="n"/>
      <c r="AE156" s="2" t="n"/>
      <c r="AF156" s="2" t="n"/>
      <c r="AG156" s="2" t="n"/>
      <c r="AH156" s="2" t="n"/>
      <c r="AI156" s="2" t="n"/>
      <c r="AJ156" s="2" t="n"/>
      <c r="AK156" s="2" t="n"/>
      <c r="AL156" s="2" t="n"/>
      <c r="AM156" s="2" t="n"/>
      <c r="AN156" s="2" t="n"/>
    </row>
    <row r="157" ht="14.25" customHeight="1" s="157">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c r="AA157" s="2" t="n"/>
      <c r="AB157" s="2" t="n"/>
      <c r="AC157" s="2" t="n"/>
      <c r="AD157" s="2" t="n"/>
      <c r="AE157" s="2" t="n"/>
      <c r="AF157" s="2" t="n"/>
      <c r="AG157" s="2" t="n"/>
      <c r="AH157" s="2" t="n"/>
      <c r="AI157" s="2" t="n"/>
      <c r="AJ157" s="2" t="n"/>
      <c r="AK157" s="2" t="n"/>
      <c r="AL157" s="2" t="n"/>
      <c r="AM157" s="2" t="n"/>
      <c r="AN157" s="2" t="n"/>
    </row>
    <row r="158" ht="14.25" customHeight="1" s="157">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c r="AA158" s="2" t="n"/>
      <c r="AB158" s="2" t="n"/>
      <c r="AC158" s="2" t="n"/>
      <c r="AD158" s="2" t="n"/>
      <c r="AE158" s="2" t="n"/>
      <c r="AF158" s="2" t="n"/>
      <c r="AG158" s="2" t="n"/>
      <c r="AH158" s="2" t="n"/>
      <c r="AI158" s="2" t="n"/>
      <c r="AJ158" s="2" t="n"/>
      <c r="AK158" s="2" t="n"/>
      <c r="AL158" s="2" t="n"/>
      <c r="AM158" s="2" t="n"/>
      <c r="AN158" s="2" t="n"/>
    </row>
    <row r="159" ht="14.25" customHeight="1" s="157">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c r="AA159" s="2" t="n"/>
      <c r="AB159" s="2" t="n"/>
      <c r="AC159" s="2" t="n"/>
      <c r="AD159" s="2" t="n"/>
      <c r="AE159" s="2" t="n"/>
      <c r="AF159" s="2" t="n"/>
      <c r="AG159" s="2" t="n"/>
      <c r="AH159" s="2" t="n"/>
      <c r="AI159" s="2" t="n"/>
      <c r="AJ159" s="2" t="n"/>
      <c r="AK159" s="2" t="n"/>
      <c r="AL159" s="2" t="n"/>
      <c r="AM159" s="2" t="n"/>
      <c r="AN159" s="2" t="n"/>
    </row>
    <row r="160" ht="14.25" customHeight="1" s="157">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c r="AA160" s="2" t="n"/>
      <c r="AB160" s="2" t="n"/>
      <c r="AC160" s="2" t="n"/>
      <c r="AD160" s="2" t="n"/>
      <c r="AE160" s="2" t="n"/>
      <c r="AF160" s="2" t="n"/>
      <c r="AG160" s="2" t="n"/>
      <c r="AH160" s="2" t="n"/>
      <c r="AI160" s="2" t="n"/>
      <c r="AJ160" s="2" t="n"/>
      <c r="AK160" s="2" t="n"/>
      <c r="AL160" s="2" t="n"/>
      <c r="AM160" s="2" t="n"/>
      <c r="AN160" s="2" t="n"/>
    </row>
    <row r="161" ht="14.25" customHeight="1" s="157">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c r="AA161" s="2" t="n"/>
      <c r="AB161" s="2" t="n"/>
      <c r="AC161" s="2" t="n"/>
      <c r="AD161" s="2" t="n"/>
      <c r="AE161" s="2" t="n"/>
      <c r="AF161" s="2" t="n"/>
      <c r="AG161" s="2" t="n"/>
      <c r="AH161" s="2" t="n"/>
      <c r="AI161" s="2" t="n"/>
      <c r="AJ161" s="2" t="n"/>
      <c r="AK161" s="2" t="n"/>
      <c r="AL161" s="2" t="n"/>
      <c r="AM161" s="2" t="n"/>
      <c r="AN161" s="2" t="n"/>
    </row>
    <row r="162" ht="14.25" customHeight="1" s="157">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c r="AA162" s="2" t="n"/>
      <c r="AB162" s="2" t="n"/>
      <c r="AC162" s="2" t="n"/>
      <c r="AD162" s="2" t="n"/>
      <c r="AE162" s="2" t="n"/>
      <c r="AF162" s="2" t="n"/>
      <c r="AG162" s="2" t="n"/>
      <c r="AH162" s="2" t="n"/>
      <c r="AI162" s="2" t="n"/>
      <c r="AJ162" s="2" t="n"/>
      <c r="AK162" s="2" t="n"/>
      <c r="AL162" s="2" t="n"/>
      <c r="AM162" s="2" t="n"/>
      <c r="AN162" s="2" t="n"/>
    </row>
    <row r="163" ht="14.25" customHeight="1" s="157">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c r="AA163" s="2" t="n"/>
      <c r="AB163" s="2" t="n"/>
      <c r="AC163" s="2" t="n"/>
      <c r="AD163" s="2" t="n"/>
      <c r="AE163" s="2" t="n"/>
      <c r="AF163" s="2" t="n"/>
      <c r="AG163" s="2" t="n"/>
      <c r="AH163" s="2" t="n"/>
      <c r="AI163" s="2" t="n"/>
      <c r="AJ163" s="2" t="n"/>
      <c r="AK163" s="2" t="n"/>
      <c r="AL163" s="2" t="n"/>
      <c r="AM163" s="2" t="n"/>
      <c r="AN163" s="2" t="n"/>
    </row>
    <row r="164" ht="14.25" customHeight="1" s="157">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c r="AA164" s="2" t="n"/>
      <c r="AB164" s="2" t="n"/>
      <c r="AC164" s="2" t="n"/>
      <c r="AD164" s="2" t="n"/>
      <c r="AE164" s="2" t="n"/>
      <c r="AF164" s="2" t="n"/>
      <c r="AG164" s="2" t="n"/>
      <c r="AH164" s="2" t="n"/>
      <c r="AI164" s="2" t="n"/>
      <c r="AJ164" s="2" t="n"/>
      <c r="AK164" s="2" t="n"/>
      <c r="AL164" s="2" t="n"/>
      <c r="AM164" s="2" t="n"/>
      <c r="AN164" s="2" t="n"/>
    </row>
    <row r="165" ht="14.25" customHeight="1" s="157">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c r="AA165" s="2" t="n"/>
      <c r="AB165" s="2" t="n"/>
      <c r="AC165" s="2" t="n"/>
      <c r="AD165" s="2" t="n"/>
      <c r="AE165" s="2" t="n"/>
      <c r="AF165" s="2" t="n"/>
      <c r="AG165" s="2" t="n"/>
      <c r="AH165" s="2" t="n"/>
      <c r="AI165" s="2" t="n"/>
      <c r="AJ165" s="2" t="n"/>
      <c r="AK165" s="2" t="n"/>
      <c r="AL165" s="2" t="n"/>
      <c r="AM165" s="2" t="n"/>
      <c r="AN165" s="2" t="n"/>
    </row>
    <row r="166" ht="14.25" customHeight="1" s="157">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c r="AA166" s="2" t="n"/>
      <c r="AB166" s="2" t="n"/>
      <c r="AC166" s="2" t="n"/>
      <c r="AD166" s="2" t="n"/>
      <c r="AE166" s="2" t="n"/>
      <c r="AF166" s="2" t="n"/>
      <c r="AG166" s="2" t="n"/>
      <c r="AH166" s="2" t="n"/>
      <c r="AI166" s="2" t="n"/>
      <c r="AJ166" s="2" t="n"/>
      <c r="AK166" s="2" t="n"/>
      <c r="AL166" s="2" t="n"/>
      <c r="AM166" s="2" t="n"/>
      <c r="AN166" s="2" t="n"/>
    </row>
    <row r="167" ht="14.25" customHeight="1" s="157">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c r="AA167" s="2" t="n"/>
      <c r="AB167" s="2" t="n"/>
      <c r="AC167" s="2" t="n"/>
      <c r="AD167" s="2" t="n"/>
      <c r="AE167" s="2" t="n"/>
      <c r="AF167" s="2" t="n"/>
      <c r="AG167" s="2" t="n"/>
      <c r="AH167" s="2" t="n"/>
      <c r="AI167" s="2" t="n"/>
      <c r="AJ167" s="2" t="n"/>
      <c r="AK167" s="2" t="n"/>
      <c r="AL167" s="2" t="n"/>
      <c r="AM167" s="2" t="n"/>
      <c r="AN167" s="2" t="n"/>
    </row>
    <row r="168" ht="14.25" customHeight="1" s="157">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c r="AA168" s="2" t="n"/>
      <c r="AB168" s="2" t="n"/>
      <c r="AC168" s="2" t="n"/>
      <c r="AD168" s="2" t="n"/>
      <c r="AE168" s="2" t="n"/>
      <c r="AF168" s="2" t="n"/>
      <c r="AG168" s="2" t="n"/>
      <c r="AH168" s="2" t="n"/>
      <c r="AI168" s="2" t="n"/>
      <c r="AJ168" s="2" t="n"/>
      <c r="AK168" s="2" t="n"/>
      <c r="AL168" s="2" t="n"/>
      <c r="AM168" s="2" t="n"/>
      <c r="AN168" s="2" t="n"/>
    </row>
    <row r="169" ht="14.25" customHeight="1" s="157">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c r="AA169" s="2" t="n"/>
      <c r="AB169" s="2" t="n"/>
      <c r="AC169" s="2" t="n"/>
      <c r="AD169" s="2" t="n"/>
      <c r="AE169" s="2" t="n"/>
      <c r="AF169" s="2" t="n"/>
      <c r="AG169" s="2" t="n"/>
      <c r="AH169" s="2" t="n"/>
      <c r="AI169" s="2" t="n"/>
      <c r="AJ169" s="2" t="n"/>
      <c r="AK169" s="2" t="n"/>
      <c r="AL169" s="2" t="n"/>
      <c r="AM169" s="2" t="n"/>
      <c r="AN169" s="2" t="n"/>
    </row>
    <row r="170" ht="14.25" customHeight="1" s="157">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c r="AA170" s="2" t="n"/>
      <c r="AB170" s="2" t="n"/>
      <c r="AC170" s="2" t="n"/>
      <c r="AD170" s="2" t="n"/>
      <c r="AE170" s="2" t="n"/>
      <c r="AF170" s="2" t="n"/>
      <c r="AG170" s="2" t="n"/>
      <c r="AH170" s="2" t="n"/>
      <c r="AI170" s="2" t="n"/>
      <c r="AJ170" s="2" t="n"/>
      <c r="AK170" s="2" t="n"/>
      <c r="AL170" s="2" t="n"/>
      <c r="AM170" s="2" t="n"/>
      <c r="AN170" s="2" t="n"/>
    </row>
    <row r="171" ht="14.25" customHeight="1" s="157">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c r="AA171" s="2" t="n"/>
      <c r="AB171" s="2" t="n"/>
      <c r="AC171" s="2" t="n"/>
      <c r="AD171" s="2" t="n"/>
      <c r="AE171" s="2" t="n"/>
      <c r="AF171" s="2" t="n"/>
      <c r="AG171" s="2" t="n"/>
      <c r="AH171" s="2" t="n"/>
      <c r="AI171" s="2" t="n"/>
      <c r="AJ171" s="2" t="n"/>
      <c r="AK171" s="2" t="n"/>
      <c r="AL171" s="2" t="n"/>
      <c r="AM171" s="2" t="n"/>
      <c r="AN171" s="2" t="n"/>
    </row>
    <row r="172" ht="14.25" customHeight="1" s="157">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c r="AA172" s="2" t="n"/>
      <c r="AB172" s="2" t="n"/>
      <c r="AC172" s="2" t="n"/>
      <c r="AD172" s="2" t="n"/>
      <c r="AE172" s="2" t="n"/>
      <c r="AF172" s="2" t="n"/>
      <c r="AG172" s="2" t="n"/>
      <c r="AH172" s="2" t="n"/>
      <c r="AI172" s="2" t="n"/>
      <c r="AJ172" s="2" t="n"/>
      <c r="AK172" s="2" t="n"/>
      <c r="AL172" s="2" t="n"/>
      <c r="AM172" s="2" t="n"/>
      <c r="AN172" s="2" t="n"/>
    </row>
    <row r="173" ht="14.25" customHeight="1" s="157">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c r="AA173" s="2" t="n"/>
      <c r="AB173" s="2" t="n"/>
      <c r="AC173" s="2" t="n"/>
      <c r="AD173" s="2" t="n"/>
      <c r="AE173" s="2" t="n"/>
      <c r="AF173" s="2" t="n"/>
      <c r="AG173" s="2" t="n"/>
      <c r="AH173" s="2" t="n"/>
      <c r="AI173" s="2" t="n"/>
      <c r="AJ173" s="2" t="n"/>
      <c r="AK173" s="2" t="n"/>
      <c r="AL173" s="2" t="n"/>
      <c r="AM173" s="2" t="n"/>
      <c r="AN173" s="2" t="n"/>
    </row>
    <row r="174" ht="14.25" customHeight="1" s="157">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c r="AA174" s="2" t="n"/>
      <c r="AB174" s="2" t="n"/>
      <c r="AC174" s="2" t="n"/>
      <c r="AD174" s="2" t="n"/>
      <c r="AE174" s="2" t="n"/>
      <c r="AF174" s="2" t="n"/>
      <c r="AG174" s="2" t="n"/>
      <c r="AH174" s="2" t="n"/>
      <c r="AI174" s="2" t="n"/>
      <c r="AJ174" s="2" t="n"/>
      <c r="AK174" s="2" t="n"/>
      <c r="AL174" s="2" t="n"/>
      <c r="AM174" s="2" t="n"/>
      <c r="AN174" s="2" t="n"/>
    </row>
    <row r="175" ht="14.25" customHeight="1" s="157">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c r="AA175" s="2" t="n"/>
      <c r="AB175" s="2" t="n"/>
      <c r="AC175" s="2" t="n"/>
      <c r="AD175" s="2" t="n"/>
      <c r="AE175" s="2" t="n"/>
      <c r="AF175" s="2" t="n"/>
      <c r="AG175" s="2" t="n"/>
      <c r="AH175" s="2" t="n"/>
      <c r="AI175" s="2" t="n"/>
      <c r="AJ175" s="2" t="n"/>
      <c r="AK175" s="2" t="n"/>
      <c r="AL175" s="2" t="n"/>
      <c r="AM175" s="2" t="n"/>
      <c r="AN175" s="2" t="n"/>
    </row>
    <row r="176" ht="14.25" customHeight="1" s="157">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c r="AA176" s="2" t="n"/>
      <c r="AB176" s="2" t="n"/>
      <c r="AC176" s="2" t="n"/>
      <c r="AD176" s="2" t="n"/>
      <c r="AE176" s="2" t="n"/>
      <c r="AF176" s="2" t="n"/>
      <c r="AG176" s="2" t="n"/>
      <c r="AH176" s="2" t="n"/>
      <c r="AI176" s="2" t="n"/>
      <c r="AJ176" s="2" t="n"/>
      <c r="AK176" s="2" t="n"/>
      <c r="AL176" s="2" t="n"/>
      <c r="AM176" s="2" t="n"/>
      <c r="AN176" s="2" t="n"/>
    </row>
    <row r="177" ht="14.25" customHeight="1" s="157">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c r="AA177" s="2" t="n"/>
      <c r="AB177" s="2" t="n"/>
      <c r="AC177" s="2" t="n"/>
      <c r="AD177" s="2" t="n"/>
      <c r="AE177" s="2" t="n"/>
      <c r="AF177" s="2" t="n"/>
      <c r="AG177" s="2" t="n"/>
      <c r="AH177" s="2" t="n"/>
      <c r="AI177" s="2" t="n"/>
      <c r="AJ177" s="2" t="n"/>
      <c r="AK177" s="2" t="n"/>
      <c r="AL177" s="2" t="n"/>
      <c r="AM177" s="2" t="n"/>
      <c r="AN177" s="2" t="n"/>
    </row>
    <row r="178" ht="14.25" customHeight="1" s="157">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c r="AA178" s="2" t="n"/>
      <c r="AB178" s="2" t="n"/>
      <c r="AC178" s="2" t="n"/>
      <c r="AD178" s="2" t="n"/>
      <c r="AE178" s="2" t="n"/>
      <c r="AF178" s="2" t="n"/>
      <c r="AG178" s="2" t="n"/>
      <c r="AH178" s="2" t="n"/>
      <c r="AI178" s="2" t="n"/>
      <c r="AJ178" s="2" t="n"/>
      <c r="AK178" s="2" t="n"/>
      <c r="AL178" s="2" t="n"/>
      <c r="AM178" s="2" t="n"/>
      <c r="AN178" s="2" t="n"/>
    </row>
    <row r="179" ht="14.25" customHeight="1" s="157">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c r="AA179" s="2" t="n"/>
      <c r="AB179" s="2" t="n"/>
      <c r="AC179" s="2" t="n"/>
      <c r="AD179" s="2" t="n"/>
      <c r="AE179" s="2" t="n"/>
      <c r="AF179" s="2" t="n"/>
      <c r="AG179" s="2" t="n"/>
      <c r="AH179" s="2" t="n"/>
      <c r="AI179" s="2" t="n"/>
      <c r="AJ179" s="2" t="n"/>
      <c r="AK179" s="2" t="n"/>
      <c r="AL179" s="2" t="n"/>
      <c r="AM179" s="2" t="n"/>
      <c r="AN179" s="2" t="n"/>
    </row>
    <row r="180" ht="14.25" customHeight="1" s="157">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c r="AA180" s="2" t="n"/>
      <c r="AB180" s="2" t="n"/>
      <c r="AC180" s="2" t="n"/>
      <c r="AD180" s="2" t="n"/>
      <c r="AE180" s="2" t="n"/>
      <c r="AF180" s="2" t="n"/>
      <c r="AG180" s="2" t="n"/>
      <c r="AH180" s="2" t="n"/>
      <c r="AI180" s="2" t="n"/>
      <c r="AJ180" s="2" t="n"/>
      <c r="AK180" s="2" t="n"/>
      <c r="AL180" s="2" t="n"/>
      <c r="AM180" s="2" t="n"/>
      <c r="AN180" s="2" t="n"/>
    </row>
    <row r="181" ht="14.25" customHeight="1" s="157">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c r="AA181" s="2" t="n"/>
      <c r="AB181" s="2" t="n"/>
      <c r="AC181" s="2" t="n"/>
      <c r="AD181" s="2" t="n"/>
      <c r="AE181" s="2" t="n"/>
      <c r="AF181" s="2" t="n"/>
      <c r="AG181" s="2" t="n"/>
      <c r="AH181" s="2" t="n"/>
      <c r="AI181" s="2" t="n"/>
      <c r="AJ181" s="2" t="n"/>
      <c r="AK181" s="2" t="n"/>
      <c r="AL181" s="2" t="n"/>
      <c r="AM181" s="2" t="n"/>
      <c r="AN181" s="2" t="n"/>
    </row>
    <row r="182" ht="14.25" customHeight="1" s="157">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c r="AA182" s="2" t="n"/>
      <c r="AB182" s="2" t="n"/>
      <c r="AC182" s="2" t="n"/>
      <c r="AD182" s="2" t="n"/>
      <c r="AE182" s="2" t="n"/>
      <c r="AF182" s="2" t="n"/>
      <c r="AG182" s="2" t="n"/>
      <c r="AH182" s="2" t="n"/>
      <c r="AI182" s="2" t="n"/>
      <c r="AJ182" s="2" t="n"/>
      <c r="AK182" s="2" t="n"/>
      <c r="AL182" s="2" t="n"/>
      <c r="AM182" s="2" t="n"/>
      <c r="AN182" s="2" t="n"/>
    </row>
    <row r="183" ht="14.25" customHeight="1" s="157">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c r="AA183" s="2" t="n"/>
      <c r="AB183" s="2" t="n"/>
      <c r="AC183" s="2" t="n"/>
      <c r="AD183" s="2" t="n"/>
      <c r="AE183" s="2" t="n"/>
      <c r="AF183" s="2" t="n"/>
      <c r="AG183" s="2" t="n"/>
      <c r="AH183" s="2" t="n"/>
      <c r="AI183" s="2" t="n"/>
      <c r="AJ183" s="2" t="n"/>
      <c r="AK183" s="2" t="n"/>
      <c r="AL183" s="2" t="n"/>
      <c r="AM183" s="2" t="n"/>
      <c r="AN183" s="2" t="n"/>
    </row>
    <row r="184" ht="14.25" customHeight="1" s="157">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c r="AA184" s="2" t="n"/>
      <c r="AB184" s="2" t="n"/>
      <c r="AC184" s="2" t="n"/>
      <c r="AD184" s="2" t="n"/>
      <c r="AE184" s="2" t="n"/>
      <c r="AF184" s="2" t="n"/>
      <c r="AG184" s="2" t="n"/>
      <c r="AH184" s="2" t="n"/>
      <c r="AI184" s="2" t="n"/>
      <c r="AJ184" s="2" t="n"/>
      <c r="AK184" s="2" t="n"/>
      <c r="AL184" s="2" t="n"/>
      <c r="AM184" s="2" t="n"/>
      <c r="AN184" s="2" t="n"/>
    </row>
    <row r="185" ht="14.25" customHeight="1" s="157">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c r="AA185" s="2" t="n"/>
      <c r="AB185" s="2" t="n"/>
      <c r="AC185" s="2" t="n"/>
      <c r="AD185" s="2" t="n"/>
      <c r="AE185" s="2" t="n"/>
      <c r="AF185" s="2" t="n"/>
      <c r="AG185" s="2" t="n"/>
      <c r="AH185" s="2" t="n"/>
      <c r="AI185" s="2" t="n"/>
      <c r="AJ185" s="2" t="n"/>
      <c r="AK185" s="2" t="n"/>
      <c r="AL185" s="2" t="n"/>
      <c r="AM185" s="2" t="n"/>
      <c r="AN185" s="2" t="n"/>
    </row>
    <row r="186" ht="14.25" customHeight="1" s="157">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c r="AA186" s="2" t="n"/>
      <c r="AB186" s="2" t="n"/>
      <c r="AC186" s="2" t="n"/>
      <c r="AD186" s="2" t="n"/>
      <c r="AE186" s="2" t="n"/>
      <c r="AF186" s="2" t="n"/>
      <c r="AG186" s="2" t="n"/>
      <c r="AH186" s="2" t="n"/>
      <c r="AI186" s="2" t="n"/>
      <c r="AJ186" s="2" t="n"/>
      <c r="AK186" s="2" t="n"/>
      <c r="AL186" s="2" t="n"/>
      <c r="AM186" s="2" t="n"/>
      <c r="AN186" s="2" t="n"/>
    </row>
    <row r="187" ht="14.25" customHeight="1" s="157">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c r="AA187" s="2" t="n"/>
      <c r="AB187" s="2" t="n"/>
      <c r="AC187" s="2" t="n"/>
      <c r="AD187" s="2" t="n"/>
      <c r="AE187" s="2" t="n"/>
      <c r="AF187" s="2" t="n"/>
      <c r="AG187" s="2" t="n"/>
      <c r="AH187" s="2" t="n"/>
      <c r="AI187" s="2" t="n"/>
      <c r="AJ187" s="2" t="n"/>
      <c r="AK187" s="2" t="n"/>
      <c r="AL187" s="2" t="n"/>
      <c r="AM187" s="2" t="n"/>
      <c r="AN187" s="2" t="n"/>
    </row>
    <row r="188" ht="14.25" customHeight="1" s="157">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c r="AA188" s="2" t="n"/>
      <c r="AB188" s="2" t="n"/>
      <c r="AC188" s="2" t="n"/>
      <c r="AD188" s="2" t="n"/>
      <c r="AE188" s="2" t="n"/>
      <c r="AF188" s="2" t="n"/>
      <c r="AG188" s="2" t="n"/>
      <c r="AH188" s="2" t="n"/>
      <c r="AI188" s="2" t="n"/>
      <c r="AJ188" s="2" t="n"/>
      <c r="AK188" s="2" t="n"/>
      <c r="AL188" s="2" t="n"/>
      <c r="AM188" s="2" t="n"/>
      <c r="AN188" s="2" t="n"/>
    </row>
    <row r="189" ht="14.25" customHeight="1" s="157">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c r="AA189" s="2" t="n"/>
      <c r="AB189" s="2" t="n"/>
      <c r="AC189" s="2" t="n"/>
      <c r="AD189" s="2" t="n"/>
      <c r="AE189" s="2" t="n"/>
      <c r="AF189" s="2" t="n"/>
      <c r="AG189" s="2" t="n"/>
      <c r="AH189" s="2" t="n"/>
      <c r="AI189" s="2" t="n"/>
      <c r="AJ189" s="2" t="n"/>
      <c r="AK189" s="2" t="n"/>
      <c r="AL189" s="2" t="n"/>
      <c r="AM189" s="2" t="n"/>
      <c r="AN189" s="2" t="n"/>
    </row>
    <row r="190" ht="14.25" customHeight="1" s="157">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c r="AA190" s="2" t="n"/>
      <c r="AB190" s="2" t="n"/>
      <c r="AC190" s="2" t="n"/>
      <c r="AD190" s="2" t="n"/>
      <c r="AE190" s="2" t="n"/>
      <c r="AF190" s="2" t="n"/>
      <c r="AG190" s="2" t="n"/>
      <c r="AH190" s="2" t="n"/>
      <c r="AI190" s="2" t="n"/>
      <c r="AJ190" s="2" t="n"/>
      <c r="AK190" s="2" t="n"/>
      <c r="AL190" s="2" t="n"/>
      <c r="AM190" s="2" t="n"/>
      <c r="AN190" s="2" t="n"/>
    </row>
    <row r="191" ht="14.25" customHeight="1" s="157">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c r="AA191" s="2" t="n"/>
      <c r="AB191" s="2" t="n"/>
      <c r="AC191" s="2" t="n"/>
      <c r="AD191" s="2" t="n"/>
      <c r="AE191" s="2" t="n"/>
      <c r="AF191" s="2" t="n"/>
      <c r="AG191" s="2" t="n"/>
      <c r="AH191" s="2" t="n"/>
      <c r="AI191" s="2" t="n"/>
      <c r="AJ191" s="2" t="n"/>
      <c r="AK191" s="2" t="n"/>
      <c r="AL191" s="2" t="n"/>
      <c r="AM191" s="2" t="n"/>
      <c r="AN191" s="2" t="n"/>
    </row>
    <row r="192" ht="14.25" customHeight="1" s="157">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c r="AA192" s="2" t="n"/>
      <c r="AB192" s="2" t="n"/>
      <c r="AC192" s="2" t="n"/>
      <c r="AD192" s="2" t="n"/>
      <c r="AE192" s="2" t="n"/>
      <c r="AF192" s="2" t="n"/>
      <c r="AG192" s="2" t="n"/>
      <c r="AH192" s="2" t="n"/>
      <c r="AI192" s="2" t="n"/>
      <c r="AJ192" s="2" t="n"/>
      <c r="AK192" s="2" t="n"/>
      <c r="AL192" s="2" t="n"/>
      <c r="AM192" s="2" t="n"/>
      <c r="AN192" s="2" t="n"/>
    </row>
    <row r="193" ht="14.25" customHeight="1" s="157">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c r="AA193" s="2" t="n"/>
      <c r="AB193" s="2" t="n"/>
      <c r="AC193" s="2" t="n"/>
      <c r="AD193" s="2" t="n"/>
      <c r="AE193" s="2" t="n"/>
      <c r="AF193" s="2" t="n"/>
      <c r="AG193" s="2" t="n"/>
      <c r="AH193" s="2" t="n"/>
      <c r="AI193" s="2" t="n"/>
      <c r="AJ193" s="2" t="n"/>
      <c r="AK193" s="2" t="n"/>
      <c r="AL193" s="2" t="n"/>
      <c r="AM193" s="2" t="n"/>
      <c r="AN193" s="2" t="n"/>
    </row>
    <row r="194" ht="14.25" customHeight="1" s="157">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c r="AA194" s="2" t="n"/>
      <c r="AB194" s="2" t="n"/>
      <c r="AC194" s="2" t="n"/>
      <c r="AD194" s="2" t="n"/>
      <c r="AE194" s="2" t="n"/>
      <c r="AF194" s="2" t="n"/>
      <c r="AG194" s="2" t="n"/>
      <c r="AH194" s="2" t="n"/>
      <c r="AI194" s="2" t="n"/>
      <c r="AJ194" s="2" t="n"/>
      <c r="AK194" s="2" t="n"/>
      <c r="AL194" s="2" t="n"/>
      <c r="AM194" s="2" t="n"/>
      <c r="AN194" s="2" t="n"/>
    </row>
    <row r="195" ht="14.25" customHeight="1" s="157">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c r="AA195" s="2" t="n"/>
      <c r="AB195" s="2" t="n"/>
      <c r="AC195" s="2" t="n"/>
      <c r="AD195" s="2" t="n"/>
      <c r="AE195" s="2" t="n"/>
      <c r="AF195" s="2" t="n"/>
      <c r="AG195" s="2" t="n"/>
      <c r="AH195" s="2" t="n"/>
      <c r="AI195" s="2" t="n"/>
      <c r="AJ195" s="2" t="n"/>
      <c r="AK195" s="2" t="n"/>
      <c r="AL195" s="2" t="n"/>
      <c r="AM195" s="2" t="n"/>
      <c r="AN195" s="2" t="n"/>
    </row>
    <row r="196" ht="14.25" customHeight="1" s="157">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c r="AA196" s="2" t="n"/>
      <c r="AB196" s="2" t="n"/>
      <c r="AC196" s="2" t="n"/>
      <c r="AD196" s="2" t="n"/>
      <c r="AE196" s="2" t="n"/>
      <c r="AF196" s="2" t="n"/>
      <c r="AG196" s="2" t="n"/>
      <c r="AH196" s="2" t="n"/>
      <c r="AI196" s="2" t="n"/>
      <c r="AJ196" s="2" t="n"/>
      <c r="AK196" s="2" t="n"/>
      <c r="AL196" s="2" t="n"/>
      <c r="AM196" s="2" t="n"/>
      <c r="AN196" s="2" t="n"/>
    </row>
    <row r="197" ht="14.25" customHeight="1" s="157">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c r="AA197" s="2" t="n"/>
      <c r="AB197" s="2" t="n"/>
      <c r="AC197" s="2" t="n"/>
      <c r="AD197" s="2" t="n"/>
      <c r="AE197" s="2" t="n"/>
      <c r="AF197" s="2" t="n"/>
      <c r="AG197" s="2" t="n"/>
      <c r="AH197" s="2" t="n"/>
      <c r="AI197" s="2" t="n"/>
      <c r="AJ197" s="2" t="n"/>
      <c r="AK197" s="2" t="n"/>
      <c r="AL197" s="2" t="n"/>
      <c r="AM197" s="2" t="n"/>
      <c r="AN197" s="2" t="n"/>
    </row>
    <row r="198" ht="14.25" customHeight="1" s="157">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c r="AA198" s="2" t="n"/>
      <c r="AB198" s="2" t="n"/>
      <c r="AC198" s="2" t="n"/>
      <c r="AD198" s="2" t="n"/>
      <c r="AE198" s="2" t="n"/>
      <c r="AF198" s="2" t="n"/>
      <c r="AG198" s="2" t="n"/>
      <c r="AH198" s="2" t="n"/>
      <c r="AI198" s="2" t="n"/>
      <c r="AJ198" s="2" t="n"/>
      <c r="AK198" s="2" t="n"/>
      <c r="AL198" s="2" t="n"/>
      <c r="AM198" s="2" t="n"/>
      <c r="AN198" s="2" t="n"/>
    </row>
    <row r="199" ht="14.25" customHeight="1" s="157">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c r="AA199" s="2" t="n"/>
      <c r="AB199" s="2" t="n"/>
      <c r="AC199" s="2" t="n"/>
      <c r="AD199" s="2" t="n"/>
      <c r="AE199" s="2" t="n"/>
      <c r="AF199" s="2" t="n"/>
      <c r="AG199" s="2" t="n"/>
      <c r="AH199" s="2" t="n"/>
      <c r="AI199" s="2" t="n"/>
      <c r="AJ199" s="2" t="n"/>
      <c r="AK199" s="2" t="n"/>
      <c r="AL199" s="2" t="n"/>
      <c r="AM199" s="2" t="n"/>
      <c r="AN199" s="2" t="n"/>
    </row>
    <row r="200" ht="14.25" customHeight="1" s="157">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c r="AA200" s="2" t="n"/>
      <c r="AB200" s="2" t="n"/>
      <c r="AC200" s="2" t="n"/>
      <c r="AD200" s="2" t="n"/>
      <c r="AE200" s="2" t="n"/>
      <c r="AF200" s="2" t="n"/>
      <c r="AG200" s="2" t="n"/>
      <c r="AH200" s="2" t="n"/>
      <c r="AI200" s="2" t="n"/>
      <c r="AJ200" s="2" t="n"/>
      <c r="AK200" s="2" t="n"/>
      <c r="AL200" s="2" t="n"/>
      <c r="AM200" s="2" t="n"/>
      <c r="AN200" s="2" t="n"/>
    </row>
    <row r="201" ht="14.25" customHeight="1" s="157">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c r="AA201" s="2" t="n"/>
      <c r="AB201" s="2" t="n"/>
      <c r="AC201" s="2" t="n"/>
      <c r="AD201" s="2" t="n"/>
      <c r="AE201" s="2" t="n"/>
      <c r="AF201" s="2" t="n"/>
      <c r="AG201" s="2" t="n"/>
      <c r="AH201" s="2" t="n"/>
      <c r="AI201" s="2" t="n"/>
      <c r="AJ201" s="2" t="n"/>
      <c r="AK201" s="2" t="n"/>
      <c r="AL201" s="2" t="n"/>
      <c r="AM201" s="2" t="n"/>
      <c r="AN201" s="2" t="n"/>
    </row>
    <row r="202" ht="14.25" customHeight="1" s="157">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c r="AA202" s="2" t="n"/>
      <c r="AB202" s="2" t="n"/>
      <c r="AC202" s="2" t="n"/>
      <c r="AD202" s="2" t="n"/>
      <c r="AE202" s="2" t="n"/>
      <c r="AF202" s="2" t="n"/>
      <c r="AG202" s="2" t="n"/>
      <c r="AH202" s="2" t="n"/>
      <c r="AI202" s="2" t="n"/>
      <c r="AJ202" s="2" t="n"/>
      <c r="AK202" s="2" t="n"/>
      <c r="AL202" s="2" t="n"/>
      <c r="AM202" s="2" t="n"/>
      <c r="AN202" s="2" t="n"/>
    </row>
    <row r="203" ht="14.25" customHeight="1" s="157">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c r="AA203" s="2" t="n"/>
      <c r="AB203" s="2" t="n"/>
      <c r="AC203" s="2" t="n"/>
      <c r="AD203" s="2" t="n"/>
      <c r="AE203" s="2" t="n"/>
      <c r="AF203" s="2" t="n"/>
      <c r="AG203" s="2" t="n"/>
      <c r="AH203" s="2" t="n"/>
      <c r="AI203" s="2" t="n"/>
      <c r="AJ203" s="2" t="n"/>
      <c r="AK203" s="2" t="n"/>
      <c r="AL203" s="2" t="n"/>
      <c r="AM203" s="2" t="n"/>
      <c r="AN203" s="2" t="n"/>
    </row>
    <row r="204" ht="14.25" customHeight="1" s="157">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c r="AA204" s="2" t="n"/>
      <c r="AB204" s="2" t="n"/>
      <c r="AC204" s="2" t="n"/>
      <c r="AD204" s="2" t="n"/>
      <c r="AE204" s="2" t="n"/>
      <c r="AF204" s="2" t="n"/>
      <c r="AG204" s="2" t="n"/>
      <c r="AH204" s="2" t="n"/>
      <c r="AI204" s="2" t="n"/>
      <c r="AJ204" s="2" t="n"/>
      <c r="AK204" s="2" t="n"/>
      <c r="AL204" s="2" t="n"/>
      <c r="AM204" s="2" t="n"/>
      <c r="AN204" s="2" t="n"/>
    </row>
    <row r="205" ht="14.25" customHeight="1" s="157">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c r="AA205" s="2" t="n"/>
      <c r="AB205" s="2" t="n"/>
      <c r="AC205" s="2" t="n"/>
      <c r="AD205" s="2" t="n"/>
      <c r="AE205" s="2" t="n"/>
      <c r="AF205" s="2" t="n"/>
      <c r="AG205" s="2" t="n"/>
      <c r="AH205" s="2" t="n"/>
      <c r="AI205" s="2" t="n"/>
      <c r="AJ205" s="2" t="n"/>
      <c r="AK205" s="2" t="n"/>
      <c r="AL205" s="2" t="n"/>
      <c r="AM205" s="2" t="n"/>
      <c r="AN205" s="2" t="n"/>
    </row>
    <row r="206" ht="14.25" customHeight="1" s="157">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c r="AA206" s="2" t="n"/>
      <c r="AB206" s="2" t="n"/>
      <c r="AC206" s="2" t="n"/>
      <c r="AD206" s="2" t="n"/>
      <c r="AE206" s="2" t="n"/>
      <c r="AF206" s="2" t="n"/>
      <c r="AG206" s="2" t="n"/>
      <c r="AH206" s="2" t="n"/>
      <c r="AI206" s="2" t="n"/>
      <c r="AJ206" s="2" t="n"/>
      <c r="AK206" s="2" t="n"/>
      <c r="AL206" s="2" t="n"/>
      <c r="AM206" s="2" t="n"/>
      <c r="AN206" s="2" t="n"/>
    </row>
    <row r="207" ht="14.25" customHeight="1" s="157">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c r="AA207" s="2" t="n"/>
      <c r="AB207" s="2" t="n"/>
      <c r="AC207" s="2" t="n"/>
      <c r="AD207" s="2" t="n"/>
      <c r="AE207" s="2" t="n"/>
      <c r="AF207" s="2" t="n"/>
      <c r="AG207" s="2" t="n"/>
      <c r="AH207" s="2" t="n"/>
      <c r="AI207" s="2" t="n"/>
      <c r="AJ207" s="2" t="n"/>
      <c r="AK207" s="2" t="n"/>
      <c r="AL207" s="2" t="n"/>
      <c r="AM207" s="2" t="n"/>
      <c r="AN207" s="2" t="n"/>
    </row>
    <row r="208" ht="14.25" customHeight="1" s="157">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c r="AA208" s="2" t="n"/>
      <c r="AB208" s="2" t="n"/>
      <c r="AC208" s="2" t="n"/>
      <c r="AD208" s="2" t="n"/>
      <c r="AE208" s="2" t="n"/>
      <c r="AF208" s="2" t="n"/>
      <c r="AG208" s="2" t="n"/>
      <c r="AH208" s="2" t="n"/>
      <c r="AI208" s="2" t="n"/>
      <c r="AJ208" s="2" t="n"/>
      <c r="AK208" s="2" t="n"/>
      <c r="AL208" s="2" t="n"/>
      <c r="AM208" s="2" t="n"/>
      <c r="AN208" s="2" t="n"/>
    </row>
    <row r="209" ht="14.25" customHeight="1" s="157">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c r="AA209" s="2" t="n"/>
      <c r="AB209" s="2" t="n"/>
      <c r="AC209" s="2" t="n"/>
      <c r="AD209" s="2" t="n"/>
      <c r="AE209" s="2" t="n"/>
      <c r="AF209" s="2" t="n"/>
      <c r="AG209" s="2" t="n"/>
      <c r="AH209" s="2" t="n"/>
      <c r="AI209" s="2" t="n"/>
      <c r="AJ209" s="2" t="n"/>
      <c r="AK209" s="2" t="n"/>
      <c r="AL209" s="2" t="n"/>
      <c r="AM209" s="2" t="n"/>
      <c r="AN209" s="2" t="n"/>
    </row>
    <row r="210" ht="14.25" customHeight="1" s="157">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c r="AA210" s="2" t="n"/>
      <c r="AB210" s="2" t="n"/>
      <c r="AC210" s="2" t="n"/>
      <c r="AD210" s="2" t="n"/>
      <c r="AE210" s="2" t="n"/>
      <c r="AF210" s="2" t="n"/>
      <c r="AG210" s="2" t="n"/>
      <c r="AH210" s="2" t="n"/>
      <c r="AI210" s="2" t="n"/>
      <c r="AJ210" s="2" t="n"/>
      <c r="AK210" s="2" t="n"/>
      <c r="AL210" s="2" t="n"/>
      <c r="AM210" s="2" t="n"/>
      <c r="AN210" s="2" t="n"/>
    </row>
    <row r="211" ht="14.25" customHeight="1" s="157">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c r="AA211" s="2" t="n"/>
      <c r="AB211" s="2" t="n"/>
      <c r="AC211" s="2" t="n"/>
      <c r="AD211" s="2" t="n"/>
      <c r="AE211" s="2" t="n"/>
      <c r="AF211" s="2" t="n"/>
      <c r="AG211" s="2" t="n"/>
      <c r="AH211" s="2" t="n"/>
      <c r="AI211" s="2" t="n"/>
      <c r="AJ211" s="2" t="n"/>
      <c r="AK211" s="2" t="n"/>
      <c r="AL211" s="2" t="n"/>
      <c r="AM211" s="2" t="n"/>
      <c r="AN211" s="2" t="n"/>
    </row>
    <row r="212" ht="14.25" customHeight="1" s="157">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c r="AA212" s="2" t="n"/>
      <c r="AB212" s="2" t="n"/>
      <c r="AC212" s="2" t="n"/>
      <c r="AD212" s="2" t="n"/>
      <c r="AE212" s="2" t="n"/>
      <c r="AF212" s="2" t="n"/>
      <c r="AG212" s="2" t="n"/>
      <c r="AH212" s="2" t="n"/>
      <c r="AI212" s="2" t="n"/>
      <c r="AJ212" s="2" t="n"/>
      <c r="AK212" s="2" t="n"/>
      <c r="AL212" s="2" t="n"/>
      <c r="AM212" s="2" t="n"/>
      <c r="AN212" s="2" t="n"/>
    </row>
    <row r="213" ht="14.25" customHeight="1" s="157">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c r="AA213" s="2" t="n"/>
      <c r="AB213" s="2" t="n"/>
      <c r="AC213" s="2" t="n"/>
      <c r="AD213" s="2" t="n"/>
      <c r="AE213" s="2" t="n"/>
      <c r="AF213" s="2" t="n"/>
      <c r="AG213" s="2" t="n"/>
      <c r="AH213" s="2" t="n"/>
      <c r="AI213" s="2" t="n"/>
      <c r="AJ213" s="2" t="n"/>
      <c r="AK213" s="2" t="n"/>
      <c r="AL213" s="2" t="n"/>
      <c r="AM213" s="2" t="n"/>
      <c r="AN213" s="2" t="n"/>
    </row>
    <row r="214" ht="14.25" customHeight="1" s="157">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c r="AA214" s="2" t="n"/>
      <c r="AB214" s="2" t="n"/>
      <c r="AC214" s="2" t="n"/>
      <c r="AD214" s="2" t="n"/>
      <c r="AE214" s="2" t="n"/>
      <c r="AF214" s="2" t="n"/>
      <c r="AG214" s="2" t="n"/>
      <c r="AH214" s="2" t="n"/>
      <c r="AI214" s="2" t="n"/>
      <c r="AJ214" s="2" t="n"/>
      <c r="AK214" s="2" t="n"/>
      <c r="AL214" s="2" t="n"/>
      <c r="AM214" s="2" t="n"/>
      <c r="AN214" s="2" t="n"/>
    </row>
    <row r="215" ht="14.25" customHeight="1" s="157">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c r="AA215" s="2" t="n"/>
      <c r="AB215" s="2" t="n"/>
      <c r="AC215" s="2" t="n"/>
      <c r="AD215" s="2" t="n"/>
      <c r="AE215" s="2" t="n"/>
      <c r="AF215" s="2" t="n"/>
      <c r="AG215" s="2" t="n"/>
      <c r="AH215" s="2" t="n"/>
      <c r="AI215" s="2" t="n"/>
      <c r="AJ215" s="2" t="n"/>
      <c r="AK215" s="2" t="n"/>
      <c r="AL215" s="2" t="n"/>
      <c r="AM215" s="2" t="n"/>
      <c r="AN215" s="2" t="n"/>
    </row>
    <row r="216" ht="14.25" customHeight="1" s="157">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c r="AA216" s="2" t="n"/>
      <c r="AB216" s="2" t="n"/>
      <c r="AC216" s="2" t="n"/>
      <c r="AD216" s="2" t="n"/>
      <c r="AE216" s="2" t="n"/>
      <c r="AF216" s="2" t="n"/>
      <c r="AG216" s="2" t="n"/>
      <c r="AH216" s="2" t="n"/>
      <c r="AI216" s="2" t="n"/>
      <c r="AJ216" s="2" t="n"/>
      <c r="AK216" s="2" t="n"/>
      <c r="AL216" s="2" t="n"/>
      <c r="AM216" s="2" t="n"/>
      <c r="AN216" s="2" t="n"/>
    </row>
    <row r="217" ht="14.25" customHeight="1" s="157">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c r="AA217" s="2" t="n"/>
      <c r="AB217" s="2" t="n"/>
      <c r="AC217" s="2" t="n"/>
      <c r="AD217" s="2" t="n"/>
      <c r="AE217" s="2" t="n"/>
      <c r="AF217" s="2" t="n"/>
      <c r="AG217" s="2" t="n"/>
      <c r="AH217" s="2" t="n"/>
      <c r="AI217" s="2" t="n"/>
      <c r="AJ217" s="2" t="n"/>
      <c r="AK217" s="2" t="n"/>
      <c r="AL217" s="2" t="n"/>
      <c r="AM217" s="2" t="n"/>
      <c r="AN217" s="2" t="n"/>
    </row>
    <row r="218" ht="14.25" customHeight="1" s="157">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c r="AA218" s="2" t="n"/>
      <c r="AB218" s="2" t="n"/>
      <c r="AC218" s="2" t="n"/>
      <c r="AD218" s="2" t="n"/>
      <c r="AE218" s="2" t="n"/>
      <c r="AF218" s="2" t="n"/>
      <c r="AG218" s="2" t="n"/>
      <c r="AH218" s="2" t="n"/>
      <c r="AI218" s="2" t="n"/>
      <c r="AJ218" s="2" t="n"/>
      <c r="AK218" s="2" t="n"/>
      <c r="AL218" s="2" t="n"/>
      <c r="AM218" s="2" t="n"/>
      <c r="AN218" s="2" t="n"/>
    </row>
    <row r="219" ht="14.25" customHeight="1" s="157">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c r="AA219" s="2" t="n"/>
      <c r="AB219" s="2" t="n"/>
      <c r="AC219" s="2" t="n"/>
      <c r="AD219" s="2" t="n"/>
      <c r="AE219" s="2" t="n"/>
      <c r="AF219" s="2" t="n"/>
      <c r="AG219" s="2" t="n"/>
      <c r="AH219" s="2" t="n"/>
      <c r="AI219" s="2" t="n"/>
      <c r="AJ219" s="2" t="n"/>
      <c r="AK219" s="2" t="n"/>
      <c r="AL219" s="2" t="n"/>
      <c r="AM219" s="2" t="n"/>
      <c r="AN219" s="2" t="n"/>
    </row>
    <row r="220" ht="14.25" customHeight="1" s="157">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c r="AA220" s="2" t="n"/>
      <c r="AB220" s="2" t="n"/>
      <c r="AC220" s="2" t="n"/>
      <c r="AD220" s="2" t="n"/>
      <c r="AE220" s="2" t="n"/>
      <c r="AF220" s="2" t="n"/>
      <c r="AG220" s="2" t="n"/>
      <c r="AH220" s="2" t="n"/>
      <c r="AI220" s="2" t="n"/>
      <c r="AJ220" s="2" t="n"/>
      <c r="AK220" s="2" t="n"/>
      <c r="AL220" s="2" t="n"/>
      <c r="AM220" s="2" t="n"/>
      <c r="AN220" s="2" t="n"/>
    </row>
    <row r="221" ht="14.25" customHeight="1" s="157">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c r="AA221" s="2" t="n"/>
      <c r="AB221" s="2" t="n"/>
      <c r="AC221" s="2" t="n"/>
      <c r="AD221" s="2" t="n"/>
      <c r="AE221" s="2" t="n"/>
      <c r="AF221" s="2" t="n"/>
      <c r="AG221" s="2" t="n"/>
      <c r="AH221" s="2" t="n"/>
      <c r="AI221" s="2" t="n"/>
      <c r="AJ221" s="2" t="n"/>
      <c r="AK221" s="2" t="n"/>
      <c r="AL221" s="2" t="n"/>
      <c r="AM221" s="2" t="n"/>
      <c r="AN221" s="2" t="n"/>
    </row>
    <row r="222" ht="14.25" customHeight="1" s="157">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c r="AA222" s="2" t="n"/>
      <c r="AB222" s="2" t="n"/>
      <c r="AC222" s="2" t="n"/>
      <c r="AD222" s="2" t="n"/>
      <c r="AE222" s="2" t="n"/>
      <c r="AF222" s="2" t="n"/>
      <c r="AG222" s="2" t="n"/>
      <c r="AH222" s="2" t="n"/>
      <c r="AI222" s="2" t="n"/>
      <c r="AJ222" s="2" t="n"/>
      <c r="AK222" s="2" t="n"/>
      <c r="AL222" s="2" t="n"/>
      <c r="AM222" s="2" t="n"/>
      <c r="AN222" s="2" t="n"/>
    </row>
    <row r="223" ht="14.25" customHeight="1" s="157">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c r="AA223" s="2" t="n"/>
      <c r="AB223" s="2" t="n"/>
      <c r="AC223" s="2" t="n"/>
      <c r="AD223" s="2" t="n"/>
      <c r="AE223" s="2" t="n"/>
      <c r="AF223" s="2" t="n"/>
      <c r="AG223" s="2" t="n"/>
      <c r="AH223" s="2" t="n"/>
      <c r="AI223" s="2" t="n"/>
      <c r="AJ223" s="2" t="n"/>
      <c r="AK223" s="2" t="n"/>
      <c r="AL223" s="2" t="n"/>
      <c r="AM223" s="2" t="n"/>
      <c r="AN223" s="2" t="n"/>
    </row>
    <row r="224" ht="14.25" customHeight="1" s="157">
      <c r="A224" s="2"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c r="AA224" s="2" t="n"/>
      <c r="AB224" s="2" t="n"/>
      <c r="AC224" s="2" t="n"/>
      <c r="AD224" s="2" t="n"/>
      <c r="AE224" s="2" t="n"/>
      <c r="AF224" s="2" t="n"/>
      <c r="AG224" s="2" t="n"/>
      <c r="AH224" s="2" t="n"/>
      <c r="AI224" s="2" t="n"/>
      <c r="AJ224" s="2" t="n"/>
      <c r="AK224" s="2" t="n"/>
      <c r="AL224" s="2" t="n"/>
      <c r="AM224" s="2" t="n"/>
      <c r="AN224" s="2" t="n"/>
    </row>
    <row r="225" ht="14.25" customHeight="1" s="157">
      <c r="A225" s="2"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c r="AA225" s="2" t="n"/>
      <c r="AB225" s="2" t="n"/>
      <c r="AC225" s="2" t="n"/>
      <c r="AD225" s="2" t="n"/>
      <c r="AE225" s="2" t="n"/>
      <c r="AF225" s="2" t="n"/>
      <c r="AG225" s="2" t="n"/>
      <c r="AH225" s="2" t="n"/>
      <c r="AI225" s="2" t="n"/>
      <c r="AJ225" s="2" t="n"/>
      <c r="AK225" s="2" t="n"/>
      <c r="AL225" s="2" t="n"/>
      <c r="AM225" s="2" t="n"/>
      <c r="AN225" s="2" t="n"/>
    </row>
    <row r="226" ht="14.25" customHeight="1" s="157">
      <c r="A226" s="2" t="n"/>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c r="AA226" s="2" t="n"/>
      <c r="AB226" s="2" t="n"/>
      <c r="AC226" s="2" t="n"/>
      <c r="AD226" s="2" t="n"/>
      <c r="AE226" s="2" t="n"/>
      <c r="AF226" s="2" t="n"/>
      <c r="AG226" s="2" t="n"/>
      <c r="AH226" s="2" t="n"/>
      <c r="AI226" s="2" t="n"/>
      <c r="AJ226" s="2" t="n"/>
      <c r="AK226" s="2" t="n"/>
      <c r="AL226" s="2" t="n"/>
      <c r="AM226" s="2" t="n"/>
      <c r="AN226" s="2" t="n"/>
    </row>
    <row r="227" ht="14.25" customHeight="1" s="157">
      <c r="A227" s="2" t="n"/>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c r="AA227" s="2" t="n"/>
      <c r="AB227" s="2" t="n"/>
      <c r="AC227" s="2" t="n"/>
      <c r="AD227" s="2" t="n"/>
      <c r="AE227" s="2" t="n"/>
      <c r="AF227" s="2" t="n"/>
      <c r="AG227" s="2" t="n"/>
      <c r="AH227" s="2" t="n"/>
      <c r="AI227" s="2" t="n"/>
      <c r="AJ227" s="2" t="n"/>
      <c r="AK227" s="2" t="n"/>
      <c r="AL227" s="2" t="n"/>
      <c r="AM227" s="2" t="n"/>
      <c r="AN227" s="2" t="n"/>
    </row>
    <row r="228" ht="14.25" customHeight="1" s="157">
      <c r="A228" s="2"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c r="AA228" s="2" t="n"/>
      <c r="AB228" s="2" t="n"/>
      <c r="AC228" s="2" t="n"/>
      <c r="AD228" s="2" t="n"/>
      <c r="AE228" s="2" t="n"/>
      <c r="AF228" s="2" t="n"/>
      <c r="AG228" s="2" t="n"/>
      <c r="AH228" s="2" t="n"/>
      <c r="AI228" s="2" t="n"/>
      <c r="AJ228" s="2" t="n"/>
      <c r="AK228" s="2" t="n"/>
      <c r="AL228" s="2" t="n"/>
      <c r="AM228" s="2" t="n"/>
      <c r="AN228" s="2" t="n"/>
    </row>
    <row r="229" ht="14.25" customHeight="1" s="157">
      <c r="A229" s="2"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c r="AA229" s="2" t="n"/>
      <c r="AB229" s="2" t="n"/>
      <c r="AC229" s="2" t="n"/>
      <c r="AD229" s="2" t="n"/>
      <c r="AE229" s="2" t="n"/>
      <c r="AF229" s="2" t="n"/>
      <c r="AG229" s="2" t="n"/>
      <c r="AH229" s="2" t="n"/>
      <c r="AI229" s="2" t="n"/>
      <c r="AJ229" s="2" t="n"/>
      <c r="AK229" s="2" t="n"/>
      <c r="AL229" s="2" t="n"/>
      <c r="AM229" s="2" t="n"/>
      <c r="AN229" s="2" t="n"/>
    </row>
    <row r="230" ht="14.25" customHeight="1" s="157">
      <c r="A230" s="2"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c r="AA230" s="2" t="n"/>
      <c r="AB230" s="2" t="n"/>
      <c r="AC230" s="2" t="n"/>
      <c r="AD230" s="2" t="n"/>
      <c r="AE230" s="2" t="n"/>
      <c r="AF230" s="2" t="n"/>
      <c r="AG230" s="2" t="n"/>
      <c r="AH230" s="2" t="n"/>
      <c r="AI230" s="2" t="n"/>
      <c r="AJ230" s="2" t="n"/>
      <c r="AK230" s="2" t="n"/>
      <c r="AL230" s="2" t="n"/>
      <c r="AM230" s="2" t="n"/>
      <c r="AN230" s="2" t="n"/>
    </row>
    <row r="231" ht="14.25" customHeight="1" s="157">
      <c r="A231" s="2" t="n"/>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c r="AA231" s="2" t="n"/>
      <c r="AB231" s="2" t="n"/>
      <c r="AC231" s="2" t="n"/>
      <c r="AD231" s="2" t="n"/>
      <c r="AE231" s="2" t="n"/>
      <c r="AF231" s="2" t="n"/>
      <c r="AG231" s="2" t="n"/>
      <c r="AH231" s="2" t="n"/>
      <c r="AI231" s="2" t="n"/>
      <c r="AJ231" s="2" t="n"/>
      <c r="AK231" s="2" t="n"/>
      <c r="AL231" s="2" t="n"/>
      <c r="AM231" s="2" t="n"/>
      <c r="AN231" s="2" t="n"/>
    </row>
    <row r="232" ht="14.25" customHeight="1" s="157">
      <c r="A232" s="2" t="n"/>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c r="AA232" s="2" t="n"/>
      <c r="AB232" s="2" t="n"/>
      <c r="AC232" s="2" t="n"/>
      <c r="AD232" s="2" t="n"/>
      <c r="AE232" s="2" t="n"/>
      <c r="AF232" s="2" t="n"/>
      <c r="AG232" s="2" t="n"/>
      <c r="AH232" s="2" t="n"/>
      <c r="AI232" s="2" t="n"/>
      <c r="AJ232" s="2" t="n"/>
      <c r="AK232" s="2" t="n"/>
      <c r="AL232" s="2" t="n"/>
      <c r="AM232" s="2" t="n"/>
      <c r="AN232" s="2" t="n"/>
    </row>
    <row r="233" ht="14.25" customHeight="1" s="157">
      <c r="A233" s="2" t="n"/>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c r="AA233" s="2" t="n"/>
      <c r="AB233" s="2" t="n"/>
      <c r="AC233" s="2" t="n"/>
      <c r="AD233" s="2" t="n"/>
      <c r="AE233" s="2" t="n"/>
      <c r="AF233" s="2" t="n"/>
      <c r="AG233" s="2" t="n"/>
      <c r="AH233" s="2" t="n"/>
      <c r="AI233" s="2" t="n"/>
      <c r="AJ233" s="2" t="n"/>
      <c r="AK233" s="2" t="n"/>
      <c r="AL233" s="2" t="n"/>
      <c r="AM233" s="2" t="n"/>
      <c r="AN233" s="2" t="n"/>
    </row>
    <row r="234" ht="14.25" customHeight="1" s="157">
      <c r="A234" s="2" t="n"/>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c r="AA234" s="2" t="n"/>
      <c r="AB234" s="2" t="n"/>
      <c r="AC234" s="2" t="n"/>
      <c r="AD234" s="2" t="n"/>
      <c r="AE234" s="2" t="n"/>
      <c r="AF234" s="2" t="n"/>
      <c r="AG234" s="2" t="n"/>
      <c r="AH234" s="2" t="n"/>
      <c r="AI234" s="2" t="n"/>
      <c r="AJ234" s="2" t="n"/>
      <c r="AK234" s="2" t="n"/>
      <c r="AL234" s="2" t="n"/>
      <c r="AM234" s="2" t="n"/>
      <c r="AN234" s="2" t="n"/>
    </row>
    <row r="235" ht="14.25" customHeight="1" s="157">
      <c r="A235" s="2" t="n"/>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c r="AA235" s="2" t="n"/>
      <c r="AB235" s="2" t="n"/>
      <c r="AC235" s="2" t="n"/>
      <c r="AD235" s="2" t="n"/>
      <c r="AE235" s="2" t="n"/>
      <c r="AF235" s="2" t="n"/>
      <c r="AG235" s="2" t="n"/>
      <c r="AH235" s="2" t="n"/>
      <c r="AI235" s="2" t="n"/>
      <c r="AJ235" s="2" t="n"/>
      <c r="AK235" s="2" t="n"/>
      <c r="AL235" s="2" t="n"/>
      <c r="AM235" s="2" t="n"/>
      <c r="AN235" s="2" t="n"/>
    </row>
    <row r="236" ht="14.25" customHeight="1" s="157">
      <c r="A236" s="2" t="n"/>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c r="AA236" s="2" t="n"/>
      <c r="AB236" s="2" t="n"/>
      <c r="AC236" s="2" t="n"/>
      <c r="AD236" s="2" t="n"/>
      <c r="AE236" s="2" t="n"/>
      <c r="AF236" s="2" t="n"/>
      <c r="AG236" s="2" t="n"/>
      <c r="AH236" s="2" t="n"/>
      <c r="AI236" s="2" t="n"/>
      <c r="AJ236" s="2" t="n"/>
      <c r="AK236" s="2" t="n"/>
      <c r="AL236" s="2" t="n"/>
      <c r="AM236" s="2" t="n"/>
      <c r="AN236" s="2" t="n"/>
    </row>
    <row r="237" ht="14.25" customHeight="1" s="157">
      <c r="A237" s="2" t="n"/>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c r="AA237" s="2" t="n"/>
      <c r="AB237" s="2" t="n"/>
      <c r="AC237" s="2" t="n"/>
      <c r="AD237" s="2" t="n"/>
      <c r="AE237" s="2" t="n"/>
      <c r="AF237" s="2" t="n"/>
      <c r="AG237" s="2" t="n"/>
      <c r="AH237" s="2" t="n"/>
      <c r="AI237" s="2" t="n"/>
      <c r="AJ237" s="2" t="n"/>
      <c r="AK237" s="2" t="n"/>
      <c r="AL237" s="2" t="n"/>
      <c r="AM237" s="2" t="n"/>
      <c r="AN237" s="2" t="n"/>
    </row>
    <row r="238" ht="14.25" customHeight="1" s="157">
      <c r="A238" s="2" t="n"/>
      <c r="B238" s="2"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c r="AA238" s="2" t="n"/>
      <c r="AB238" s="2" t="n"/>
      <c r="AC238" s="2" t="n"/>
      <c r="AD238" s="2" t="n"/>
      <c r="AE238" s="2" t="n"/>
      <c r="AF238" s="2" t="n"/>
      <c r="AG238" s="2" t="n"/>
      <c r="AH238" s="2" t="n"/>
      <c r="AI238" s="2" t="n"/>
      <c r="AJ238" s="2" t="n"/>
      <c r="AK238" s="2" t="n"/>
      <c r="AL238" s="2" t="n"/>
      <c r="AM238" s="2" t="n"/>
      <c r="AN238" s="2" t="n"/>
    </row>
    <row r="239" ht="14.25" customHeight="1" s="157">
      <c r="A239" s="2" t="n"/>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c r="AA239" s="2" t="n"/>
      <c r="AB239" s="2" t="n"/>
      <c r="AC239" s="2" t="n"/>
      <c r="AD239" s="2" t="n"/>
      <c r="AE239" s="2" t="n"/>
      <c r="AF239" s="2" t="n"/>
      <c r="AG239" s="2" t="n"/>
      <c r="AH239" s="2" t="n"/>
      <c r="AI239" s="2" t="n"/>
      <c r="AJ239" s="2" t="n"/>
      <c r="AK239" s="2" t="n"/>
      <c r="AL239" s="2" t="n"/>
      <c r="AM239" s="2" t="n"/>
      <c r="AN239" s="2" t="n"/>
    </row>
    <row r="240" ht="14.25" customHeight="1" s="157">
      <c r="A240" s="2" t="n"/>
      <c r="B240" s="2"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c r="AA240" s="2" t="n"/>
      <c r="AB240" s="2" t="n"/>
      <c r="AC240" s="2" t="n"/>
      <c r="AD240" s="2" t="n"/>
      <c r="AE240" s="2" t="n"/>
      <c r="AF240" s="2" t="n"/>
      <c r="AG240" s="2" t="n"/>
      <c r="AH240" s="2" t="n"/>
      <c r="AI240" s="2" t="n"/>
      <c r="AJ240" s="2" t="n"/>
      <c r="AK240" s="2" t="n"/>
      <c r="AL240" s="2" t="n"/>
      <c r="AM240" s="2" t="n"/>
      <c r="AN240" s="2" t="n"/>
    </row>
    <row r="241" ht="14.25" customHeight="1" s="157">
      <c r="A241" s="2" t="n"/>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c r="AA241" s="2" t="n"/>
      <c r="AB241" s="2" t="n"/>
      <c r="AC241" s="2" t="n"/>
      <c r="AD241" s="2" t="n"/>
      <c r="AE241" s="2" t="n"/>
      <c r="AF241" s="2" t="n"/>
      <c r="AG241" s="2" t="n"/>
      <c r="AH241" s="2" t="n"/>
      <c r="AI241" s="2" t="n"/>
      <c r="AJ241" s="2" t="n"/>
      <c r="AK241" s="2" t="n"/>
      <c r="AL241" s="2" t="n"/>
      <c r="AM241" s="2" t="n"/>
      <c r="AN241" s="2" t="n"/>
    </row>
    <row r="242" ht="14.25" customHeight="1" s="157">
      <c r="A242" s="2" t="n"/>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c r="AA242" s="2" t="n"/>
      <c r="AB242" s="2" t="n"/>
      <c r="AC242" s="2" t="n"/>
      <c r="AD242" s="2" t="n"/>
      <c r="AE242" s="2" t="n"/>
      <c r="AF242" s="2" t="n"/>
      <c r="AG242" s="2" t="n"/>
      <c r="AH242" s="2" t="n"/>
      <c r="AI242" s="2" t="n"/>
      <c r="AJ242" s="2" t="n"/>
      <c r="AK242" s="2" t="n"/>
      <c r="AL242" s="2" t="n"/>
      <c r="AM242" s="2" t="n"/>
      <c r="AN242" s="2" t="n"/>
    </row>
    <row r="243" ht="14.25" customHeight="1" s="157">
      <c r="A243" s="2" t="n"/>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c r="AA243" s="2" t="n"/>
      <c r="AB243" s="2" t="n"/>
      <c r="AC243" s="2" t="n"/>
      <c r="AD243" s="2" t="n"/>
      <c r="AE243" s="2" t="n"/>
      <c r="AF243" s="2" t="n"/>
      <c r="AG243" s="2" t="n"/>
      <c r="AH243" s="2" t="n"/>
      <c r="AI243" s="2" t="n"/>
      <c r="AJ243" s="2" t="n"/>
      <c r="AK243" s="2" t="n"/>
      <c r="AL243" s="2" t="n"/>
      <c r="AM243" s="2" t="n"/>
      <c r="AN243" s="2" t="n"/>
    </row>
    <row r="244" ht="14.25" customHeight="1" s="157">
      <c r="A244" s="2" t="n"/>
      <c r="B244" s="2"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c r="AA244" s="2" t="n"/>
      <c r="AB244" s="2" t="n"/>
      <c r="AC244" s="2" t="n"/>
      <c r="AD244" s="2" t="n"/>
      <c r="AE244" s="2" t="n"/>
      <c r="AF244" s="2" t="n"/>
      <c r="AG244" s="2" t="n"/>
      <c r="AH244" s="2" t="n"/>
      <c r="AI244" s="2" t="n"/>
      <c r="AJ244" s="2" t="n"/>
      <c r="AK244" s="2" t="n"/>
      <c r="AL244" s="2" t="n"/>
      <c r="AM244" s="2" t="n"/>
      <c r="AN244" s="2" t="n"/>
    </row>
    <row r="245" ht="14.25" customHeight="1" s="157">
      <c r="A245" s="2" t="n"/>
      <c r="B245" s="2" t="n"/>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c r="AA245" s="2" t="n"/>
      <c r="AB245" s="2" t="n"/>
      <c r="AC245" s="2" t="n"/>
      <c r="AD245" s="2" t="n"/>
      <c r="AE245" s="2" t="n"/>
      <c r="AF245" s="2" t="n"/>
      <c r="AG245" s="2" t="n"/>
      <c r="AH245" s="2" t="n"/>
      <c r="AI245" s="2" t="n"/>
      <c r="AJ245" s="2" t="n"/>
      <c r="AK245" s="2" t="n"/>
      <c r="AL245" s="2" t="n"/>
      <c r="AM245" s="2" t="n"/>
      <c r="AN245" s="2" t="n"/>
    </row>
    <row r="246" ht="14.25" customHeight="1" s="157">
      <c r="A246" s="2" t="n"/>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c r="AA246" s="2" t="n"/>
      <c r="AB246" s="2" t="n"/>
      <c r="AC246" s="2" t="n"/>
      <c r="AD246" s="2" t="n"/>
      <c r="AE246" s="2" t="n"/>
      <c r="AF246" s="2" t="n"/>
      <c r="AG246" s="2" t="n"/>
      <c r="AH246" s="2" t="n"/>
      <c r="AI246" s="2" t="n"/>
      <c r="AJ246" s="2" t="n"/>
      <c r="AK246" s="2" t="n"/>
      <c r="AL246" s="2" t="n"/>
      <c r="AM246" s="2" t="n"/>
      <c r="AN246" s="2" t="n"/>
    </row>
    <row r="247" ht="15.75" customHeight="1" s="157"/>
    <row r="248" ht="15.75" customHeight="1" s="157"/>
    <row r="249" ht="15.75" customHeight="1" s="157"/>
    <row r="250" ht="15.75" customHeight="1" s="157"/>
    <row r="251" ht="15.75" customHeight="1" s="157"/>
    <row r="252" ht="15.75" customHeight="1" s="157"/>
    <row r="253" ht="15.75" customHeight="1" s="157"/>
    <row r="254" ht="15.75" customHeight="1" s="157"/>
    <row r="255" ht="15.75" customHeight="1" s="157"/>
    <row r="256" ht="15.75" customHeight="1" s="157"/>
    <row r="257" ht="15.75" customHeight="1" s="157"/>
    <row r="258" ht="15.75" customHeight="1" s="157"/>
    <row r="259" ht="15.75" customHeight="1" s="157"/>
    <row r="260" ht="15.75" customHeight="1" s="157"/>
    <row r="261" ht="15.75" customHeight="1" s="157"/>
    <row r="262" ht="15.75" customHeight="1" s="157"/>
    <row r="263" ht="15.75" customHeight="1" s="157"/>
    <row r="264" ht="15.75" customHeight="1" s="157"/>
    <row r="265" ht="15.75" customHeight="1" s="157"/>
    <row r="266" ht="15.75" customHeight="1" s="157"/>
    <row r="267" ht="15.75" customHeight="1" s="157"/>
    <row r="268" ht="15.75" customHeight="1" s="157"/>
    <row r="269" ht="15.75" customHeight="1" s="157"/>
    <row r="270" ht="15.75" customHeight="1" s="157"/>
    <row r="271" ht="15.75" customHeight="1" s="157"/>
    <row r="272" ht="15.75" customHeight="1" s="157"/>
    <row r="273" ht="15.75" customHeight="1" s="157"/>
    <row r="274" ht="15.75" customHeight="1" s="157"/>
    <row r="275" ht="15.75" customHeight="1" s="157"/>
    <row r="276" ht="15.75" customHeight="1" s="157"/>
    <row r="277" ht="15.75" customHeight="1" s="157"/>
    <row r="278" ht="15.75" customHeight="1" s="157"/>
    <row r="279" ht="15.75" customHeight="1" s="157"/>
    <row r="280" ht="15.75" customHeight="1" s="157"/>
    <row r="281" ht="15.75" customHeight="1" s="157"/>
    <row r="282" ht="15.75" customHeight="1" s="157"/>
    <row r="283" ht="15.75" customHeight="1" s="157"/>
    <row r="284" ht="15.75" customHeight="1" s="157"/>
    <row r="285" ht="15.75" customHeight="1" s="157"/>
    <row r="286" ht="15.75" customHeight="1" s="157"/>
    <row r="287" ht="15.75" customHeight="1" s="157"/>
    <row r="288" ht="15.75" customHeight="1" s="157"/>
    <row r="289" ht="15.75" customHeight="1" s="157"/>
    <row r="290" ht="15.75" customHeight="1" s="157"/>
    <row r="291" ht="15.75" customHeight="1" s="157"/>
    <row r="292" ht="15.75" customHeight="1" s="157"/>
    <row r="293" ht="15.75" customHeight="1" s="157"/>
    <row r="294" ht="15.75" customHeight="1" s="157"/>
    <row r="295" ht="15.75" customHeight="1" s="157"/>
    <row r="296" ht="15.75" customHeight="1" s="157"/>
    <row r="297" ht="15.75" customHeight="1" s="157"/>
    <row r="298" ht="15.75" customHeight="1" s="157"/>
    <row r="299" ht="15.75" customHeight="1" s="157"/>
    <row r="300" ht="15.75" customHeight="1" s="157"/>
    <row r="301" ht="15.75" customHeight="1" s="157"/>
    <row r="302" ht="15.75" customHeight="1" s="157"/>
    <row r="303" ht="15.75" customHeight="1" s="157"/>
    <row r="304" ht="15.75" customHeight="1" s="157"/>
    <row r="305" ht="15.75" customHeight="1" s="157"/>
    <row r="306" ht="15.75" customHeight="1" s="157"/>
    <row r="307" ht="15.75" customHeight="1" s="157"/>
    <row r="308" ht="15.75" customHeight="1" s="157"/>
    <row r="309" ht="15.75" customHeight="1" s="157"/>
    <row r="310" ht="15.75" customHeight="1" s="157"/>
    <row r="311" ht="15.75" customHeight="1" s="157"/>
    <row r="312" ht="15.75" customHeight="1" s="157"/>
    <row r="313" ht="15.75" customHeight="1" s="157"/>
    <row r="314" ht="15.75" customHeight="1" s="157"/>
    <row r="315" ht="15.75" customHeight="1" s="157"/>
    <row r="316" ht="15.75" customHeight="1" s="157"/>
    <row r="317" ht="15.75" customHeight="1" s="157"/>
    <row r="318" ht="15.75" customHeight="1" s="157"/>
    <row r="319" ht="15.75" customHeight="1" s="157"/>
    <row r="320" ht="15.75" customHeight="1" s="157"/>
    <row r="321" ht="15.75" customHeight="1" s="157"/>
    <row r="322" ht="15.75" customHeight="1" s="157"/>
    <row r="323" ht="15.75" customHeight="1" s="157"/>
    <row r="324" ht="15.75" customHeight="1" s="157"/>
    <row r="325" ht="15.75" customHeight="1" s="157"/>
    <row r="326" ht="15.75" customHeight="1" s="157"/>
    <row r="327" ht="15.75" customHeight="1" s="157"/>
    <row r="328" ht="15.75" customHeight="1" s="157"/>
    <row r="329" ht="15.75" customHeight="1" s="157"/>
    <row r="330" ht="15.75" customHeight="1" s="157"/>
    <row r="331" ht="15.75" customHeight="1" s="157"/>
    <row r="332" ht="15.75" customHeight="1" s="157"/>
    <row r="333" ht="15.75" customHeight="1" s="157"/>
    <row r="334" ht="15.75" customHeight="1" s="157"/>
    <row r="335" ht="15.75" customHeight="1" s="157"/>
    <row r="336" ht="15.75" customHeight="1" s="157"/>
    <row r="337" ht="15.75" customHeight="1" s="157"/>
    <row r="338" ht="15.75" customHeight="1" s="157"/>
    <row r="339" ht="15.75" customHeight="1" s="157"/>
    <row r="340" ht="15.75" customHeight="1" s="157"/>
    <row r="341" ht="15.75" customHeight="1" s="157"/>
    <row r="342" ht="15.75" customHeight="1" s="157"/>
    <row r="343" ht="15.75" customHeight="1" s="157"/>
    <row r="344" ht="15.75" customHeight="1" s="157"/>
    <row r="345" ht="15.75" customHeight="1" s="157"/>
    <row r="346" ht="15.75" customHeight="1" s="157"/>
    <row r="347" ht="15.75" customHeight="1" s="157"/>
    <row r="348" ht="15.75" customHeight="1" s="157"/>
    <row r="349" ht="15.75" customHeight="1" s="157"/>
    <row r="350" ht="15.75" customHeight="1" s="157"/>
    <row r="351" ht="15.75" customHeight="1" s="157"/>
    <row r="352" ht="15.75" customHeight="1" s="157"/>
    <row r="353" ht="15.75" customHeight="1" s="157"/>
    <row r="354" ht="15.75" customHeight="1" s="157"/>
    <row r="355" ht="15.75" customHeight="1" s="157"/>
    <row r="356" ht="15.75" customHeight="1" s="157"/>
    <row r="357" ht="15.75" customHeight="1" s="157"/>
    <row r="358" ht="15.75" customHeight="1" s="157"/>
    <row r="359" ht="15.75" customHeight="1" s="157"/>
    <row r="360" ht="15.75" customHeight="1" s="157"/>
    <row r="361" ht="15.75" customHeight="1" s="157"/>
    <row r="362" ht="15.75" customHeight="1" s="157"/>
    <row r="363" ht="15.75" customHeight="1" s="157"/>
    <row r="364" ht="15.75" customHeight="1" s="157"/>
    <row r="365" ht="15.75" customHeight="1" s="157"/>
    <row r="366" ht="15.75" customHeight="1" s="157"/>
    <row r="367" ht="15.75" customHeight="1" s="157"/>
    <row r="368" ht="15.75" customHeight="1" s="157"/>
    <row r="369" ht="15.75" customHeight="1" s="157"/>
    <row r="370" ht="15.75" customHeight="1" s="157"/>
    <row r="371" ht="15.75" customHeight="1" s="157"/>
    <row r="372" ht="15.75" customHeight="1" s="157"/>
    <row r="373" ht="15.75" customHeight="1" s="157"/>
    <row r="374" ht="15.75" customHeight="1" s="157"/>
    <row r="375" ht="15.75" customHeight="1" s="157"/>
    <row r="376" ht="15.75" customHeight="1" s="157"/>
    <row r="377" ht="15.75" customHeight="1" s="157"/>
    <row r="378" ht="15.75" customHeight="1" s="157"/>
    <row r="379" ht="15.75" customHeight="1" s="157"/>
    <row r="380" ht="15.75" customHeight="1" s="157"/>
    <row r="381" ht="15.75" customHeight="1" s="157"/>
    <row r="382" ht="15.75" customHeight="1" s="157"/>
    <row r="383" ht="15.75" customHeight="1" s="157"/>
    <row r="384" ht="15.75" customHeight="1" s="157"/>
    <row r="385" ht="15.75" customHeight="1" s="157"/>
    <row r="386" ht="15.75" customHeight="1" s="157"/>
    <row r="387" ht="15.75" customHeight="1" s="157"/>
    <row r="388" ht="15.75" customHeight="1" s="157"/>
    <row r="389" ht="15.75" customHeight="1" s="157"/>
    <row r="390" ht="15.75" customHeight="1" s="157"/>
    <row r="391" ht="15.75" customHeight="1" s="157"/>
    <row r="392" ht="15.75" customHeight="1" s="157"/>
    <row r="393" ht="15.75" customHeight="1" s="157"/>
    <row r="394" ht="15.75" customHeight="1" s="157"/>
    <row r="395" ht="15.75" customHeight="1" s="157"/>
    <row r="396" ht="15.75" customHeight="1" s="157"/>
    <row r="397" ht="15.75" customHeight="1" s="157"/>
    <row r="398" ht="15.75" customHeight="1" s="157"/>
    <row r="399" ht="15.75" customHeight="1" s="157"/>
    <row r="400" ht="15.75" customHeight="1" s="157"/>
    <row r="401" ht="15.75" customHeight="1" s="157"/>
    <row r="402" ht="15.75" customHeight="1" s="157"/>
    <row r="403" ht="15.75" customHeight="1" s="157"/>
    <row r="404" ht="15.75" customHeight="1" s="157"/>
    <row r="405" ht="15.75" customHeight="1" s="157"/>
    <row r="406" ht="15.75" customHeight="1" s="157"/>
    <row r="407" ht="15.75" customHeight="1" s="157"/>
    <row r="408" ht="15.75" customHeight="1" s="157"/>
    <row r="409" ht="15.75" customHeight="1" s="157"/>
    <row r="410" ht="15.75" customHeight="1" s="157"/>
    <row r="411" ht="15.75" customHeight="1" s="157"/>
    <row r="412" ht="15.75" customHeight="1" s="157"/>
    <row r="413" ht="15.75" customHeight="1" s="157"/>
    <row r="414" ht="15.75" customHeight="1" s="157"/>
    <row r="415" ht="15.75" customHeight="1" s="157"/>
    <row r="416" ht="15.75" customHeight="1" s="157"/>
    <row r="417" ht="15.75" customHeight="1" s="157"/>
    <row r="418" ht="15.75" customHeight="1" s="157"/>
    <row r="419" ht="15.75" customHeight="1" s="157"/>
    <row r="420" ht="15.75" customHeight="1" s="157"/>
    <row r="421" ht="15.75" customHeight="1" s="157"/>
    <row r="422" ht="15.75" customHeight="1" s="157"/>
    <row r="423" ht="15.75" customHeight="1" s="157"/>
    <row r="424" ht="15.75" customHeight="1" s="157"/>
    <row r="425" ht="15.75" customHeight="1" s="157"/>
    <row r="426" ht="15.75" customHeight="1" s="157"/>
    <row r="427" ht="15.75" customHeight="1" s="157"/>
    <row r="428" ht="15.75" customHeight="1" s="157"/>
    <row r="429" ht="15.75" customHeight="1" s="157"/>
    <row r="430" ht="15.75" customHeight="1" s="157"/>
    <row r="431" ht="15.75" customHeight="1" s="157"/>
    <row r="432" ht="15.75" customHeight="1" s="157"/>
    <row r="433" ht="15.75" customHeight="1" s="157"/>
    <row r="434" ht="15.75" customHeight="1" s="157"/>
    <row r="435" ht="15.75" customHeight="1" s="157"/>
    <row r="436" ht="15.75" customHeight="1" s="157"/>
    <row r="437" ht="15.75" customHeight="1" s="157"/>
    <row r="438" ht="15.75" customHeight="1" s="157"/>
    <row r="439" ht="15.75" customHeight="1" s="157"/>
    <row r="440" ht="15.75" customHeight="1" s="157"/>
    <row r="441" ht="15.75" customHeight="1" s="157"/>
    <row r="442" ht="15.75" customHeight="1" s="157"/>
    <row r="443" ht="15.75" customHeight="1" s="157"/>
    <row r="444" ht="15.75" customHeight="1" s="157"/>
    <row r="445" ht="15.75" customHeight="1" s="157"/>
    <row r="446" ht="15.75" customHeight="1" s="157"/>
    <row r="447" ht="15.75" customHeight="1" s="157"/>
    <row r="448" ht="15.75" customHeight="1" s="157"/>
    <row r="449" ht="15.75" customHeight="1" s="157"/>
    <row r="450" ht="15.75" customHeight="1" s="157"/>
    <row r="451" ht="15.75" customHeight="1" s="157"/>
    <row r="452" ht="15.75" customHeight="1" s="157"/>
    <row r="453" ht="15.75" customHeight="1" s="157"/>
    <row r="454" ht="15.75" customHeight="1" s="157"/>
    <row r="455" ht="15.75" customHeight="1" s="157"/>
    <row r="456" ht="15.75" customHeight="1" s="157"/>
    <row r="457" ht="15.75" customHeight="1" s="157"/>
    <row r="458" ht="15.75" customHeight="1" s="157"/>
    <row r="459" ht="15.75" customHeight="1" s="157"/>
    <row r="460" ht="15.75" customHeight="1" s="157"/>
    <row r="461" ht="15.75" customHeight="1" s="157"/>
    <row r="462" ht="15.75" customHeight="1" s="157"/>
    <row r="463" ht="15.75" customHeight="1" s="157"/>
    <row r="464" ht="15.75" customHeight="1" s="157"/>
    <row r="465" ht="15.75" customHeight="1" s="157"/>
    <row r="466" ht="15.75" customHeight="1" s="157"/>
    <row r="467" ht="15.75" customHeight="1" s="157"/>
    <row r="468" ht="15.75" customHeight="1" s="157"/>
    <row r="469" ht="15.75" customHeight="1" s="157"/>
    <row r="470" ht="15.75" customHeight="1" s="157"/>
    <row r="471" ht="15.75" customHeight="1" s="157"/>
    <row r="472" ht="15.75" customHeight="1" s="157"/>
    <row r="473" ht="15.75" customHeight="1" s="157"/>
    <row r="474" ht="15.75" customHeight="1" s="157"/>
    <row r="475" ht="15.75" customHeight="1" s="157"/>
    <row r="476" ht="15.75" customHeight="1" s="157"/>
    <row r="477" ht="15.75" customHeight="1" s="157"/>
    <row r="478" ht="15.75" customHeight="1" s="157"/>
    <row r="479" ht="15.75" customHeight="1" s="157"/>
    <row r="480" ht="15.75" customHeight="1" s="157"/>
    <row r="481" ht="15.75" customHeight="1" s="157"/>
    <row r="482" ht="15.75" customHeight="1" s="157"/>
    <row r="483" ht="15.75" customHeight="1" s="157"/>
    <row r="484" ht="15.75" customHeight="1" s="157"/>
    <row r="485" ht="15.75" customHeight="1" s="157"/>
    <row r="486" ht="15.75" customHeight="1" s="157"/>
    <row r="487" ht="15.75" customHeight="1" s="157"/>
    <row r="488" ht="15.75" customHeight="1" s="157"/>
    <row r="489" ht="15.75" customHeight="1" s="157"/>
    <row r="490" ht="15.75" customHeight="1" s="157"/>
    <row r="491" ht="15.75" customHeight="1" s="157"/>
    <row r="492" ht="15.75" customHeight="1" s="157"/>
    <row r="493" ht="15.75" customHeight="1" s="157"/>
    <row r="494" ht="15.75" customHeight="1" s="157"/>
    <row r="495" ht="15.75" customHeight="1" s="157"/>
    <row r="496" ht="15.75" customHeight="1" s="157"/>
    <row r="497" ht="15.75" customHeight="1" s="157"/>
    <row r="498" ht="15.75" customHeight="1" s="157"/>
    <row r="499" ht="15.75" customHeight="1" s="157"/>
    <row r="500" ht="15.75" customHeight="1" s="157"/>
    <row r="501" ht="15.75" customHeight="1" s="157"/>
    <row r="502" ht="15.75" customHeight="1" s="157"/>
    <row r="503" ht="15.75" customHeight="1" s="157"/>
    <row r="504" ht="15.75" customHeight="1" s="157"/>
    <row r="505" ht="15.75" customHeight="1" s="157"/>
    <row r="506" ht="15.75" customHeight="1" s="157"/>
    <row r="507" ht="15.75" customHeight="1" s="157"/>
    <row r="508" ht="15.75" customHeight="1" s="157"/>
    <row r="509" ht="15.75" customHeight="1" s="157"/>
    <row r="510" ht="15.75" customHeight="1" s="157"/>
    <row r="511" ht="15.75" customHeight="1" s="157"/>
    <row r="512" ht="15.75" customHeight="1" s="157"/>
    <row r="513" ht="15.75" customHeight="1" s="157"/>
    <row r="514" ht="15.75" customHeight="1" s="157"/>
    <row r="515" ht="15.75" customHeight="1" s="157"/>
    <row r="516" ht="15.75" customHeight="1" s="157"/>
    <row r="517" ht="15.75" customHeight="1" s="157"/>
    <row r="518" ht="15.75" customHeight="1" s="157"/>
    <row r="519" ht="15.75" customHeight="1" s="157"/>
    <row r="520" ht="15.75" customHeight="1" s="157"/>
    <row r="521" ht="15.75" customHeight="1" s="157"/>
    <row r="522" ht="15.75" customHeight="1" s="157"/>
    <row r="523" ht="15.75" customHeight="1" s="157"/>
    <row r="524" ht="15.75" customHeight="1" s="157"/>
    <row r="525" ht="15.75" customHeight="1" s="157"/>
    <row r="526" ht="15.75" customHeight="1" s="157"/>
    <row r="527" ht="15.75" customHeight="1" s="157"/>
    <row r="528" ht="15.75" customHeight="1" s="157"/>
    <row r="529" ht="15.75" customHeight="1" s="157"/>
    <row r="530" ht="15.75" customHeight="1" s="157"/>
    <row r="531" ht="15.75" customHeight="1" s="157"/>
    <row r="532" ht="15.75" customHeight="1" s="157"/>
    <row r="533" ht="15.75" customHeight="1" s="157"/>
    <row r="534" ht="15.75" customHeight="1" s="157"/>
    <row r="535" ht="15.75" customHeight="1" s="157"/>
    <row r="536" ht="15.75" customHeight="1" s="157"/>
    <row r="537" ht="15.75" customHeight="1" s="157"/>
    <row r="538" ht="15.75" customHeight="1" s="157"/>
    <row r="539" ht="15.75" customHeight="1" s="157"/>
    <row r="540" ht="15.75" customHeight="1" s="157"/>
    <row r="541" ht="15.75" customHeight="1" s="157"/>
    <row r="542" ht="15.75" customHeight="1" s="157"/>
    <row r="543" ht="15.75" customHeight="1" s="157"/>
    <row r="544" ht="15.75" customHeight="1" s="157"/>
    <row r="545" ht="15.75" customHeight="1" s="157"/>
    <row r="546" ht="15.75" customHeight="1" s="157"/>
    <row r="547" ht="15.75" customHeight="1" s="157"/>
    <row r="548" ht="15.75" customHeight="1" s="157"/>
    <row r="549" ht="15.75" customHeight="1" s="157"/>
    <row r="550" ht="15.75" customHeight="1" s="157"/>
    <row r="551" ht="15.75" customHeight="1" s="157"/>
    <row r="552" ht="15.75" customHeight="1" s="157"/>
    <row r="553" ht="15.75" customHeight="1" s="157"/>
    <row r="554" ht="15.75" customHeight="1" s="157"/>
    <row r="555" ht="15.75" customHeight="1" s="157"/>
    <row r="556" ht="15.75" customHeight="1" s="157"/>
    <row r="557" ht="15.75" customHeight="1" s="157"/>
    <row r="558" ht="15.75" customHeight="1" s="157"/>
    <row r="559" ht="15.75" customHeight="1" s="157"/>
    <row r="560" ht="15.75" customHeight="1" s="157"/>
    <row r="561" ht="15.75" customHeight="1" s="157"/>
    <row r="562" ht="15.75" customHeight="1" s="157"/>
    <row r="563" ht="15.75" customHeight="1" s="157"/>
    <row r="564" ht="15.75" customHeight="1" s="157"/>
    <row r="565" ht="15.75" customHeight="1" s="157"/>
    <row r="566" ht="15.75" customHeight="1" s="157"/>
    <row r="567" ht="15.75" customHeight="1" s="157"/>
    <row r="568" ht="15.75" customHeight="1" s="157"/>
    <row r="569" ht="15.75" customHeight="1" s="157"/>
    <row r="570" ht="15.75" customHeight="1" s="157"/>
    <row r="571" ht="15.75" customHeight="1" s="157"/>
    <row r="572" ht="15.75" customHeight="1" s="157"/>
    <row r="573" ht="15.75" customHeight="1" s="157"/>
    <row r="574" ht="15.75" customHeight="1" s="157"/>
    <row r="575" ht="15.75" customHeight="1" s="157"/>
    <row r="576" ht="15.75" customHeight="1" s="157"/>
    <row r="577" ht="15.75" customHeight="1" s="157"/>
    <row r="578" ht="15.75" customHeight="1" s="157"/>
    <row r="579" ht="15.75" customHeight="1" s="157"/>
    <row r="580" ht="15.75" customHeight="1" s="157"/>
    <row r="581" ht="15.75" customHeight="1" s="157"/>
    <row r="582" ht="15.75" customHeight="1" s="157"/>
    <row r="583" ht="15.75" customHeight="1" s="157"/>
    <row r="584" ht="15.75" customHeight="1" s="157"/>
    <row r="585" ht="15.75" customHeight="1" s="157"/>
    <row r="586" ht="15.75" customHeight="1" s="157"/>
    <row r="587" ht="15.75" customHeight="1" s="157"/>
    <row r="588" ht="15.75" customHeight="1" s="157"/>
    <row r="589" ht="15.75" customHeight="1" s="157"/>
    <row r="590" ht="15.75" customHeight="1" s="157"/>
    <row r="591" ht="15.75" customHeight="1" s="157"/>
    <row r="592" ht="15.75" customHeight="1" s="157"/>
    <row r="593" ht="15.75" customHeight="1" s="157"/>
    <row r="594" ht="15.75" customHeight="1" s="157"/>
    <row r="595" ht="15.75" customHeight="1" s="157"/>
    <row r="596" ht="15.75" customHeight="1" s="157"/>
    <row r="597" ht="15.75" customHeight="1" s="157"/>
    <row r="598" ht="15.75" customHeight="1" s="157"/>
    <row r="599" ht="15.75" customHeight="1" s="157"/>
    <row r="600" ht="15.75" customHeight="1" s="157"/>
    <row r="601" ht="15.75" customHeight="1" s="157"/>
    <row r="602" ht="15.75" customHeight="1" s="157"/>
    <row r="603" ht="15.75" customHeight="1" s="157"/>
    <row r="604" ht="15.75" customHeight="1" s="157"/>
    <row r="605" ht="15.75" customHeight="1" s="157"/>
    <row r="606" ht="15.75" customHeight="1" s="157"/>
    <row r="607" ht="15.75" customHeight="1" s="157"/>
    <row r="608" ht="15.75" customHeight="1" s="157"/>
    <row r="609" ht="15.75" customHeight="1" s="157"/>
    <row r="610" ht="15.75" customHeight="1" s="157"/>
    <row r="611" ht="15.75" customHeight="1" s="157"/>
    <row r="612" ht="15.75" customHeight="1" s="157"/>
    <row r="613" ht="15.75" customHeight="1" s="157"/>
    <row r="614" ht="15.75" customHeight="1" s="157"/>
    <row r="615" ht="15.75" customHeight="1" s="157"/>
    <row r="616" ht="15.75" customHeight="1" s="157"/>
    <row r="617" ht="15.75" customHeight="1" s="157"/>
    <row r="618" ht="15.75" customHeight="1" s="157"/>
    <row r="619" ht="15.75" customHeight="1" s="157"/>
    <row r="620" ht="15.75" customHeight="1" s="157"/>
    <row r="621" ht="15.75" customHeight="1" s="157"/>
    <row r="622" ht="15.75" customHeight="1" s="157"/>
    <row r="623" ht="15.75" customHeight="1" s="157"/>
    <row r="624" ht="15.75" customHeight="1" s="157"/>
    <row r="625" ht="15.75" customHeight="1" s="157"/>
    <row r="626" ht="15.75" customHeight="1" s="157"/>
    <row r="627" ht="15.75" customHeight="1" s="157"/>
    <row r="628" ht="15.75" customHeight="1" s="157"/>
    <row r="629" ht="15.75" customHeight="1" s="157"/>
    <row r="630" ht="15.75" customHeight="1" s="157"/>
    <row r="631" ht="15.75" customHeight="1" s="157"/>
    <row r="632" ht="15.75" customHeight="1" s="157"/>
    <row r="633" ht="15.75" customHeight="1" s="157"/>
    <row r="634" ht="15.75" customHeight="1" s="157"/>
    <row r="635" ht="15.75" customHeight="1" s="157"/>
    <row r="636" ht="15.75" customHeight="1" s="157"/>
    <row r="637" ht="15.75" customHeight="1" s="157"/>
    <row r="638" ht="15.75" customHeight="1" s="157"/>
    <row r="639" ht="15.75" customHeight="1" s="157"/>
    <row r="640" ht="15.75" customHeight="1" s="157"/>
    <row r="641" ht="15.75" customHeight="1" s="157"/>
    <row r="642" ht="15.75" customHeight="1" s="157"/>
    <row r="643" ht="15.75" customHeight="1" s="157"/>
    <row r="644" ht="15.75" customHeight="1" s="157"/>
    <row r="645" ht="15.75" customHeight="1" s="157"/>
    <row r="646" ht="15.75" customHeight="1" s="157"/>
    <row r="647" ht="15.75" customHeight="1" s="157"/>
    <row r="648" ht="15.75" customHeight="1" s="157"/>
    <row r="649" ht="15.75" customHeight="1" s="157"/>
    <row r="650" ht="15.75" customHeight="1" s="157"/>
    <row r="651" ht="15.75" customHeight="1" s="157"/>
    <row r="652" ht="15.75" customHeight="1" s="157"/>
    <row r="653" ht="15.75" customHeight="1" s="157"/>
    <row r="654" ht="15.75" customHeight="1" s="157"/>
    <row r="655" ht="15.75" customHeight="1" s="157"/>
    <row r="656" ht="15.75" customHeight="1" s="157"/>
    <row r="657" ht="15.75" customHeight="1" s="157"/>
    <row r="658" ht="15.75" customHeight="1" s="157"/>
    <row r="659" ht="15.75" customHeight="1" s="157"/>
    <row r="660" ht="15.75" customHeight="1" s="157"/>
    <row r="661" ht="15.75" customHeight="1" s="157"/>
    <row r="662" ht="15.75" customHeight="1" s="157"/>
    <row r="663" ht="15.75" customHeight="1" s="157"/>
    <row r="664" ht="15.75" customHeight="1" s="157"/>
    <row r="665" ht="15.75" customHeight="1" s="157"/>
    <row r="666" ht="15.75" customHeight="1" s="157"/>
    <row r="667" ht="15.75" customHeight="1" s="157"/>
    <row r="668" ht="15.75" customHeight="1" s="157"/>
    <row r="669" ht="15.75" customHeight="1" s="157"/>
    <row r="670" ht="15.75" customHeight="1" s="157"/>
    <row r="671" ht="15.75" customHeight="1" s="157"/>
    <row r="672" ht="15.75" customHeight="1" s="157"/>
    <row r="673" ht="15.75" customHeight="1" s="157"/>
    <row r="674" ht="15.75" customHeight="1" s="157"/>
    <row r="675" ht="15.75" customHeight="1" s="157"/>
    <row r="676" ht="15.75" customHeight="1" s="157"/>
    <row r="677" ht="15.75" customHeight="1" s="157"/>
    <row r="678" ht="15.75" customHeight="1" s="157"/>
    <row r="679" ht="15.75" customHeight="1" s="157"/>
    <row r="680" ht="15.75" customHeight="1" s="157"/>
    <row r="681" ht="15.75" customHeight="1" s="157"/>
    <row r="682" ht="15.75" customHeight="1" s="157"/>
    <row r="683" ht="15.75" customHeight="1" s="157"/>
    <row r="684" ht="15.75" customHeight="1" s="157"/>
    <row r="685" ht="15.75" customHeight="1" s="157"/>
    <row r="686" ht="15.75" customHeight="1" s="157"/>
    <row r="687" ht="15.75" customHeight="1" s="157"/>
    <row r="688" ht="15.75" customHeight="1" s="157"/>
    <row r="689" ht="15.75" customHeight="1" s="157"/>
    <row r="690" ht="15.75" customHeight="1" s="157"/>
    <row r="691" ht="15.75" customHeight="1" s="157"/>
    <row r="692" ht="15.75" customHeight="1" s="157"/>
    <row r="693" ht="15.75" customHeight="1" s="157"/>
    <row r="694" ht="15.75" customHeight="1" s="157"/>
    <row r="695" ht="15.75" customHeight="1" s="157"/>
    <row r="696" ht="15.75" customHeight="1" s="157"/>
    <row r="697" ht="15.75" customHeight="1" s="157"/>
    <row r="698" ht="15.75" customHeight="1" s="157"/>
    <row r="699" ht="15.75" customHeight="1" s="157"/>
    <row r="700" ht="15.75" customHeight="1" s="157"/>
    <row r="701" ht="15.75" customHeight="1" s="157"/>
    <row r="702" ht="15.75" customHeight="1" s="157"/>
    <row r="703" ht="15.75" customHeight="1" s="157"/>
    <row r="704" ht="15.75" customHeight="1" s="157"/>
    <row r="705" ht="15.75" customHeight="1" s="157"/>
    <row r="706" ht="15.75" customHeight="1" s="157"/>
    <row r="707" ht="15.75" customHeight="1" s="157"/>
    <row r="708" ht="15.75" customHeight="1" s="157"/>
    <row r="709" ht="15.75" customHeight="1" s="157"/>
    <row r="710" ht="15.75" customHeight="1" s="157"/>
    <row r="711" ht="15.75" customHeight="1" s="157"/>
    <row r="712" ht="15.75" customHeight="1" s="157"/>
    <row r="713" ht="15.75" customHeight="1" s="157"/>
    <row r="714" ht="15.75" customHeight="1" s="157"/>
    <row r="715" ht="15.75" customHeight="1" s="157"/>
    <row r="716" ht="15.75" customHeight="1" s="157"/>
    <row r="717" ht="15.75" customHeight="1" s="157"/>
    <row r="718" ht="15.75" customHeight="1" s="157"/>
    <row r="719" ht="15.75" customHeight="1" s="157"/>
    <row r="720" ht="15.75" customHeight="1" s="157"/>
    <row r="721" ht="15.75" customHeight="1" s="157"/>
    <row r="722" ht="15.75" customHeight="1" s="157"/>
    <row r="723" ht="15.75" customHeight="1" s="157"/>
    <row r="724" ht="15.75" customHeight="1" s="157"/>
    <row r="725" ht="15.75" customHeight="1" s="157"/>
    <row r="726" ht="15.75" customHeight="1" s="157"/>
    <row r="727" ht="15.75" customHeight="1" s="157"/>
    <row r="728" ht="15.75" customHeight="1" s="157"/>
    <row r="729" ht="15.75" customHeight="1" s="157"/>
    <row r="730" ht="15.75" customHeight="1" s="157"/>
    <row r="731" ht="15.75" customHeight="1" s="157"/>
    <row r="732" ht="15.75" customHeight="1" s="157"/>
    <row r="733" ht="15.75" customHeight="1" s="157"/>
    <row r="734" ht="15.75" customHeight="1" s="157"/>
    <row r="735" ht="15.75" customHeight="1" s="157"/>
    <row r="736" ht="15.75" customHeight="1" s="157"/>
    <row r="737" ht="15.75" customHeight="1" s="157"/>
    <row r="738" ht="15.75" customHeight="1" s="157"/>
    <row r="739" ht="15.75" customHeight="1" s="157"/>
    <row r="740" ht="15.75" customHeight="1" s="157"/>
    <row r="741" ht="15.75" customHeight="1" s="157"/>
    <row r="742" ht="15.75" customHeight="1" s="157"/>
    <row r="743" ht="15.75" customHeight="1" s="157"/>
    <row r="744" ht="15.75" customHeight="1" s="157"/>
    <row r="745" ht="15.75" customHeight="1" s="157"/>
    <row r="746" ht="15.75" customHeight="1" s="157"/>
    <row r="747" ht="15.75" customHeight="1" s="157"/>
    <row r="748" ht="15.75" customHeight="1" s="157"/>
    <row r="749" ht="15.75" customHeight="1" s="157"/>
    <row r="750" ht="15.75" customHeight="1" s="157"/>
    <row r="751" ht="15.75" customHeight="1" s="157"/>
    <row r="752" ht="15.75" customHeight="1" s="157"/>
    <row r="753" ht="15.75" customHeight="1" s="157"/>
    <row r="754" ht="15.75" customHeight="1" s="157"/>
    <row r="755" ht="15.75" customHeight="1" s="157"/>
    <row r="756" ht="15.75" customHeight="1" s="157"/>
    <row r="757" ht="15.75" customHeight="1" s="157"/>
    <row r="758" ht="15.75" customHeight="1" s="157"/>
    <row r="759" ht="15.75" customHeight="1" s="157"/>
    <row r="760" ht="15.75" customHeight="1" s="157"/>
    <row r="761" ht="15.75" customHeight="1" s="157"/>
    <row r="762" ht="15.75" customHeight="1" s="157"/>
    <row r="763" ht="15.75" customHeight="1" s="157"/>
    <row r="764" ht="15.75" customHeight="1" s="157"/>
    <row r="765" ht="15.75" customHeight="1" s="157"/>
    <row r="766" ht="15.75" customHeight="1" s="157"/>
    <row r="767" ht="15.75" customHeight="1" s="157"/>
    <row r="768" ht="15.75" customHeight="1" s="157"/>
    <row r="769" ht="15.75" customHeight="1" s="157"/>
    <row r="770" ht="15.75" customHeight="1" s="157"/>
    <row r="771" ht="15.75" customHeight="1" s="157"/>
    <row r="772" ht="15.75" customHeight="1" s="157"/>
    <row r="773" ht="15.75" customHeight="1" s="157"/>
    <row r="774" ht="15.75" customHeight="1" s="157"/>
    <row r="775" ht="15.75" customHeight="1" s="157"/>
    <row r="776" ht="15.75" customHeight="1" s="157"/>
    <row r="777" ht="15.75" customHeight="1" s="157"/>
    <row r="778" ht="15.75" customHeight="1" s="157"/>
    <row r="779" ht="15.75" customHeight="1" s="157"/>
    <row r="780" ht="15.75" customHeight="1" s="157"/>
    <row r="781" ht="15.75" customHeight="1" s="157"/>
    <row r="782" ht="15.75" customHeight="1" s="157"/>
    <row r="783" ht="15.75" customHeight="1" s="157"/>
    <row r="784" ht="15.75" customHeight="1" s="157"/>
    <row r="785" ht="15.75" customHeight="1" s="157"/>
    <row r="786" ht="15.75" customHeight="1" s="157"/>
    <row r="787" ht="15.75" customHeight="1" s="157"/>
    <row r="788" ht="15.75" customHeight="1" s="157"/>
    <row r="789" ht="15.75" customHeight="1" s="157"/>
    <row r="790" ht="15.75" customHeight="1" s="157"/>
    <row r="791" ht="15.75" customHeight="1" s="157"/>
    <row r="792" ht="15.75" customHeight="1" s="157"/>
    <row r="793" ht="15.75" customHeight="1" s="157"/>
    <row r="794" ht="15.75" customHeight="1" s="157"/>
    <row r="795" ht="15.75" customHeight="1" s="157"/>
    <row r="796" ht="15.75" customHeight="1" s="157"/>
    <row r="797" ht="15.75" customHeight="1" s="157"/>
    <row r="798" ht="15.75" customHeight="1" s="157"/>
    <row r="799" ht="15.75" customHeight="1" s="157"/>
    <row r="800" ht="15.75" customHeight="1" s="157"/>
    <row r="801" ht="15.75" customHeight="1" s="157"/>
    <row r="802" ht="15.75" customHeight="1" s="157"/>
    <row r="803" ht="15.75" customHeight="1" s="157"/>
    <row r="804" ht="15.75" customHeight="1" s="157"/>
    <row r="805" ht="15.75" customHeight="1" s="157"/>
    <row r="806" ht="15.75" customHeight="1" s="157"/>
    <row r="807" ht="15.75" customHeight="1" s="157"/>
    <row r="808" ht="15.75" customHeight="1" s="157"/>
    <row r="809" ht="15.75" customHeight="1" s="157"/>
    <row r="810" ht="15.75" customHeight="1" s="157"/>
    <row r="811" ht="15.75" customHeight="1" s="157"/>
    <row r="812" ht="15.75" customHeight="1" s="157"/>
    <row r="813" ht="15.75" customHeight="1" s="157"/>
    <row r="814" ht="15.75" customHeight="1" s="157"/>
    <row r="815" ht="15.75" customHeight="1" s="157"/>
    <row r="816" ht="15.75" customHeight="1" s="157"/>
    <row r="817" ht="15.75" customHeight="1" s="157"/>
    <row r="818" ht="15.75" customHeight="1" s="157"/>
    <row r="819" ht="15.75" customHeight="1" s="157"/>
    <row r="820" ht="15.75" customHeight="1" s="157"/>
    <row r="821" ht="15.75" customHeight="1" s="157"/>
    <row r="822" ht="15.75" customHeight="1" s="157"/>
    <row r="823" ht="15.75" customHeight="1" s="157"/>
    <row r="824" ht="15.75" customHeight="1" s="157"/>
    <row r="825" ht="15.75" customHeight="1" s="157"/>
    <row r="826" ht="15.75" customHeight="1" s="157"/>
    <row r="827" ht="15.75" customHeight="1" s="157"/>
    <row r="828" ht="15.75" customHeight="1" s="157"/>
    <row r="829" ht="15.75" customHeight="1" s="157"/>
    <row r="830" ht="15.75" customHeight="1" s="157"/>
    <row r="831" ht="15.75" customHeight="1" s="157"/>
    <row r="832" ht="15.75" customHeight="1" s="157"/>
    <row r="833" ht="15.75" customHeight="1" s="157"/>
    <row r="834" ht="15.75" customHeight="1" s="157"/>
    <row r="835" ht="15.75" customHeight="1" s="157"/>
    <row r="836" ht="15.75" customHeight="1" s="157"/>
    <row r="837" ht="15.75" customHeight="1" s="157"/>
    <row r="838" ht="15.75" customHeight="1" s="157"/>
    <row r="839" ht="15.75" customHeight="1" s="157"/>
    <row r="840" ht="15.75" customHeight="1" s="157"/>
    <row r="841" ht="15.75" customHeight="1" s="157"/>
    <row r="842" ht="15.75" customHeight="1" s="157"/>
    <row r="843" ht="15.75" customHeight="1" s="157"/>
    <row r="844" ht="15.75" customHeight="1" s="157"/>
    <row r="845" ht="15.75" customHeight="1" s="157"/>
    <row r="846" ht="15.75" customHeight="1" s="157"/>
    <row r="847" ht="15.75" customHeight="1" s="157"/>
    <row r="848" ht="15.75" customHeight="1" s="157"/>
    <row r="849" ht="15.75" customHeight="1" s="157"/>
    <row r="850" ht="15.75" customHeight="1" s="157"/>
    <row r="851" ht="15.75" customHeight="1" s="157"/>
    <row r="852" ht="15.75" customHeight="1" s="157"/>
    <row r="853" ht="15.75" customHeight="1" s="157"/>
    <row r="854" ht="15.75" customHeight="1" s="157"/>
    <row r="855" ht="15.75" customHeight="1" s="157"/>
    <row r="856" ht="15.75" customHeight="1" s="157"/>
    <row r="857" ht="15.75" customHeight="1" s="157"/>
    <row r="858" ht="15.75" customHeight="1" s="157"/>
    <row r="859" ht="15.75" customHeight="1" s="157"/>
    <row r="860" ht="15.75" customHeight="1" s="157"/>
    <row r="861" ht="15.75" customHeight="1" s="157"/>
    <row r="862" ht="15.75" customHeight="1" s="157"/>
    <row r="863" ht="15.75" customHeight="1" s="157"/>
    <row r="864" ht="15.75" customHeight="1" s="157"/>
    <row r="865" ht="15.75" customHeight="1" s="157"/>
    <row r="866" ht="15.75" customHeight="1" s="157"/>
    <row r="867" ht="15.75" customHeight="1" s="157"/>
    <row r="868" ht="15.75" customHeight="1" s="157"/>
    <row r="869" ht="15.75" customHeight="1" s="157"/>
    <row r="870" ht="15.75" customHeight="1" s="157"/>
    <row r="871" ht="15.75" customHeight="1" s="157"/>
    <row r="872" ht="15.75" customHeight="1" s="157"/>
    <row r="873" ht="15.75" customHeight="1" s="157"/>
    <row r="874" ht="15.75" customHeight="1" s="157"/>
    <row r="875" ht="15.75" customHeight="1" s="157"/>
    <row r="876" ht="15.75" customHeight="1" s="157"/>
    <row r="877" ht="15.75" customHeight="1" s="157"/>
    <row r="878" ht="15.75" customHeight="1" s="157"/>
    <row r="879" ht="15.75" customHeight="1" s="157"/>
    <row r="880" ht="15.75" customHeight="1" s="157"/>
    <row r="881" ht="15.75" customHeight="1" s="157"/>
    <row r="882" ht="15.75" customHeight="1" s="157"/>
    <row r="883" ht="15.75" customHeight="1" s="157"/>
    <row r="884" ht="15.75" customHeight="1" s="157"/>
    <row r="885" ht="15.75" customHeight="1" s="157"/>
    <row r="886" ht="15.75" customHeight="1" s="157"/>
    <row r="887" ht="15.75" customHeight="1" s="157"/>
    <row r="888" ht="15.75" customHeight="1" s="157"/>
    <row r="889" ht="15.75" customHeight="1" s="157"/>
    <row r="890" ht="15.75" customHeight="1" s="157"/>
    <row r="891" ht="15.75" customHeight="1" s="157"/>
    <row r="892" ht="15.75" customHeight="1" s="157"/>
    <row r="893" ht="15.75" customHeight="1" s="157"/>
    <row r="894" ht="15.75" customHeight="1" s="157"/>
    <row r="895" ht="15.75" customHeight="1" s="157"/>
    <row r="896" ht="15.75" customHeight="1" s="157"/>
    <row r="897" ht="15.75" customHeight="1" s="157"/>
    <row r="898" ht="15.75" customHeight="1" s="157"/>
    <row r="899" ht="15.75" customHeight="1" s="157"/>
    <row r="900" ht="15.75" customHeight="1" s="157"/>
    <row r="901" ht="15.75" customHeight="1" s="157"/>
    <row r="902" ht="15.75" customHeight="1" s="157"/>
    <row r="903" ht="15.75" customHeight="1" s="157"/>
    <row r="904" ht="15.75" customHeight="1" s="157"/>
    <row r="905" ht="15.75" customHeight="1" s="157"/>
    <row r="906" ht="15.75" customHeight="1" s="157"/>
    <row r="907" ht="15.75" customHeight="1" s="157"/>
    <row r="908" ht="15.75" customHeight="1" s="157"/>
    <row r="909" ht="15.75" customHeight="1" s="157"/>
    <row r="910" ht="15.75" customHeight="1" s="157"/>
    <row r="911" ht="15.75" customHeight="1" s="157"/>
    <row r="912" ht="15.75" customHeight="1" s="157"/>
    <row r="913" ht="15.75" customHeight="1" s="157"/>
    <row r="914" ht="15.75" customHeight="1" s="157"/>
    <row r="915" ht="15.75" customHeight="1" s="157"/>
    <row r="916" ht="15.75" customHeight="1" s="157"/>
    <row r="917" ht="15.75" customHeight="1" s="157"/>
    <row r="918" ht="15.75" customHeight="1" s="157"/>
    <row r="919" ht="15.75" customHeight="1" s="157"/>
    <row r="920" ht="15.75" customHeight="1" s="157"/>
    <row r="921" ht="15.75" customHeight="1" s="157"/>
    <row r="922" ht="15.75" customHeight="1" s="157"/>
    <row r="923" ht="15.75" customHeight="1" s="157"/>
    <row r="924" ht="15.75" customHeight="1" s="157"/>
    <row r="925" ht="15.75" customHeight="1" s="157"/>
    <row r="926" ht="15.75" customHeight="1" s="157"/>
    <row r="927" ht="15.75" customHeight="1" s="157"/>
    <row r="928" ht="15.75" customHeight="1" s="157"/>
    <row r="929" ht="15.75" customHeight="1" s="157"/>
    <row r="930" ht="15.75" customHeight="1" s="157"/>
    <row r="931" ht="15.75" customHeight="1" s="157"/>
    <row r="932" ht="15.75" customHeight="1" s="157"/>
    <row r="933" ht="15.75" customHeight="1" s="157"/>
    <row r="934" ht="15.75" customHeight="1" s="157"/>
    <row r="935" ht="15.75" customHeight="1" s="157"/>
    <row r="936" ht="15.75" customHeight="1" s="157"/>
    <row r="937" ht="15.75" customHeight="1" s="157"/>
    <row r="938" ht="15.75" customHeight="1" s="157"/>
    <row r="939" ht="15.75" customHeight="1" s="157"/>
    <row r="940" ht="15.75" customHeight="1" s="157"/>
    <row r="941" ht="15.75" customHeight="1" s="157"/>
    <row r="942" ht="15.75" customHeight="1" s="157"/>
    <row r="943" ht="15.75" customHeight="1" s="157"/>
    <row r="944" ht="15.75" customHeight="1" s="157"/>
    <row r="945" ht="15.75" customHeight="1" s="157"/>
    <row r="946" ht="15.75" customHeight="1" s="157"/>
    <row r="947" ht="15.75" customHeight="1" s="157"/>
    <row r="948" ht="15.75" customHeight="1" s="157"/>
    <row r="949" ht="15.75" customHeight="1" s="157"/>
    <row r="950" ht="15.75" customHeight="1" s="157"/>
    <row r="951" ht="15.75" customHeight="1" s="157"/>
    <row r="952" ht="15.75" customHeight="1" s="157"/>
    <row r="953" ht="15.75" customHeight="1" s="157"/>
    <row r="954" ht="15.75" customHeight="1" s="157"/>
    <row r="955" ht="15.75" customHeight="1" s="157"/>
    <row r="956" ht="15.75" customHeight="1" s="157"/>
    <row r="957" ht="15.75" customHeight="1" s="157"/>
    <row r="958" ht="15.75" customHeight="1" s="157"/>
    <row r="959" ht="15.75" customHeight="1" s="157"/>
    <row r="960" ht="15.75" customHeight="1" s="157"/>
    <row r="961" ht="15.75" customHeight="1" s="157"/>
    <row r="962" ht="15.75" customHeight="1" s="157"/>
    <row r="963" ht="15.75" customHeight="1" s="157"/>
    <row r="964" ht="15.75" customHeight="1" s="157"/>
    <row r="965" ht="15.75" customHeight="1" s="157"/>
    <row r="966" ht="15.75" customHeight="1" s="157"/>
    <row r="967" ht="15.75" customHeight="1" s="157"/>
    <row r="968" ht="15.75" customHeight="1" s="157"/>
    <row r="969" ht="15.75" customHeight="1" s="157"/>
    <row r="970" ht="15.75" customHeight="1" s="157"/>
    <row r="971" ht="15.75" customHeight="1" s="157"/>
    <row r="972" ht="15.75" customHeight="1" s="157"/>
    <row r="973" ht="15.75" customHeight="1" s="157"/>
    <row r="974" ht="15.75" customHeight="1" s="157"/>
    <row r="975" ht="15.75" customHeight="1" s="157"/>
    <row r="976" ht="15.75" customHeight="1" s="157"/>
    <row r="977" ht="15.75" customHeight="1" s="157"/>
    <row r="978" ht="15.75" customHeight="1" s="157"/>
    <row r="979" ht="15.75" customHeight="1" s="157"/>
    <row r="980" ht="15.75" customHeight="1" s="157"/>
    <row r="981" ht="15.75" customHeight="1" s="157"/>
    <row r="982" ht="15.75" customHeight="1" s="157"/>
    <row r="983" ht="15.75" customHeight="1" s="157"/>
    <row r="984" ht="15.75" customHeight="1" s="157"/>
    <row r="985" ht="15.75" customHeight="1" s="157"/>
    <row r="986" ht="15.75" customHeight="1" s="157"/>
    <row r="987" ht="15.75" customHeight="1" s="157"/>
    <row r="988" ht="15.75" customHeight="1" s="157"/>
    <row r="989" ht="15.75" customHeight="1" s="157"/>
    <row r="990" ht="15.75" customHeight="1" s="157"/>
    <row r="991" ht="15.75" customHeight="1" s="157"/>
    <row r="992" ht="15.75" customHeight="1" s="157"/>
    <row r="993" ht="15.75" customHeight="1" s="157"/>
    <row r="994" ht="15.75" customHeight="1" s="157"/>
    <row r="995" ht="15.75" customHeight="1" s="157"/>
    <row r="996" ht="15.75" customHeight="1" s="157"/>
    <row r="997" ht="15.75" customHeight="1" s="157"/>
    <row r="998" ht="15.75" customHeight="1" s="157"/>
    <row r="999" ht="15.75" customHeight="1" s="157"/>
    <row r="1000" ht="15.75" customHeight="1" s="157"/>
  </sheetData>
  <mergeCells count="68">
    <mergeCell ref="N43:V43"/>
    <mergeCell ref="F24:K24"/>
    <mergeCell ref="F44:M44"/>
    <mergeCell ref="F29:M29"/>
    <mergeCell ref="N42:V42"/>
    <mergeCell ref="N33:V33"/>
    <mergeCell ref="F26:K26"/>
    <mergeCell ref="F34:M34"/>
    <mergeCell ref="B6:K6"/>
    <mergeCell ref="N39:V39"/>
    <mergeCell ref="F19:V19"/>
    <mergeCell ref="A21:E22"/>
    <mergeCell ref="N44:V44"/>
    <mergeCell ref="T2:V2"/>
    <mergeCell ref="F40:M40"/>
    <mergeCell ref="N29:V29"/>
    <mergeCell ref="A38:V38"/>
    <mergeCell ref="A28:V28"/>
    <mergeCell ref="A2:B5"/>
    <mergeCell ref="F30:M30"/>
    <mergeCell ref="A23:E24"/>
    <mergeCell ref="F22:K22"/>
    <mergeCell ref="C2:S5"/>
    <mergeCell ref="F21:V21"/>
    <mergeCell ref="F27:K27"/>
    <mergeCell ref="F33:M33"/>
    <mergeCell ref="L24:V24"/>
    <mergeCell ref="F20:V20"/>
    <mergeCell ref="F36:M36"/>
    <mergeCell ref="N31:V31"/>
    <mergeCell ref="F42:M42"/>
    <mergeCell ref="N40:V40"/>
    <mergeCell ref="A18:E18"/>
    <mergeCell ref="F18:V18"/>
    <mergeCell ref="F35:M35"/>
    <mergeCell ref="N30:V30"/>
    <mergeCell ref="F32:M32"/>
    <mergeCell ref="N34:V34"/>
    <mergeCell ref="A29:E34"/>
    <mergeCell ref="A25:E27"/>
    <mergeCell ref="A39:E40"/>
    <mergeCell ref="L26:V26"/>
    <mergeCell ref="F17:V17"/>
    <mergeCell ref="A14:V15"/>
    <mergeCell ref="A45:V45"/>
    <mergeCell ref="A42:E44"/>
    <mergeCell ref="F23:V23"/>
    <mergeCell ref="N36:V36"/>
    <mergeCell ref="L25:V25"/>
    <mergeCell ref="F31:M31"/>
    <mergeCell ref="A17:E17"/>
    <mergeCell ref="N35:V35"/>
    <mergeCell ref="A16:V16"/>
    <mergeCell ref="L22:V22"/>
    <mergeCell ref="F43:M43"/>
    <mergeCell ref="F25:K25"/>
    <mergeCell ref="A41:V41"/>
    <mergeCell ref="T5:V5"/>
    <mergeCell ref="A20:E20"/>
    <mergeCell ref="N32:V32"/>
    <mergeCell ref="F37:M37"/>
    <mergeCell ref="F39:M39"/>
    <mergeCell ref="A46:V46"/>
    <mergeCell ref="A19:E19"/>
    <mergeCell ref="N37:V37"/>
    <mergeCell ref="L27:V27"/>
    <mergeCell ref="A35:E37"/>
    <mergeCell ref="T3:V4"/>
  </mergeCells>
  <dataValidations count="2">
    <dataValidation sqref="A46" showDropDown="0" showInputMessage="1" showErrorMessage="1" allowBlank="1" prompt="El texto debe ser máximo de 150 palabras." type="custom">
      <formula1>LT(LEN(A46),(2400))</formula1>
    </dataValidation>
    <dataValidation sqref="N40" showDropDown="0" showInputMessage="1" showErrorMessage="1" allowBlank="1" prompt="La fecha de entrada en operación comercial debe ser posterior a la fecha de inicio de construcción_x000a_" type="date" operator="greaterThanOrEqual">
      <formula1>N39</formula1>
    </dataValidation>
  </dataValidations>
  <pageMargins left="0.511811023622047" right="0.62992125984252" top="1.02362204724409" bottom="1.10236220472441" header="0" footer="0"/>
  <pageSetup orientation="portrait" fitToHeight="0"/>
  <headerFooter>
    <oddHeader/>
    <oddFooter>&amp;LF-DE-012 V3 &amp;R 15/07/2024</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fitToPage="1"/>
  </sheetPr>
  <dimension ref="A1:AB54"/>
  <sheetViews>
    <sheetView showGridLines="0" tabSelected="1" topLeftCell="G20" zoomScale="60" zoomScaleNormal="60" workbookViewId="0">
      <selection activeCell="G27" sqref="G27"/>
    </sheetView>
  </sheetViews>
  <sheetFormatPr baseColWidth="8" defaultColWidth="14.453125" defaultRowHeight="15" customHeight="1"/>
  <cols>
    <col width="10.7265625" customWidth="1" style="157" min="1" max="1"/>
    <col width="63.81640625" customWidth="1" style="157" min="2" max="2"/>
    <col width="20.81640625" customWidth="1" style="157" min="3" max="3"/>
    <col width="12.54296875" customWidth="1" style="157" min="4" max="4"/>
    <col width="18.54296875" customWidth="1" style="157" min="5" max="5"/>
    <col width="23.453125" customWidth="1" style="157" min="6" max="6"/>
    <col width="23.1796875" customWidth="1" style="157" min="7" max="7"/>
    <col width="41.81640625" customWidth="1" style="157" min="8" max="8"/>
    <col width="18.453125" customWidth="1" style="157" min="9" max="9"/>
    <col width="22.7265625" customWidth="1" style="157" min="10" max="10"/>
    <col width="20.81640625" customWidth="1" style="157" min="11" max="11"/>
    <col width="20.26953125" customWidth="1" style="157" min="12" max="12"/>
    <col width="41.6328125" customWidth="1" style="157" min="13" max="13"/>
    <col width="32.26953125" customWidth="1" style="157" min="14" max="14"/>
    <col width="36.1796875" customWidth="1" style="157" min="15" max="15"/>
    <col width="22" customWidth="1" style="157" min="16" max="28"/>
  </cols>
  <sheetData>
    <row r="1" ht="14.25" customHeight="1" s="157">
      <c r="A1" s="18" t="n"/>
      <c r="B1" s="1" t="n"/>
      <c r="C1" s="1" t="n"/>
      <c r="D1" s="18" t="n"/>
      <c r="E1" s="18" t="n"/>
      <c r="F1" s="1" t="n"/>
      <c r="G1" s="1" t="n"/>
      <c r="H1" s="1" t="n"/>
      <c r="I1" s="1" t="n"/>
      <c r="J1" s="1" t="n"/>
      <c r="K1" s="18" t="n"/>
      <c r="L1" s="19" t="n"/>
      <c r="M1" s="1" t="n"/>
      <c r="N1" s="1" t="n"/>
      <c r="O1" s="1" t="n"/>
      <c r="P1" s="1" t="n"/>
      <c r="Q1" s="1" t="n"/>
      <c r="R1" s="1" t="n"/>
      <c r="S1" s="1" t="n"/>
      <c r="T1" s="1" t="n"/>
      <c r="U1" s="1" t="n"/>
      <c r="V1" s="1" t="n"/>
      <c r="W1" s="1" t="n"/>
      <c r="X1" s="1" t="n"/>
      <c r="Y1" s="1" t="n"/>
      <c r="Z1" s="1" t="n"/>
      <c r="AA1" s="1" t="n"/>
      <c r="AB1" s="1" t="n"/>
    </row>
    <row r="2" ht="27.75" customHeight="1" s="157">
      <c r="A2" s="267" t="n"/>
      <c r="B2" s="145" t="n"/>
      <c r="C2" s="266" t="inlineStr">
        <is>
          <t>FORMATO
SOLICITUD DE INCENTIVOS TRIBUTARIOS
PARA PROYECTOS DE FNCE
EXCLUSIÓN DE IVA, DEDUCCIÓN EN RENTA
EXENCIÓN DE ARANCEL Y DEPRECIACIÓN ACELERADA</t>
        </is>
      </c>
      <c r="D2" s="156" t="n"/>
      <c r="E2" s="156" t="n"/>
      <c r="F2" s="156" t="n"/>
      <c r="G2" s="156" t="n"/>
      <c r="H2" s="156" t="n"/>
      <c r="I2" s="156" t="n"/>
      <c r="J2" s="156" t="n"/>
      <c r="K2" s="156" t="n"/>
      <c r="L2" s="145" t="n"/>
      <c r="M2" s="20" t="inlineStr">
        <is>
          <t>Código: F-CT-01</t>
        </is>
      </c>
      <c r="N2" s="21" t="n"/>
      <c r="O2" s="21" t="n"/>
      <c r="P2" s="2" t="n"/>
      <c r="Q2" s="22" t="n"/>
      <c r="R2" s="22" t="n"/>
      <c r="S2" s="22" t="n"/>
      <c r="T2" s="2" t="n"/>
      <c r="U2" s="1" t="n"/>
      <c r="V2" s="1" t="n"/>
      <c r="W2" s="1" t="n"/>
      <c r="X2" s="1" t="n"/>
      <c r="Y2" s="1" t="n"/>
      <c r="Z2" s="1" t="n"/>
      <c r="AA2" s="1" t="n"/>
      <c r="AB2" s="1" t="n"/>
    </row>
    <row r="3" ht="12.75" customHeight="1" s="157">
      <c r="A3" s="146" t="n"/>
      <c r="B3" s="147" t="n"/>
      <c r="C3" s="146" t="n"/>
      <c r="L3" s="147" t="n"/>
      <c r="M3" s="262" t="inlineStr">
        <is>
          <t>Fecha: 10/10/2024</t>
        </is>
      </c>
      <c r="N3" s="21" t="n"/>
      <c r="O3" s="21" t="n"/>
      <c r="P3" s="2" t="n"/>
      <c r="Q3" s="22" t="n"/>
      <c r="R3" s="22" t="n"/>
      <c r="S3" s="22" t="n"/>
      <c r="T3" s="2" t="n"/>
      <c r="U3" s="1" t="n"/>
      <c r="V3" s="1" t="n"/>
      <c r="W3" s="1" t="n"/>
      <c r="X3" s="1" t="n"/>
      <c r="Y3" s="1" t="n"/>
      <c r="Z3" s="1" t="n"/>
      <c r="AA3" s="1" t="n"/>
      <c r="AB3" s="1" t="n"/>
    </row>
    <row r="4" ht="10.5" customHeight="1" s="157">
      <c r="A4" s="146" t="n"/>
      <c r="B4" s="147" t="n"/>
      <c r="C4" s="146" t="n"/>
      <c r="L4" s="147" t="n"/>
      <c r="M4" s="268" t="n"/>
      <c r="N4" s="21" t="n"/>
      <c r="O4" s="21" t="n"/>
      <c r="P4" s="2" t="n"/>
      <c r="Q4" s="22" t="n"/>
      <c r="R4" s="22" t="n"/>
      <c r="S4" s="22" t="n"/>
      <c r="T4" s="2" t="n"/>
      <c r="U4" s="1" t="n"/>
      <c r="V4" s="1" t="n"/>
      <c r="W4" s="1" t="n"/>
      <c r="X4" s="1" t="n"/>
      <c r="Y4" s="1" t="n"/>
      <c r="Z4" s="1" t="n"/>
      <c r="AA4" s="1" t="n"/>
      <c r="AB4" s="1" t="n"/>
    </row>
    <row r="5" ht="19.5" customHeight="1" s="157">
      <c r="A5" s="148" t="n"/>
      <c r="B5" s="149" t="n"/>
      <c r="C5" s="148" t="n"/>
      <c r="D5" s="158" t="n"/>
      <c r="E5" s="158" t="n"/>
      <c r="F5" s="158" t="n"/>
      <c r="G5" s="158" t="n"/>
      <c r="H5" s="158" t="n"/>
      <c r="I5" s="158" t="n"/>
      <c r="J5" s="158" t="n"/>
      <c r="K5" s="158" t="n"/>
      <c r="L5" s="149" t="n"/>
      <c r="M5" s="23" t="inlineStr">
        <is>
          <t>Versión: 03</t>
        </is>
      </c>
      <c r="N5" s="21" t="n"/>
      <c r="O5" s="21" t="n"/>
      <c r="P5" s="2" t="n"/>
      <c r="Q5" s="22" t="n"/>
      <c r="R5" s="22" t="n"/>
      <c r="S5" s="22" t="n"/>
      <c r="T5" s="2" t="n"/>
      <c r="U5" s="1" t="n"/>
      <c r="V5" s="1" t="n"/>
      <c r="W5" s="1" t="n"/>
      <c r="X5" s="1" t="n"/>
      <c r="Y5" s="1" t="n"/>
      <c r="Z5" s="1" t="n"/>
      <c r="AA5" s="1" t="n"/>
      <c r="AB5" s="1" t="n"/>
    </row>
    <row r="6" ht="14.25" customHeight="1" s="157">
      <c r="A6" s="18" t="n"/>
      <c r="B6" s="159" t="n"/>
      <c r="L6" s="19" t="n"/>
      <c r="M6" s="1" t="n"/>
      <c r="N6" s="1" t="n"/>
      <c r="O6" s="1" t="n"/>
      <c r="P6" s="1" t="n"/>
      <c r="Q6" s="1" t="n"/>
      <c r="R6" s="1" t="n"/>
      <c r="S6" s="1" t="n"/>
      <c r="T6" s="1" t="n"/>
      <c r="U6" s="1" t="n"/>
      <c r="V6" s="1" t="n"/>
      <c r="W6" s="1" t="n"/>
      <c r="X6" s="1" t="n"/>
      <c r="Y6" s="1" t="n"/>
      <c r="Z6" s="1" t="n"/>
      <c r="AA6" s="1" t="n"/>
      <c r="AB6" s="1" t="n"/>
    </row>
    <row r="7" ht="14.25" customHeight="1" s="157">
      <c r="A7" s="24" t="n"/>
      <c r="B7" s="2" t="n"/>
      <c r="C7" s="2" t="n"/>
      <c r="D7" s="24" t="n"/>
      <c r="E7" s="24" t="n"/>
      <c r="F7" s="2" t="n"/>
      <c r="G7" s="2" t="n"/>
      <c r="H7" s="2" t="n"/>
      <c r="I7" s="2" t="n"/>
      <c r="J7" s="2" t="n"/>
      <c r="K7" s="24" t="n"/>
      <c r="L7" s="25" t="n"/>
      <c r="M7" s="2" t="n"/>
      <c r="N7" s="2" t="n"/>
      <c r="O7" s="2" t="n"/>
      <c r="P7" s="2" t="n"/>
      <c r="Q7" s="2" t="n"/>
      <c r="R7" s="2" t="n"/>
      <c r="S7" s="2" t="n"/>
      <c r="T7" s="2" t="n"/>
      <c r="U7" s="2" t="n"/>
      <c r="V7" s="2" t="n"/>
      <c r="W7" s="2" t="n"/>
      <c r="X7" s="2" t="n"/>
      <c r="Y7" s="2" t="n"/>
      <c r="Z7" s="2" t="n"/>
      <c r="AA7" s="2" t="n"/>
      <c r="AB7" s="2" t="n"/>
    </row>
    <row r="8" ht="14.25" customHeight="1" s="157">
      <c r="A8" s="24" t="n"/>
      <c r="B8" s="2" t="n"/>
      <c r="C8" s="2" t="n"/>
      <c r="D8" s="24" t="n"/>
      <c r="E8" s="24" t="n"/>
      <c r="F8" s="2" t="n"/>
      <c r="G8" s="2" t="n"/>
      <c r="H8" s="2" t="n"/>
      <c r="I8" s="2" t="n"/>
      <c r="J8" s="2" t="n"/>
      <c r="K8" s="24" t="n"/>
      <c r="L8" s="25" t="n"/>
      <c r="M8" s="2" t="n"/>
      <c r="N8" s="2" t="n"/>
      <c r="O8" s="2" t="n"/>
      <c r="P8" s="2" t="n"/>
      <c r="Q8" s="2" t="n"/>
      <c r="R8" s="2" t="n"/>
      <c r="S8" s="2" t="n"/>
      <c r="T8" s="2" t="n"/>
      <c r="U8" s="2" t="n"/>
      <c r="V8" s="2" t="n"/>
      <c r="W8" s="2" t="n"/>
      <c r="X8" s="2" t="n"/>
      <c r="Y8" s="2" t="n"/>
      <c r="Z8" s="2" t="n"/>
      <c r="AA8" s="2" t="n"/>
      <c r="AB8" s="2" t="n"/>
    </row>
    <row r="9" ht="14.25" customHeight="1" s="157">
      <c r="A9" s="24" t="n"/>
      <c r="B9" s="2" t="n"/>
      <c r="C9" s="2" t="n"/>
      <c r="D9" s="24" t="n"/>
      <c r="E9" s="24" t="n"/>
      <c r="F9" s="2" t="n"/>
      <c r="G9" s="2" t="n"/>
      <c r="H9" s="2" t="n"/>
      <c r="I9" s="2" t="n"/>
      <c r="J9" s="2" t="n"/>
      <c r="K9" s="24" t="n"/>
      <c r="L9" s="25" t="n"/>
      <c r="M9" s="2" t="n"/>
      <c r="N9" s="2" t="n"/>
      <c r="O9" s="2" t="n"/>
      <c r="P9" s="2" t="n"/>
      <c r="Q9" s="2" t="n"/>
      <c r="R9" s="2" t="n"/>
      <c r="S9" s="2" t="n"/>
      <c r="T9" s="2" t="n"/>
      <c r="U9" s="2" t="n"/>
      <c r="V9" s="2" t="n"/>
      <c r="W9" s="2" t="n"/>
      <c r="X9" s="2" t="n"/>
      <c r="Y9" s="2" t="n"/>
      <c r="Z9" s="2" t="n"/>
      <c r="AA9" s="2" t="n"/>
      <c r="AB9" s="2" t="n"/>
    </row>
    <row r="10" ht="48" customHeight="1" s="157">
      <c r="A10" s="152" t="inlineStr">
        <is>
          <t>FORMATO 3
FORMATO DE ESPECIFICACIONES DE ELEMENTOS, EQUIPOS Y/O MAQUINARIA
(CAPÍTULO III DE LA LEY 1715 DE 2014)</t>
        </is>
      </c>
      <c r="B10" s="153" t="n"/>
      <c r="C10" s="153" t="n"/>
      <c r="D10" s="153" t="n"/>
      <c r="E10" s="153" t="n"/>
      <c r="F10" s="153" t="n"/>
      <c r="G10" s="153" t="n"/>
      <c r="H10" s="153" t="n"/>
      <c r="I10" s="153" t="n"/>
      <c r="J10" s="153" t="n"/>
      <c r="K10" s="153" t="n"/>
      <c r="L10" s="153" t="n"/>
      <c r="M10" s="154" t="n"/>
      <c r="N10" s="2" t="n"/>
      <c r="O10" s="2" t="n"/>
      <c r="P10" s="2" t="n"/>
      <c r="Q10" s="2" t="n"/>
      <c r="R10" s="2" t="n"/>
      <c r="S10" s="2" t="n"/>
      <c r="T10" s="2" t="n"/>
      <c r="U10" s="2" t="n"/>
      <c r="V10" s="2" t="n"/>
      <c r="W10" s="2" t="n"/>
      <c r="X10" s="2" t="n"/>
      <c r="Y10" s="2" t="n"/>
      <c r="Z10" s="2" t="n"/>
      <c r="AA10" s="2" t="n"/>
      <c r="AB10" s="2" t="n"/>
    </row>
    <row r="11" ht="51.75" customHeight="1" s="157">
      <c r="A11" s="269" t="inlineStr">
        <is>
          <t>Ítem</t>
        </is>
      </c>
      <c r="B11" s="270" t="inlineStr">
        <is>
          <t>Nombre del Elemento/Equipo/Maquinaria</t>
        </is>
      </c>
      <c r="C11" s="270" t="inlineStr">
        <is>
          <t>Subpartida arancelaria</t>
        </is>
      </c>
      <c r="D11" s="269" t="inlineStr">
        <is>
          <t>Cantidad</t>
        </is>
      </c>
      <c r="E11" s="269" t="inlineStr">
        <is>
          <t>Unidad de Medida</t>
        </is>
      </c>
      <c r="F11" s="270" t="inlineStr">
        <is>
          <t>Marca</t>
        </is>
      </c>
      <c r="G11" s="270" t="inlineStr">
        <is>
          <t>Modelo / Referencia</t>
        </is>
      </c>
      <c r="H11" s="270" t="inlineStr">
        <is>
          <t>Normas técnicas</t>
        </is>
      </c>
      <c r="I11" s="270" t="inlineStr">
        <is>
          <t>Fabricante</t>
        </is>
      </c>
      <c r="J11" s="270" t="inlineStr">
        <is>
          <t>Proveedor</t>
        </is>
      </c>
      <c r="K11" s="269" t="inlineStr">
        <is>
          <t>Valor total en COP
(Sin incluir IVA)</t>
        </is>
      </c>
      <c r="L11" s="271" t="inlineStr">
        <is>
          <t>Valor IVA en COP</t>
        </is>
      </c>
      <c r="M11" s="270" t="inlineStr">
        <is>
          <t xml:space="preserve">Función </t>
        </is>
      </c>
      <c r="N11" s="270" t="inlineStr">
        <is>
          <t>Soporte</t>
        </is>
      </c>
      <c r="O11" s="270" t="inlineStr">
        <is>
          <t>Certificado de Conformidad de Producto</t>
        </is>
      </c>
      <c r="P11" s="270" t="inlineStr">
        <is>
          <t>Odoo ID</t>
        </is>
      </c>
      <c r="Q11" s="272" t="n"/>
      <c r="R11" s="272" t="n"/>
      <c r="S11" s="272" t="n"/>
      <c r="T11" s="272" t="n"/>
      <c r="U11" s="272" t="n"/>
      <c r="V11" s="272" t="n"/>
      <c r="W11" s="272" t="n"/>
      <c r="X11" s="272" t="n"/>
      <c r="Y11" s="272" t="n"/>
      <c r="Z11" s="272" t="n"/>
      <c r="AA11" s="272" t="n"/>
      <c r="AB11" s="272" t="n"/>
    </row>
    <row r="12" ht="99" customHeight="1" s="157">
      <c r="A12" s="273" t="n">
        <v>3</v>
      </c>
      <c r="B12" s="273" t="inlineStr">
        <is>
          <t>Subestación o Power Station</t>
        </is>
      </c>
      <c r="C12" s="273" t="inlineStr">
        <is>
          <t>85.04.22.90.00</t>
        </is>
      </c>
      <c r="D12" s="273" t="n">
        <v>0</v>
      </c>
      <c r="E12" s="273" t="inlineStr">
        <is>
          <t>unidades</t>
        </is>
      </c>
      <c r="F12" s="273" t="inlineStr">
        <is>
          <t xml:space="preserve">ZENTRACK </t>
        </is>
      </c>
      <c r="G12" s="273" t="inlineStr">
        <is>
          <t>CN-1100/022</t>
        </is>
      </c>
      <c r="H12" s="273" t="inlineStr">
        <is>
          <t>EN61000-6:2019; EN61000-6-4:2019; IEC 61558-1:2019; IEC 62271-202:2022; IEC 61330:1995</t>
        </is>
      </c>
      <c r="I12" s="273" t="inlineStr">
        <is>
          <t>EAGLERISE ELECTRIC &amp; ELECTRONIC (CHINA) CO. LTD</t>
        </is>
      </c>
      <c r="J12" s="273" t="inlineStr">
        <is>
          <t xml:space="preserve">ZENTRACK </t>
        </is>
      </c>
      <c r="K12" s="273" t="n">
        <v>692832786.732</v>
      </c>
      <c r="L12" s="273" t="n">
        <v>131638229.47908</v>
      </c>
      <c r="M12" s="273" t="inlineStr">
        <is>
          <t>La subestación compacta para intemperie transforma la energía generada en baja tensión por el proyecto fotovoltaico a media tensión, permitiendo su integración a la red de distribución local. Cuenta con centros de transformación, celdas de medida y protección, y dispositivos contra sobrecorriente y sobrevoltaje. Su función es esencial para suministrar energía a los habitantes cercanos.</t>
        </is>
      </c>
      <c r="N12" s="273" t="inlineStr">
        <is>
          <t>https://drive.google.com/drive/folders/1cc5cpb9x2xwyAoBBs67LEUqpqbe4cNCu</t>
        </is>
      </c>
      <c r="O12" s="273" t="n"/>
      <c r="P12" s="273" t="inlineStr">
        <is>
          <t>P01931</t>
        </is>
      </c>
      <c r="Q12" s="273" t="n"/>
      <c r="R12" s="273" t="n"/>
      <c r="S12" s="273" t="n"/>
      <c r="T12" s="273" t="n"/>
      <c r="U12" s="273" t="n"/>
      <c r="V12" s="273" t="n"/>
      <c r="W12" s="273" t="n"/>
      <c r="X12" s="273" t="n"/>
      <c r="Y12" s="273" t="n"/>
      <c r="Z12" s="273" t="n"/>
      <c r="AA12" s="273" t="n"/>
      <c r="AB12" s="273" t="n"/>
    </row>
    <row r="13" ht="99" customHeight="1" s="157">
      <c r="A13" s="273" t="n">
        <v>14</v>
      </c>
      <c r="B13" s="273" t="inlineStr">
        <is>
          <t>Paneles/modulos o celdas fotovoltaicas</t>
        </is>
      </c>
      <c r="C13" s="273" t="inlineStr">
        <is>
          <t>8541.43.00.00</t>
        </is>
      </c>
      <c r="D13" s="273" t="n">
        <v>2032</v>
      </c>
      <c r="E13" s="273" t="inlineStr">
        <is>
          <t>unidades</t>
        </is>
      </c>
      <c r="F13" s="273" t="inlineStr">
        <is>
          <t>LONGi</t>
        </is>
      </c>
      <c r="G13" s="273" t="inlineStr">
        <is>
          <t>LR8-66HVD-655M</t>
        </is>
      </c>
      <c r="H13" s="273" t="inlineStr">
        <is>
          <t>IEC61215, IEC61730, UL61730, IEC62941</t>
        </is>
      </c>
      <c r="I13" s="273" t="inlineStr">
        <is>
          <t>LONGi</t>
        </is>
      </c>
      <c r="J13" s="273" t="inlineStr">
        <is>
          <t>LONGI</t>
        </is>
      </c>
      <c r="K13" s="273" t="n">
        <v>758139199.836</v>
      </c>
      <c r="L13" s="273" t="n">
        <v>0</v>
      </c>
      <c r="M13" s="273" t="inlineStr">
        <is>
          <t>Principal componente del sistema de energía solar y su función es transformar la radiación solar directamente en electricidad</t>
        </is>
      </c>
      <c r="N13" s="273" t="inlineStr">
        <is>
          <t>https://drive.google.com/drive/folders/19efuYBKjM8Oh-ZfVDbMFTiX1XJq4P8ez</t>
        </is>
      </c>
      <c r="O13" s="273" t="n"/>
      <c r="P13" s="273" t="inlineStr">
        <is>
          <t>P01667</t>
        </is>
      </c>
      <c r="Q13" s="273" t="n"/>
      <c r="R13" s="273" t="n"/>
      <c r="S13" s="273" t="n"/>
      <c r="T13" s="273" t="n"/>
      <c r="U13" s="273" t="n"/>
      <c r="V13" s="273" t="n"/>
      <c r="W13" s="273" t="n"/>
      <c r="X13" s="273" t="n"/>
      <c r="Y13" s="273" t="n"/>
      <c r="Z13" s="273" t="n"/>
      <c r="AA13" s="273" t="n"/>
      <c r="AB13" s="273" t="n"/>
    </row>
    <row r="14" ht="103.5" customHeight="1" s="157">
      <c r="A14" s="273" t="n">
        <v>16</v>
      </c>
      <c r="B14" s="273" t="inlineStr">
        <is>
          <t>Paneles/modulos o celdas fotovoltaicas</t>
        </is>
      </c>
      <c r="C14" s="273" t="inlineStr">
        <is>
          <t>8541.43.00.00</t>
        </is>
      </c>
      <c r="D14" s="273" t="n">
        <v>2032</v>
      </c>
      <c r="E14" s="273" t="inlineStr">
        <is>
          <t>unidades</t>
        </is>
      </c>
      <c r="F14" s="273" t="inlineStr">
        <is>
          <t>LONGi</t>
        </is>
      </c>
      <c r="G14" s="273" t="inlineStr">
        <is>
          <t>LR8-66HYD-655M</t>
        </is>
      </c>
      <c r="H14" s="273" t="inlineStr">
        <is>
          <t>IEC61215, IEC61730, UL61730, IEC62941</t>
        </is>
      </c>
      <c r="I14" s="273" t="inlineStr">
        <is>
          <t>LONGi</t>
        </is>
      </c>
      <c r="J14" s="273" t="inlineStr">
        <is>
          <t>LONGI</t>
        </is>
      </c>
      <c r="K14" s="273" t="n">
        <v>758139199.836</v>
      </c>
      <c r="L14" s="273" t="n">
        <v>0</v>
      </c>
      <c r="M14" s="273" t="inlineStr">
        <is>
          <t>Principal componente del sistema de energía solar y su función es transformar la radiación solar directamente en electricidad</t>
        </is>
      </c>
      <c r="N14" s="273" t="inlineStr">
        <is>
          <t>https://drive.google.com/drive/folders/1rsZFZeulPRCYwiMXlaM-GcvB3vIGGO3x</t>
        </is>
      </c>
      <c r="O14" s="273" t="n"/>
      <c r="P14" s="273" t="inlineStr">
        <is>
          <t>P01667</t>
        </is>
      </c>
      <c r="Q14" s="273" t="n"/>
      <c r="R14" s="273" t="n"/>
      <c r="S14" s="273" t="n"/>
      <c r="T14" s="273" t="n"/>
      <c r="U14" s="273" t="n"/>
      <c r="V14" s="273" t="n"/>
      <c r="W14" s="273" t="n"/>
      <c r="X14" s="273" t="n"/>
      <c r="Y14" s="273" t="n"/>
      <c r="Z14" s="273" t="n"/>
      <c r="AA14" s="273" t="n"/>
      <c r="AB14" s="273" t="n"/>
    </row>
    <row r="15" ht="103.5" customHeight="1" s="157">
      <c r="A15" s="273" t="n">
        <v>18</v>
      </c>
      <c r="B15" s="273" t="inlineStr">
        <is>
          <t>Inversores o microinversores (Off Gid, Grid Tie o Híbrido)</t>
        </is>
      </c>
      <c r="C15" s="273" t="n"/>
      <c r="D15" s="273" t="n">
        <v>4</v>
      </c>
      <c r="E15" s="273" t="inlineStr">
        <is>
          <t>unidades</t>
        </is>
      </c>
      <c r="F15" s="273" t="inlineStr">
        <is>
          <t>Huawei</t>
        </is>
      </c>
      <c r="G15" s="273" t="inlineStr">
        <is>
          <t>SUN2000-247.5KTL-H1</t>
        </is>
      </c>
      <c r="H15" s="273" t="inlineStr">
        <is>
          <t>IEC 61727:2004; IEC 62116:2014</t>
        </is>
      </c>
      <c r="I15" s="273" t="inlineStr">
        <is>
          <t>Huawei Technologies Co., Ltd.</t>
        </is>
      </c>
      <c r="J15" s="273" t="inlineStr">
        <is>
          <t>HUAWEI</t>
        </is>
      </c>
      <c r="K15" s="273" t="n">
        <v>0</v>
      </c>
      <c r="L15" s="273" t="n">
        <v>0</v>
      </c>
      <c r="M15" s="273" t="inlineStr">
        <is>
          <t>Transformacion de energia DC/AC</t>
        </is>
      </c>
      <c r="N15" s="273" t="inlineStr">
        <is>
          <t>https://drive.google.com/drive/folders/1uzr6NJKRStMhnDDofeFaPjLjh0KdD8f5</t>
        </is>
      </c>
      <c r="O15" s="273" t="inlineStr">
        <is>
          <t>https://drive.google.com/drive/folders/1RRBxfJPuzZMLRVIzMTb4NSErLaOxCt5w</t>
        </is>
      </c>
      <c r="P15" s="273" t="inlineStr">
        <is>
          <t>P01243</t>
        </is>
      </c>
      <c r="Q15" s="273" t="n"/>
      <c r="R15" s="273" t="n"/>
      <c r="S15" s="273" t="n"/>
      <c r="T15" s="273" t="n"/>
      <c r="U15" s="273" t="n"/>
      <c r="V15" s="273" t="n"/>
      <c r="W15" s="273" t="n"/>
      <c r="X15" s="273" t="n"/>
      <c r="Y15" s="273" t="n"/>
      <c r="Z15" s="273" t="n"/>
      <c r="AA15" s="273" t="n"/>
      <c r="AB15" s="273" t="n"/>
    </row>
    <row r="16" ht="99" customHeight="1" s="157">
      <c r="A16" s="273" t="n">
        <v>19</v>
      </c>
      <c r="B16" s="273" t="inlineStr">
        <is>
          <t>Inversores o microinversores (Off Gid, Grid Tie o Híbrido)</t>
        </is>
      </c>
      <c r="C16" s="273" t="n"/>
      <c r="D16" s="273" t="n">
        <v>4</v>
      </c>
      <c r="E16" s="273" t="inlineStr">
        <is>
          <t>unidades</t>
        </is>
      </c>
      <c r="F16" s="273" t="inlineStr">
        <is>
          <t>Huawei</t>
        </is>
      </c>
      <c r="G16" s="273" t="inlineStr">
        <is>
          <t>SUN2000-249KTL-H1</t>
        </is>
      </c>
      <c r="H16" s="273" t="inlineStr">
        <is>
          <t>IEC 61727:2004; IEC 62116:2014</t>
        </is>
      </c>
      <c r="I16" s="273" t="inlineStr">
        <is>
          <t>Huawei Technologies Co., Ltd.</t>
        </is>
      </c>
      <c r="J16" s="273" t="inlineStr">
        <is>
          <t>HUAWEI</t>
        </is>
      </c>
      <c r="K16" s="273" t="n">
        <v>0</v>
      </c>
      <c r="L16" s="273" t="n">
        <v>0</v>
      </c>
      <c r="M16" s="273" t="inlineStr">
        <is>
          <t>Transformacion de energia DC/AC</t>
        </is>
      </c>
      <c r="N16" s="273" t="inlineStr">
        <is>
          <t>https://drive.google.com/drive/folders/1IYQfLVwNswfcGO-dKZOEcPAWXMJShUL_</t>
        </is>
      </c>
      <c r="O16" s="273" t="inlineStr">
        <is>
          <t>https://drive.google.com/drive/folders/1RRBxfJPuzZMLRVIzMTb4NSErLaOxCt5w</t>
        </is>
      </c>
      <c r="P16" s="273" t="inlineStr">
        <is>
          <t>P01243</t>
        </is>
      </c>
      <c r="Q16" s="273" t="n"/>
      <c r="R16" s="273" t="n"/>
      <c r="S16" s="273" t="n"/>
      <c r="T16" s="273" t="n"/>
      <c r="U16" s="273" t="n"/>
      <c r="V16" s="273" t="n"/>
      <c r="W16" s="273" t="n"/>
      <c r="X16" s="273" t="n"/>
      <c r="Y16" s="273" t="n"/>
      <c r="Z16" s="273" t="n"/>
      <c r="AA16" s="273" t="n"/>
      <c r="AB16" s="273" t="n"/>
    </row>
    <row r="17" ht="99" customHeight="1" s="157">
      <c r="A17" s="273" t="n">
        <v>20</v>
      </c>
      <c r="B17" s="273" t="inlineStr">
        <is>
          <t>Inversores o microinversores (Off Gid, Grid Tie o Híbrido)</t>
        </is>
      </c>
      <c r="C17" s="273" t="n"/>
      <c r="D17" s="273" t="n">
        <v>0</v>
      </c>
      <c r="E17" s="273" t="inlineStr">
        <is>
          <t>Unidades</t>
        </is>
      </c>
      <c r="F17" s="273" t="inlineStr">
        <is>
          <t>Huawei</t>
        </is>
      </c>
      <c r="G17" s="273" t="inlineStr">
        <is>
          <t>SUN2000-330KTL-H1</t>
        </is>
      </c>
      <c r="H17" s="273" t="inlineStr">
        <is>
          <t>IEC 61727:2004 Photovoltaic (PV) systems – Characteristics of the utility interface IEC 62116:2014 Test procedure of islanding prevention measures for utilityinterconnected photovoltaic inverters</t>
        </is>
      </c>
      <c r="I17" s="273" t="inlineStr">
        <is>
          <t>Huawei Technologies Co., Ltd.</t>
        </is>
      </c>
      <c r="J17" s="273" t="inlineStr">
        <is>
          <t>HUAWEI</t>
        </is>
      </c>
      <c r="K17" s="273" t="n">
        <v>124872954.5544</v>
      </c>
      <c r="L17" s="273" t="n">
        <v>0</v>
      </c>
      <c r="M17" s="273" t="inlineStr">
        <is>
          <t>Transformación de energía DC/AC</t>
        </is>
      </c>
      <c r="N17" s="273" t="inlineStr">
        <is>
          <t>https://drive.google.com/drive/folders/1XVHXVNZhsQLqJm55cowRAr7WgAyCuGG9</t>
        </is>
      </c>
      <c r="O17" s="273" t="n"/>
      <c r="P17" s="273" t="inlineStr">
        <is>
          <t>P00655</t>
        </is>
      </c>
      <c r="Q17" s="273" t="n"/>
      <c r="R17" s="273" t="n"/>
      <c r="S17" s="273" t="n"/>
      <c r="T17" s="273" t="n"/>
      <c r="U17" s="273" t="n"/>
      <c r="V17" s="273" t="n"/>
      <c r="W17" s="273" t="n"/>
      <c r="X17" s="273" t="n"/>
      <c r="Y17" s="273" t="n"/>
      <c r="Z17" s="273" t="n"/>
      <c r="AA17" s="273" t="n"/>
      <c r="AB17" s="273" t="n"/>
    </row>
    <row r="18" ht="99" customHeight="1" s="157">
      <c r="A18" s="273" t="n">
        <v>21</v>
      </c>
      <c r="B18" s="273" t="inlineStr">
        <is>
          <t>Inversores o microinversores (Off Gid, Grid Tie o Híbrido)</t>
        </is>
      </c>
      <c r="C18" s="273" t="n"/>
      <c r="D18" s="273" t="n">
        <v>0</v>
      </c>
      <c r="E18" s="273" t="inlineStr">
        <is>
          <t>unidades</t>
        </is>
      </c>
      <c r="F18" s="273" t="inlineStr">
        <is>
          <t>Huawei</t>
        </is>
      </c>
      <c r="G18" s="273" t="inlineStr">
        <is>
          <t>SUN2000-40KTL-M3</t>
        </is>
      </c>
      <c r="H18" s="273" t="inlineStr">
        <is>
          <t>EN 62109-1/-2, IEC 62109-1/-2, EN 50530, IEC 62116, IEC 60068, IEC 61683</t>
        </is>
      </c>
      <c r="I18" s="273" t="inlineStr">
        <is>
          <t>Huawei</t>
        </is>
      </c>
      <c r="J18" s="273" t="inlineStr">
        <is>
          <t>HUAWEI</t>
        </is>
      </c>
      <c r="K18" s="273" t="n">
        <v>12831818.17992</v>
      </c>
      <c r="L18" s="273" t="n">
        <v>0</v>
      </c>
      <c r="M18" s="273" t="inlineStr">
        <is>
          <t>Transformación de energía DC/AC</t>
        </is>
      </c>
      <c r="N18" s="273" t="inlineStr">
        <is>
          <t>https://drive.google.com/drive/folders/1aYvYiIGK0bLmaslxX5eWDsY5gIgAxGE5</t>
        </is>
      </c>
      <c r="O18" s="273" t="n"/>
      <c r="P18" s="273" t="inlineStr">
        <is>
          <t>P00656</t>
        </is>
      </c>
      <c r="Q18" s="273" t="n"/>
      <c r="R18" s="273" t="n"/>
      <c r="S18" s="273" t="n"/>
      <c r="T18" s="273" t="n"/>
      <c r="U18" s="273" t="n"/>
      <c r="V18" s="273" t="n"/>
      <c r="W18" s="273" t="n"/>
      <c r="X18" s="273" t="n"/>
      <c r="Y18" s="273" t="n"/>
      <c r="Z18" s="273" t="n"/>
      <c r="AA18" s="273" t="n"/>
      <c r="AB18" s="273" t="n"/>
    </row>
    <row r="19" ht="99" customHeight="1" s="157">
      <c r="A19" s="273" t="n">
        <v>22</v>
      </c>
      <c r="B19" s="273" t="inlineStr">
        <is>
          <t>Inversores o microinversores (Off Gid, Grid Tie o Híbrido)</t>
        </is>
      </c>
      <c r="C19" s="273" t="n"/>
      <c r="D19" s="273" t="n">
        <v>0</v>
      </c>
      <c r="E19" s="273" t="inlineStr">
        <is>
          <t>Unidades</t>
        </is>
      </c>
      <c r="F19" s="273" t="inlineStr">
        <is>
          <t>Huawei</t>
        </is>
      </c>
      <c r="G19" s="273" t="inlineStr">
        <is>
          <t>SUN2000-50KTL-M3</t>
        </is>
      </c>
      <c r="H19" s="273" t="inlineStr">
        <is>
          <t>EN 62109-1/-2, IEC 62109-1/-2, EN 50530, IEC 62116, IEC 60068, IEC 61683, IEC 61727, ABNT NBR 16149, ABNT NBR 16150, ABNT NBR IEC 62116</t>
        </is>
      </c>
      <c r="I19" s="273" t="inlineStr">
        <is>
          <t>Huawei</t>
        </is>
      </c>
      <c r="J19" s="273" t="inlineStr">
        <is>
          <t>HUAWEI</t>
        </is>
      </c>
      <c r="K19" s="273" t="n">
        <v>14209090.91136</v>
      </c>
      <c r="L19" s="273" t="n">
        <v>0</v>
      </c>
      <c r="M19" s="273" t="inlineStr">
        <is>
          <t>Transformación de energía DC/AC</t>
        </is>
      </c>
      <c r="N19" s="273" t="inlineStr">
        <is>
          <t>https://drive.google.com/drive/folders/1u2EMBQNnKkj1JWL4zsJCQgYfEQb8s4QG</t>
        </is>
      </c>
      <c r="O19" s="273" t="n"/>
      <c r="P19" s="273" t="inlineStr">
        <is>
          <t>P00657</t>
        </is>
      </c>
      <c r="Q19" s="273" t="n"/>
      <c r="R19" s="273" t="n"/>
      <c r="S19" s="273" t="n"/>
      <c r="T19" s="273" t="n"/>
      <c r="U19" s="273" t="n"/>
      <c r="V19" s="273" t="n"/>
      <c r="W19" s="273" t="n"/>
      <c r="X19" s="273" t="n"/>
      <c r="Y19" s="273" t="n"/>
      <c r="Z19" s="273" t="n"/>
      <c r="AA19" s="273" t="n"/>
      <c r="AB19" s="273" t="n"/>
    </row>
    <row r="20" ht="99" customHeight="1" s="157">
      <c r="A20" s="273" t="n">
        <v>23</v>
      </c>
      <c r="B20" s="273" t="inlineStr">
        <is>
          <t>Datalogger</t>
        </is>
      </c>
      <c r="C20" s="273" t="n"/>
      <c r="D20" s="273" t="n">
        <v>1</v>
      </c>
      <c r="E20" s="273" t="inlineStr">
        <is>
          <t>unidad</t>
        </is>
      </c>
      <c r="F20" s="273" t="inlineStr">
        <is>
          <t xml:space="preserve">Huawei </t>
        </is>
      </c>
      <c r="G20" s="273" t="inlineStr">
        <is>
          <t>SmartLogger3000A03EU</t>
        </is>
      </c>
      <c r="H20" s="273" t="inlineStr">
        <is>
          <t>IEC 60870-5-104, IEC 60870-5-103</t>
        </is>
      </c>
      <c r="I20" s="273" t="inlineStr">
        <is>
          <t>Huawei Technologies Co., Ltd.</t>
        </is>
      </c>
      <c r="J20" s="273" t="inlineStr">
        <is>
          <t>HUAWEI</t>
        </is>
      </c>
      <c r="K20" s="273" t="n">
        <v>154468909.0716</v>
      </c>
      <c r="L20" s="273" t="n">
        <v>29349092.723604</v>
      </c>
      <c r="M20" s="273" t="inlineStr">
        <is>
          <t>Datalogger para la supervisión, control y adquisición de datos del sistema fotovoltaico, necesario para la integración con sistemas de monitoreo y cumplimiento de protocolos de comunicación exigidos (IEC 60870-5-104 / 103), permitiendo la gestión de inversores y operación remota del sistema</t>
        </is>
      </c>
      <c r="N20" s="273" t="inlineStr">
        <is>
          <t>https://drive.google.com/drive/folders/17nqi9n1BchtoHKfbCfSFiqh2-gNWBx-3</t>
        </is>
      </c>
      <c r="O20" s="273" t="n"/>
      <c r="P20" s="273" t="inlineStr">
        <is>
          <t>P00903</t>
        </is>
      </c>
      <c r="Q20" s="273" t="n"/>
      <c r="R20" s="273" t="n"/>
      <c r="S20" s="273" t="n"/>
      <c r="T20" s="273" t="n"/>
      <c r="U20" s="273" t="n"/>
      <c r="V20" s="273" t="n"/>
      <c r="W20" s="273" t="n"/>
      <c r="X20" s="273" t="n"/>
      <c r="Y20" s="273" t="n"/>
      <c r="Z20" s="273" t="n"/>
      <c r="AA20" s="273" t="n"/>
      <c r="AB20" s="273" t="n"/>
    </row>
    <row r="21" ht="48" customHeight="1" s="157">
      <c r="A21" s="273" t="n">
        <v>24</v>
      </c>
      <c r="B21" s="273" t="inlineStr">
        <is>
          <t>Conectores MC4</t>
        </is>
      </c>
      <c r="C21" s="273" t="n"/>
      <c r="D21" s="273" t="n">
        <v>175</v>
      </c>
      <c r="E21" s="273" t="inlineStr">
        <is>
          <t>unidades</t>
        </is>
      </c>
      <c r="F21" s="273" t="inlineStr">
        <is>
          <t>Weidmüller</t>
        </is>
      </c>
      <c r="G21" s="273" t="inlineStr">
        <is>
          <t>BUGH WM4 C BT</t>
        </is>
      </c>
      <c r="H21" s="273" t="inlineStr">
        <is>
          <t>DIN EN 50521, IEC 62852</t>
        </is>
      </c>
      <c r="I21" s="273" t="inlineStr">
        <is>
          <t>Weidmüller Interface GmbH &amp; Co. KG</t>
        </is>
      </c>
      <c r="J21" s="273" t="inlineStr">
        <is>
          <t>WEIDMÜLLER SAS</t>
        </is>
      </c>
      <c r="K21" s="273" t="n">
        <v>0</v>
      </c>
      <c r="L21" s="273" t="n">
        <v>0</v>
      </c>
      <c r="M21" s="273" t="inlineStr">
        <is>
          <t>Conectores que facilitan la conexión de los paneles fotovoltaicos</t>
        </is>
      </c>
      <c r="N21" s="273" t="inlineStr">
        <is>
          <t>https://drive.google.com/drive/folders/1-2SDtnilKVkzbzm9670h4Q6m2h67DLEr</t>
        </is>
      </c>
      <c r="O21" s="273" t="n"/>
      <c r="P21" s="273" t="inlineStr">
        <is>
          <t>P00458</t>
        </is>
      </c>
      <c r="Q21" s="273" t="n"/>
      <c r="R21" s="273" t="n"/>
      <c r="S21" s="273" t="n"/>
      <c r="T21" s="273" t="n"/>
      <c r="U21" s="273" t="n"/>
      <c r="V21" s="273" t="n"/>
      <c r="W21" s="273" t="n"/>
      <c r="X21" s="273" t="n"/>
      <c r="Y21" s="273" t="n"/>
      <c r="Z21" s="273" t="n"/>
      <c r="AA21" s="273" t="n"/>
      <c r="AB21" s="273" t="n"/>
    </row>
    <row r="22" ht="48" customHeight="1" s="157">
      <c r="A22" s="273" t="n">
        <v>25</v>
      </c>
      <c r="B22" s="273" t="inlineStr">
        <is>
          <t>Conectores MC4</t>
        </is>
      </c>
      <c r="C22" s="273" t="n"/>
      <c r="D22" s="273" t="n">
        <v>175</v>
      </c>
      <c r="E22" s="273" t="inlineStr">
        <is>
          <t>unidades</t>
        </is>
      </c>
      <c r="F22" s="273" t="inlineStr">
        <is>
          <t>Weidmüller</t>
        </is>
      </c>
      <c r="G22" s="273" t="inlineStr">
        <is>
          <t>BUKO WM4 C BT</t>
        </is>
      </c>
      <c r="H22" s="273" t="inlineStr">
        <is>
          <t>DIN EN 50521</t>
        </is>
      </c>
      <c r="I22" s="273" t="inlineStr">
        <is>
          <t>Weidmüller Interface GmbH &amp; Co. KG</t>
        </is>
      </c>
      <c r="J22" s="273" t="inlineStr">
        <is>
          <t>WEIDMÜLLER SAS</t>
        </is>
      </c>
      <c r="K22" s="273" t="n">
        <v>4713253.0116</v>
      </c>
      <c r="L22" s="273" t="n">
        <v>895518.072204</v>
      </c>
      <c r="M22" s="273" t="inlineStr">
        <is>
          <t>Conectores que facilitan la conexión de los paneles fotovoltaicos</t>
        </is>
      </c>
      <c r="N22" s="273" t="inlineStr">
        <is>
          <t>https://drive.google.com/drive/folders/1amUHJ6EEV4uoBb1yKnPdglVV4cfaXurS</t>
        </is>
      </c>
      <c r="O22" s="273" t="n"/>
      <c r="P22" s="273" t="inlineStr">
        <is>
          <t>P00806</t>
        </is>
      </c>
      <c r="Q22" s="273" t="n"/>
      <c r="R22" s="273" t="n"/>
      <c r="S22" s="273" t="n"/>
      <c r="T22" s="273" t="n"/>
      <c r="U22" s="273" t="n"/>
      <c r="V22" s="273" t="n"/>
      <c r="W22" s="273" t="n"/>
      <c r="X22" s="273" t="n"/>
      <c r="Y22" s="273" t="n"/>
      <c r="Z22" s="273" t="n"/>
      <c r="AA22" s="273" t="n"/>
      <c r="AB22" s="273" t="n"/>
    </row>
    <row r="23" ht="48" customHeight="1" s="157">
      <c r="A23" s="273" t="n">
        <v>26</v>
      </c>
      <c r="B23" s="273" t="inlineStr">
        <is>
          <t>Conectores MC4</t>
        </is>
      </c>
      <c r="C23" s="273" t="n"/>
      <c r="D23" s="273" t="n">
        <v>175</v>
      </c>
      <c r="E23" s="273" t="inlineStr">
        <is>
          <t>unidades</t>
        </is>
      </c>
      <c r="F23" s="273" t="inlineStr">
        <is>
          <t>Weidmüller</t>
        </is>
      </c>
      <c r="G23" s="273" t="inlineStr">
        <is>
          <t>SFGH WM4 C BT</t>
        </is>
      </c>
      <c r="H23" s="273" t="inlineStr">
        <is>
          <t>DIN EN 50521, IEC 62852</t>
        </is>
      </c>
      <c r="I23" s="273" t="inlineStr">
        <is>
          <t>Weidmüller Interface GmbH &amp; Co. KG</t>
        </is>
      </c>
      <c r="J23" s="273" t="inlineStr">
        <is>
          <t>WEIDMÜLLER SAS</t>
        </is>
      </c>
      <c r="K23" s="273" t="n">
        <v>0</v>
      </c>
      <c r="L23" s="273" t="n">
        <v>0</v>
      </c>
      <c r="M23" s="273" t="inlineStr">
        <is>
          <t>Conectores que facilitan la conexión de los paneles fotovoltaicos</t>
        </is>
      </c>
      <c r="N23" s="273" t="inlineStr">
        <is>
          <t>https://drive.google.com/drive/folders/1OJ3kxVxw9yhyVvPcj4lAtZVRvI6UtXs_</t>
        </is>
      </c>
      <c r="O23" s="273" t="n"/>
      <c r="P23" s="273" t="inlineStr">
        <is>
          <t>P00461</t>
        </is>
      </c>
      <c r="Q23" s="273" t="n"/>
      <c r="R23" s="273" t="n"/>
      <c r="S23" s="273" t="n"/>
      <c r="T23" s="273" t="n"/>
      <c r="U23" s="273" t="n"/>
      <c r="V23" s="273" t="n"/>
      <c r="W23" s="273" t="n"/>
      <c r="X23" s="273" t="n"/>
      <c r="Y23" s="273" t="n"/>
      <c r="Z23" s="273" t="n"/>
      <c r="AA23" s="273" t="n"/>
      <c r="AB23" s="273" t="n"/>
    </row>
    <row r="24" ht="48" customHeight="1" s="157">
      <c r="A24" s="273" t="n">
        <v>27</v>
      </c>
      <c r="B24" s="273" t="inlineStr">
        <is>
          <t>Conectores MC4</t>
        </is>
      </c>
      <c r="C24" s="273" t="n"/>
      <c r="D24" s="273" t="n">
        <v>175</v>
      </c>
      <c r="E24" s="273" t="inlineStr">
        <is>
          <t>unidades</t>
        </is>
      </c>
      <c r="F24" s="273" t="inlineStr">
        <is>
          <t>Weidmüller</t>
        </is>
      </c>
      <c r="G24" s="273" t="inlineStr">
        <is>
          <t>SFkO WM4 C BT</t>
        </is>
      </c>
      <c r="H24" s="273" t="inlineStr">
        <is>
          <t>DIN EN 50521</t>
        </is>
      </c>
      <c r="I24" s="273" t="inlineStr">
        <is>
          <t>Weidmüller Interface GmbH &amp; Co. KG</t>
        </is>
      </c>
      <c r="J24" s="273" t="inlineStr">
        <is>
          <t>WEIDMÜLLER SAS</t>
        </is>
      </c>
      <c r="K24" s="273" t="n">
        <v>0</v>
      </c>
      <c r="L24" s="273" t="n">
        <v>0</v>
      </c>
      <c r="M24" s="273" t="inlineStr">
        <is>
          <t>Conectores que facilitan la conexión de los paneles fotovoltaicos</t>
        </is>
      </c>
      <c r="N24" s="273" t="inlineStr">
        <is>
          <t>https://drive.google.com/drive/folders/1Fp0aiedr33njv9LVd2JC0tg1MAvEB5L_</t>
        </is>
      </c>
      <c r="O24" s="273" t="n"/>
      <c r="P24" s="273" t="inlineStr">
        <is>
          <t>P00807</t>
        </is>
      </c>
      <c r="Q24" s="273" t="n"/>
      <c r="R24" s="273" t="n"/>
      <c r="S24" s="273" t="n"/>
      <c r="T24" s="273" t="n"/>
      <c r="U24" s="273" t="n"/>
      <c r="V24" s="273" t="n"/>
      <c r="W24" s="273" t="n"/>
      <c r="X24" s="273" t="n"/>
      <c r="Y24" s="273" t="n"/>
      <c r="Z24" s="273" t="n"/>
      <c r="AA24" s="273" t="n"/>
      <c r="AB24" s="273" t="n"/>
    </row>
    <row r="25" ht="48" customHeight="1" s="157">
      <c r="A25" s="273" t="n">
        <v>31</v>
      </c>
      <c r="B25" s="273" t="inlineStr">
        <is>
          <t>Interruptores, reconectadores, seccionadores y transferencias automáticas</t>
        </is>
      </c>
      <c r="C25" s="273" t="n"/>
      <c r="D25" s="273" t="n">
        <v>1</v>
      </c>
      <c r="E25" s="273" t="inlineStr">
        <is>
          <t>Unidad</t>
        </is>
      </c>
      <c r="F25" s="273" t="inlineStr">
        <is>
          <t>ABB</t>
        </is>
      </c>
      <c r="G25" s="273" t="inlineStr">
        <is>
          <t>OVR-15</t>
        </is>
      </c>
      <c r="H25" s="273" t="inlineStr">
        <is>
          <t>IEC 62271-111 / IEEE C37.60:2012; IEC C37.100.1-2007</t>
        </is>
      </c>
      <c r="I25" s="273" t="inlineStr">
        <is>
          <t>ABB India Limited</t>
        </is>
      </c>
      <c r="J25" s="273" t="inlineStr">
        <is>
          <t>ABB</t>
        </is>
      </c>
      <c r="K25" s="273" t="n">
        <v>81067373.47559999</v>
      </c>
      <c r="L25" s="273" t="n">
        <v>15402800.960364</v>
      </c>
      <c r="M25" s="273" t="inlineStr">
        <is>
          <t>Equipo de protección, maniobra y reconexión automática en redes eléctricas de media tensión. Permite interrumpir corrientes de falla, realizar secuencias de apertura y recierre, proteger la red de distribución y mejorar la continuidad y confiabilidad del sistema eléctrico asociado al proyecto.</t>
        </is>
      </c>
      <c r="N25" s="273" t="inlineStr">
        <is>
          <t>https://drive.google.com/drive/folders/130FN_7LTt8PzogdEZa6eTOhOl920Wfrj</t>
        </is>
      </c>
      <c r="O25" s="273" t="n"/>
      <c r="P25" s="273" t="inlineStr">
        <is>
          <t>P01774</t>
        </is>
      </c>
      <c r="Q25" s="273" t="n"/>
      <c r="R25" s="273" t="n"/>
      <c r="S25" s="273" t="n"/>
      <c r="T25" s="273" t="n"/>
      <c r="U25" s="273" t="n"/>
      <c r="V25" s="273" t="n"/>
      <c r="W25" s="273" t="n"/>
      <c r="X25" s="273" t="n"/>
      <c r="Y25" s="273" t="n"/>
      <c r="Z25" s="273" t="n"/>
      <c r="AA25" s="273" t="n"/>
      <c r="AB25" s="273" t="n"/>
    </row>
    <row r="26" ht="48" customHeight="1" s="157">
      <c r="A26" s="273" t="n">
        <v>37</v>
      </c>
      <c r="B26" s="273" t="inlineStr">
        <is>
          <t>Medidores bidireccionales</t>
        </is>
      </c>
      <c r="C26" s="273" t="n"/>
      <c r="D26" s="273" t="n">
        <v>2</v>
      </c>
      <c r="E26" s="273" t="inlineStr">
        <is>
          <t>unidades</t>
        </is>
      </c>
      <c r="F26" s="273" t="inlineStr">
        <is>
          <t>ISKRA</t>
        </is>
      </c>
      <c r="G26" s="273" t="inlineStr">
        <is>
          <t>MT880,  Medidor trifásico multitarifa</t>
        </is>
      </c>
      <c r="H26" s="273" t="inlineStr">
        <is>
          <t>IEC 62052-11-2003,IEC 62053-22/2003, IEC 62053-23/2003</t>
        </is>
      </c>
      <c r="I26" s="273" t="inlineStr">
        <is>
          <t>ISKRAEMECO D.D.</t>
        </is>
      </c>
      <c r="J26" s="273" t="inlineStr">
        <is>
          <t>INDUSTRIA ELECTRICA DEL CAUCA S.A.S. - INELCA S.A.S.</t>
        </is>
      </c>
      <c r="K26" s="273" t="n">
        <v>0</v>
      </c>
      <c r="L26" s="273" t="n">
        <v>0</v>
      </c>
      <c r="M26" s="273" t="inlineStr">
        <is>
          <t>Equipo de medida para registrar la energía generada por el sistema y que se inyecta a la red en media tensión</t>
        </is>
      </c>
      <c r="N26" s="273" t="inlineStr">
        <is>
          <t>https://drive.google.com/drive/folders/142PceXJfvcSHBq42bMrcYZ0T8zoGQkbR</t>
        </is>
      </c>
      <c r="O26" s="273" t="n"/>
      <c r="P26" s="273" t="inlineStr">
        <is>
          <t>P00707</t>
        </is>
      </c>
      <c r="Q26" s="273" t="n"/>
      <c r="R26" s="273" t="n"/>
      <c r="S26" s="273" t="n"/>
      <c r="T26" s="273" t="n"/>
      <c r="U26" s="273" t="n"/>
      <c r="V26" s="273" t="n"/>
      <c r="W26" s="273" t="n"/>
      <c r="X26" s="273" t="n"/>
      <c r="Y26" s="273" t="n"/>
      <c r="Z26" s="273" t="n"/>
      <c r="AA26" s="273" t="n"/>
      <c r="AB26" s="273" t="n"/>
    </row>
    <row r="27" ht="48" customHeight="1" s="157">
      <c r="A27" s="273" t="n">
        <v>40</v>
      </c>
      <c r="B27" s="273" t="inlineStr">
        <is>
          <t>Transformadores (de potencia, medida e instrumentación)</t>
        </is>
      </c>
      <c r="C27" s="273" t="n"/>
      <c r="D27" s="273" t="n">
        <v>3</v>
      </c>
      <c r="E27" s="273" t="inlineStr">
        <is>
          <t>unidades</t>
        </is>
      </c>
      <c r="F27" s="273" t="inlineStr">
        <is>
          <t>Rymel</t>
        </is>
      </c>
      <c r="G27" s="273" t="inlineStr">
        <is>
          <t>TCEM 50/5 Clase Medición 0.5s Burden Nominal 5 VA"</t>
        </is>
      </c>
      <c r="H27" s="273" t="inlineStr">
        <is>
          <t>IEC61869-2, NTC5933, NTC2205</t>
        </is>
      </c>
      <c r="I27" s="273" t="inlineStr">
        <is>
          <t>Rymel S.A.S.</t>
        </is>
      </c>
      <c r="J27" s="273" t="inlineStr">
        <is>
          <t>INPEL</t>
        </is>
      </c>
      <c r="K27" s="273" t="n">
        <v>8244433.7352</v>
      </c>
      <c r="L27" s="273" t="n">
        <v>1566442.409688</v>
      </c>
      <c r="M27" s="273" t="inlineStr">
        <is>
          <t>Su principal función es transformar la corriente y aislar los instrumentos de protección y medición conectados a los circuitos de media tensión</t>
        </is>
      </c>
      <c r="N27" s="273" t="inlineStr">
        <is>
          <t>https://drive.google.com/drive/folders/1rg2fKpw96CeTPlhwxBy9lKUmkBluhuSD</t>
        </is>
      </c>
      <c r="O27" s="273" t="n"/>
      <c r="P27" s="273" t="inlineStr">
        <is>
          <t>P01040</t>
        </is>
      </c>
      <c r="Q27" s="273" t="n"/>
      <c r="R27" s="273" t="n"/>
      <c r="S27" s="273" t="n"/>
      <c r="T27" s="273" t="n"/>
      <c r="U27" s="273" t="n"/>
      <c r="V27" s="273" t="n"/>
      <c r="W27" s="273" t="n"/>
      <c r="X27" s="273" t="n"/>
      <c r="Y27" s="273" t="n"/>
      <c r="Z27" s="273" t="n"/>
      <c r="AA27" s="273" t="n"/>
      <c r="AB27" s="273" t="n"/>
    </row>
    <row r="28" ht="48" customHeight="1" s="157">
      <c r="A28" s="273" t="n">
        <v>43</v>
      </c>
      <c r="B28" s="273" t="inlineStr">
        <is>
          <t>Transformadores (de potencia, medida e instrumentación)</t>
        </is>
      </c>
      <c r="C28" s="273" t="n"/>
      <c r="D28" s="273" t="n">
        <v>3</v>
      </c>
      <c r="E28" s="273" t="inlineStr">
        <is>
          <t>unidades</t>
        </is>
      </c>
      <c r="F28" s="273" t="inlineStr">
        <is>
          <t>Rymel</t>
        </is>
      </c>
      <c r="G28" s="273" t="inlineStr">
        <is>
          <t>TPEM1 13.8/√3 - 120/√3 Clase Medición 0.5 Burden Nominal 5 VA</t>
        </is>
      </c>
      <c r="H28" s="273" t="inlineStr">
        <is>
          <t>IEC61869-3, NTC5933, NTC2207</t>
        </is>
      </c>
      <c r="I28" s="273" t="inlineStr">
        <is>
          <t>Rymel S.A.S.</t>
        </is>
      </c>
      <c r="J28" s="273" t="inlineStr">
        <is>
          <t>Rymel S.A.S.</t>
        </is>
      </c>
      <c r="K28" s="273" t="n">
        <v>9012578.3136</v>
      </c>
      <c r="L28" s="273" t="n">
        <v>1712389.879584</v>
      </c>
      <c r="M28" s="273" t="inlineStr">
        <is>
          <t>Su principal función es transformar la tensión y aislar los instrumentos de protección y medición conectados a los circuitos de media tensión</t>
        </is>
      </c>
      <c r="N28" s="273" t="inlineStr">
        <is>
          <t>https://drive.google.com/drive/folders/1rg2fKpw96CeTPlhwxBy9lKUmkBluhuSD</t>
        </is>
      </c>
      <c r="O28" s="273" t="n"/>
      <c r="P28" s="273" t="inlineStr">
        <is>
          <t>P01851</t>
        </is>
      </c>
      <c r="Q28" s="273" t="n"/>
      <c r="R28" s="273" t="n"/>
      <c r="S28" s="273" t="n"/>
      <c r="T28" s="273" t="n"/>
      <c r="U28" s="273" t="n"/>
      <c r="V28" s="273" t="n"/>
      <c r="W28" s="273" t="n"/>
      <c r="X28" s="273" t="n"/>
      <c r="Y28" s="273" t="n"/>
      <c r="Z28" s="273" t="n"/>
      <c r="AA28" s="273" t="n"/>
      <c r="AB28" s="273" t="n"/>
    </row>
    <row r="29" ht="48" customHeight="1" s="157">
      <c r="A29" s="273" t="n">
        <v>45</v>
      </c>
      <c r="B29" s="273" t="inlineStr">
        <is>
          <t>Cables Solares DC</t>
        </is>
      </c>
      <c r="C29" s="273" t="n"/>
      <c r="D29" s="273" t="n">
        <v>6100</v>
      </c>
      <c r="E29" s="273" t="inlineStr">
        <is>
          <t>metros</t>
        </is>
      </c>
      <c r="F29" s="273" t="inlineStr">
        <is>
          <t>PRYSMIAN GROUP</t>
        </is>
      </c>
      <c r="G29" s="273" t="inlineStr">
        <is>
          <t>Cable Fotovoltaico, 6mm2, 1800 V DC, Cobre Suave, Flexible, XLPE</t>
        </is>
      </c>
      <c r="H29" s="273" t="inlineStr">
        <is>
          <t>NTC 6404/2020 y la RESOLUCIÓN 90708 de 2013 del MINISTERIO DE MINAS Y ENERGÍA – RETIE (Numeral 20.2)</t>
        </is>
      </c>
      <c r="I29" s="273" t="inlineStr">
        <is>
          <t>PRODUCTORA DE CABLES PROCABLES S.A.S.</t>
        </is>
      </c>
      <c r="J29" s="273" t="inlineStr">
        <is>
          <t>SONEPAR</t>
        </is>
      </c>
      <c r="K29" s="273" t="n">
        <v>65060240.96399999</v>
      </c>
      <c r="L29" s="273" t="n">
        <v>12361445.78316</v>
      </c>
      <c r="M29" s="273" t="inlineStr">
        <is>
          <t>Transporta la energía DC proveniente de los paneles fotovoltaicos hacia los inversores</t>
        </is>
      </c>
      <c r="N29" s="273" t="inlineStr">
        <is>
          <t>https://drive.google.com/drive/folders/1EWcp25cWf4rxmKDGWWA4b7J2Mrcppp9t</t>
        </is>
      </c>
      <c r="O29" s="273" t="n"/>
      <c r="P29" s="273" t="inlineStr">
        <is>
          <t>P00335</t>
        </is>
      </c>
      <c r="Q29" s="273" t="n"/>
      <c r="R29" s="273" t="n"/>
      <c r="S29" s="273" t="n"/>
      <c r="T29" s="273" t="n"/>
      <c r="U29" s="273" t="n"/>
      <c r="V29" s="273" t="n"/>
      <c r="W29" s="273" t="n"/>
      <c r="X29" s="273" t="n"/>
      <c r="Y29" s="273" t="n"/>
      <c r="Z29" s="273" t="n"/>
      <c r="AA29" s="273" t="n"/>
      <c r="AB29" s="273" t="n"/>
    </row>
    <row r="30" ht="48" customHeight="1" s="157">
      <c r="A30" s="273" t="n">
        <v>45</v>
      </c>
      <c r="B30" s="273" t="inlineStr">
        <is>
          <t>Cables Solares DC</t>
        </is>
      </c>
      <c r="C30" s="273" t="n"/>
      <c r="D30" s="273" t="n">
        <v>6200</v>
      </c>
      <c r="E30" s="273" t="inlineStr">
        <is>
          <t>metros</t>
        </is>
      </c>
      <c r="F30" s="273" t="inlineStr">
        <is>
          <t>PRYSMIAN GROUP</t>
        </is>
      </c>
      <c r="G30" s="273" t="inlineStr">
        <is>
          <t>Cable Fotovoltaico, 6mm2, 1800 V DC, Cobre Suave, Flexible, XLPE</t>
        </is>
      </c>
      <c r="H30" s="273" t="inlineStr">
        <is>
          <t>NTC 6404/2020 y la RESOLUCIÓN 90708 de 2013 del MINISTERIO DE MINAS Y ENERGÍA – RETIE (Numeral 20.2)</t>
        </is>
      </c>
      <c r="I30" s="273" t="inlineStr">
        <is>
          <t>PRODUCTORA DE CABLES PROCABLES S.A.S.</t>
        </is>
      </c>
      <c r="J30" s="273" t="inlineStr">
        <is>
          <t>SONEPAR</t>
        </is>
      </c>
      <c r="K30" s="273" t="n">
        <v>0</v>
      </c>
      <c r="L30" s="273" t="n">
        <v>0</v>
      </c>
      <c r="M30" s="273" t="inlineStr">
        <is>
          <t>Transporta la energía DC proveniente de los paneles fotovoltaicos hacia los inversores</t>
        </is>
      </c>
      <c r="N30" s="273" t="inlineStr">
        <is>
          <t>https://drive.google.com/drive/folders/1EWcp25cWf4rxmKDGWWA4b7J2Mrcppp9t</t>
        </is>
      </c>
      <c r="O30" s="273" t="n"/>
      <c r="P30" s="273" t="inlineStr">
        <is>
          <t>P00338</t>
        </is>
      </c>
      <c r="Q30" s="273" t="n"/>
      <c r="R30" s="273" t="n"/>
      <c r="S30" s="273" t="n"/>
      <c r="T30" s="273" t="n"/>
      <c r="U30" s="273" t="n"/>
      <c r="V30" s="273" t="n"/>
      <c r="W30" s="273" t="n"/>
      <c r="X30" s="273" t="n"/>
      <c r="Y30" s="273" t="n"/>
      <c r="Z30" s="273" t="n"/>
      <c r="AA30" s="273" t="n"/>
      <c r="AB30" s="273" t="n"/>
    </row>
    <row r="31" ht="120" customHeight="1" s="157">
      <c r="A31" s="273" t="n">
        <v>46</v>
      </c>
      <c r="B31" s="273" t="inlineStr">
        <is>
          <t>Alambres y cables en AC</t>
        </is>
      </c>
      <c r="C31" s="273" t="n"/>
      <c r="D31" s="273" t="n">
        <v>0</v>
      </c>
      <c r="E31" s="273" t="inlineStr">
        <is>
          <t>metros</t>
        </is>
      </c>
      <c r="F31" s="273" t="inlineStr">
        <is>
          <t>PROCABLES</t>
        </is>
      </c>
      <c r="G31" s="273" t="inlineStr">
        <is>
          <t>Cable termoplástico AA Serie 8000 12 AWG 600V concéntrico THHW PVC 90°C Seco Use CT</t>
        </is>
      </c>
      <c r="H31" s="273" t="inlineStr">
        <is>
          <t>NTC 1332/2011, UL 83/2017, ENERSIS/ENDESA E-BT-001/Rev. 6 2011, CODENSA ET-116/2019 y la RESOLUCIÓN 90708 del MINISTERIO DE MINAS Y ENERGÍA – RETIE (Numeral 20.2)</t>
        </is>
      </c>
      <c r="I31" s="273" t="inlineStr">
        <is>
          <t>PRODUCTORA DE CABLES PROCABLES S.A.S.</t>
        </is>
      </c>
      <c r="J31" s="273" t="inlineStr">
        <is>
          <t>PRODUCTORA DE CABLES PROCABLES S.A.S.</t>
        </is>
      </c>
      <c r="K31" s="273" t="n">
        <v>1214457.8316</v>
      </c>
      <c r="L31" s="273" t="n">
        <v>230746.988004</v>
      </c>
      <c r="M31" s="273" t="inlineStr">
        <is>
          <t>Conexión de tierra desde los inversores hasta el tablero fotovoltaico</t>
        </is>
      </c>
      <c r="N31" s="273" t="inlineStr">
        <is>
          <t>https://drive.google.com/drive/folders/1eQubYT9_KBWjAItKXkUTaLGeGpY3h7BO</t>
        </is>
      </c>
      <c r="O31" s="273" t="n"/>
      <c r="P31" s="273" t="inlineStr">
        <is>
          <t>P00304</t>
        </is>
      </c>
      <c r="Q31" s="273" t="n"/>
      <c r="R31" s="273" t="n"/>
      <c r="S31" s="273" t="n"/>
      <c r="T31" s="273" t="n"/>
      <c r="U31" s="273" t="n"/>
      <c r="V31" s="273" t="n"/>
      <c r="W31" s="273" t="n"/>
      <c r="X31" s="273" t="n"/>
      <c r="Y31" s="273" t="n"/>
      <c r="Z31" s="273" t="n"/>
      <c r="AA31" s="273" t="n"/>
      <c r="AB31" s="273" t="n"/>
    </row>
    <row r="32" ht="90.75" customHeight="1" s="157">
      <c r="A32" s="273" t="n">
        <v>50</v>
      </c>
      <c r="B32" s="273" t="inlineStr">
        <is>
          <t>Alambres y cables en AC</t>
        </is>
      </c>
      <c r="C32" s="273" t="n"/>
      <c r="D32" s="273" t="n">
        <v>0</v>
      </c>
      <c r="E32" s="273" t="inlineStr">
        <is>
          <t>metros</t>
        </is>
      </c>
      <c r="F32" s="273" t="inlineStr">
        <is>
          <t>PROCABLES</t>
        </is>
      </c>
      <c r="G32" s="273" t="inlineStr">
        <is>
          <t>Cobre desnudo suave 2 AWG cableado concéntrico clase B</t>
        </is>
      </c>
      <c r="H32" s="273" t="inlineStr">
        <is>
          <t>NTC 1332/2011, UL 83/2017, ENERSIS/ENDESA E-BT-001/Rev. 6 2011, CODENSA ET-116/2019 y la RESOLUCIÓN 90708 del MINISTERIO DE MINAS Y ENERGÍA – RETIE (Numeral 20.2)</t>
        </is>
      </c>
      <c r="I32" s="273" t="inlineStr">
        <is>
          <t>PRODUCTORA DE CABLES PROCABLES S.A.S.</t>
        </is>
      </c>
      <c r="J32" s="273" t="inlineStr">
        <is>
          <t>SONEPAR</t>
        </is>
      </c>
      <c r="K32" s="273" t="n">
        <v>0</v>
      </c>
      <c r="L32" s="273" t="n">
        <v>0</v>
      </c>
      <c r="M32" s="273" t="inlineStr">
        <is>
          <t>Componente principal del sistema de puesta a tierra, permite la interconexión de las varillas de puesta a tierra, formando un enmallado</t>
        </is>
      </c>
      <c r="N32" s="273" t="inlineStr">
        <is>
          <t>https://drive.google.com/drive/folders/1EgEUg71TCUVyqx5EBRpi-b4OsHDeFAan</t>
        </is>
      </c>
      <c r="O32" s="273" t="n"/>
      <c r="P32" s="273" t="inlineStr">
        <is>
          <t>P00264</t>
        </is>
      </c>
      <c r="Q32" s="273" t="n"/>
      <c r="R32" s="273" t="n"/>
      <c r="S32" s="273" t="n"/>
      <c r="T32" s="273" t="n"/>
      <c r="U32" s="273" t="n"/>
      <c r="V32" s="273" t="n"/>
      <c r="W32" s="273" t="n"/>
      <c r="X32" s="273" t="n"/>
      <c r="Y32" s="273" t="n"/>
      <c r="Z32" s="273" t="n"/>
      <c r="AA32" s="273" t="n"/>
      <c r="AB32" s="273" t="n"/>
    </row>
    <row r="33" ht="90.75" customHeight="1" s="157">
      <c r="A33" s="273" t="n">
        <v>53</v>
      </c>
      <c r="B33" s="273" t="inlineStr">
        <is>
          <t>Alambres y cables en AC</t>
        </is>
      </c>
      <c r="C33" s="273" t="n"/>
      <c r="D33" s="273" t="n">
        <v>600</v>
      </c>
      <c r="E33" s="273" t="inlineStr">
        <is>
          <t>metros</t>
        </is>
      </c>
      <c r="F33" s="273" t="inlineStr">
        <is>
          <t>PRYSMIAN</t>
        </is>
      </c>
      <c r="G33" s="273" t="inlineStr">
        <is>
          <t>Cable de Baja Tensión XZ1 (S) – VOLTENAX/PE 
240 mm² Aluminio Compactado 0,6/1 (1,2) kV AC</t>
        </is>
      </c>
      <c r="H33" s="273" t="inlineStr">
        <is>
          <t>IEC 60502-1/2021 y la RESOLUCIÓN 90708 de 2013 del MINISTERIO DE MINAS Y ENERGÍA - RETIE (Numeral 20.2)</t>
        </is>
      </c>
      <c r="I33" s="273" t="inlineStr">
        <is>
          <t>PRYSMIAN CABOS E SISTEMAS DO BRASIL S/A</t>
        </is>
      </c>
      <c r="J33" s="273" t="inlineStr">
        <is>
          <t>SONEPAR</t>
        </is>
      </c>
      <c r="K33" s="273" t="n">
        <v>77060240.964</v>
      </c>
      <c r="L33" s="273" t="n">
        <v>14641445.78316</v>
      </c>
      <c r="M33" s="273" t="inlineStr">
        <is>
          <t>Transporta la energía AC proveniente de los inversores hasta el tablero fotovoltaico</t>
        </is>
      </c>
      <c r="N33" s="273" t="n"/>
      <c r="O33" s="273" t="inlineStr">
        <is>
          <t>https://drive.google.com/file/d/1pD1XSkGVYvwam9dqzMHD7JR-SgYduRpk/view?usp=drive_link</t>
        </is>
      </c>
      <c r="P33" s="273" t="inlineStr">
        <is>
          <t>P00261</t>
        </is>
      </c>
      <c r="Q33" s="273" t="n"/>
      <c r="R33" s="273" t="n"/>
      <c r="S33" s="273" t="n"/>
      <c r="T33" s="273" t="n"/>
      <c r="U33" s="273" t="n"/>
      <c r="V33" s="273" t="n"/>
      <c r="W33" s="273" t="n"/>
      <c r="X33" s="273" t="n"/>
      <c r="Y33" s="273" t="n"/>
      <c r="Z33" s="273" t="n"/>
      <c r="AA33" s="273" t="n"/>
      <c r="AB33" s="273" t="n"/>
    </row>
    <row r="34" ht="90.75" customHeight="1" s="157">
      <c r="A34" s="273" t="n">
        <v>55</v>
      </c>
      <c r="B34" s="273" t="inlineStr">
        <is>
          <t>Canalizaciones: canaletas, tubos, prefabricadas con barras o con cables, ductos subterráneos</t>
        </is>
      </c>
      <c r="C34" s="273" t="n"/>
      <c r="D34" s="273" t="n">
        <v>0</v>
      </c>
      <c r="E34" s="273" t="inlineStr">
        <is>
          <t>Unidades</t>
        </is>
      </c>
      <c r="F34" s="273" t="inlineStr">
        <is>
          <t>INTERFLEX</t>
        </is>
      </c>
      <c r="G34" s="273" t="inlineStr">
        <is>
          <t>AGT-48N</t>
        </is>
      </c>
      <c r="H34" s="273" t="inlineStr">
        <is>
          <t>Reglamento Técnico de instalaciones eléctricas RETIE . Resolución 90708 de 30 de agosto de 2013, Resolución 90795 de 25 de julio de 2014 del Ministerio de Minas y Energía Numerales 20.6.1</t>
        </is>
      </c>
      <c r="I34" s="273" t="inlineStr">
        <is>
          <t>INTERFLEX S.L</t>
        </is>
      </c>
      <c r="J34" s="273" t="inlineStr">
        <is>
          <t>EDEMCO S.A.S.</t>
        </is>
      </c>
      <c r="K34" s="273" t="n">
        <v>808062.65064</v>
      </c>
      <c r="L34" s="273" t="n">
        <v>153531.9036216</v>
      </c>
      <c r="M34" s="273" t="inlineStr">
        <is>
          <t>La tubería se encarga de proteger el cable de conexión entre la salida en AC de los inversores y el tablero FV</t>
        </is>
      </c>
      <c r="N34" s="273" t="inlineStr">
        <is>
          <t>https://drive.google.com/drive/folders/19UyhofeeZK-Q-4qGkg9urPR2kjNeYMOC</t>
        </is>
      </c>
      <c r="O34" s="273" t="n"/>
      <c r="P34" s="273" t="inlineStr">
        <is>
          <t>P01048</t>
        </is>
      </c>
      <c r="Q34" s="273" t="n"/>
      <c r="R34" s="273" t="n"/>
      <c r="S34" s="273" t="n"/>
      <c r="T34" s="273" t="n"/>
      <c r="U34" s="273" t="n"/>
      <c r="V34" s="273" t="n"/>
      <c r="W34" s="273" t="n"/>
      <c r="X34" s="273" t="n"/>
      <c r="Y34" s="273" t="n"/>
      <c r="Z34" s="273" t="n"/>
      <c r="AA34" s="273" t="n"/>
      <c r="AB34" s="273" t="n"/>
    </row>
    <row r="35" ht="90.75" customHeight="1" s="157">
      <c r="A35" s="273" t="n">
        <v>57</v>
      </c>
      <c r="B35" s="273" t="inlineStr">
        <is>
          <t>Canalizaciones: canaletas, tubos, prefabricadas con barras o con cables, ductos subterráneos</t>
        </is>
      </c>
      <c r="C35" s="273" t="n"/>
      <c r="D35" s="273" t="n">
        <v>0</v>
      </c>
      <c r="E35" s="273" t="inlineStr">
        <is>
          <t>unidad</t>
        </is>
      </c>
      <c r="F35" s="273" t="inlineStr">
        <is>
          <t>PLASTIMEC Y RALCO</t>
        </is>
      </c>
      <c r="G35" s="273" t="inlineStr">
        <is>
          <t>TUBOS DE PVC RÍGIDO Conduit Tipo A De 3/4"</t>
        </is>
      </c>
      <c r="H35" s="273" t="inlineStr">
        <is>
          <t>NTC 979/2021 y la RESOLUCIÓN 90708 de 2013 del MINISTERIO DE MINAS Y ENERGÍA RETIE (Numeral 20.6)</t>
        </is>
      </c>
      <c r="I35" s="273" t="inlineStr">
        <is>
          <t>INDUSTRIA COLOMBIANA DE PLÁSTICOS S.A.S. - IMEC S.A.S.</t>
        </is>
      </c>
      <c r="J35" s="273" t="inlineStr">
        <is>
          <t>IE INTER ELECTRICAS</t>
        </is>
      </c>
      <c r="K35" s="273" t="n">
        <v>851132.5300800001</v>
      </c>
      <c r="L35" s="273" t="n">
        <v>161715.1807152</v>
      </c>
      <c r="M35" s="273" t="inlineStr">
        <is>
          <t>La tubería se encarga de proteger el cable de comunicación de los inversores  con el smartlogger ubicado en la subestación.</t>
        </is>
      </c>
      <c r="N35" s="273" t="inlineStr">
        <is>
          <t>https://drive.google.com/drive/folders/1zNd1D2h-z-VYbFcd_0_QKnoePDwbyND-</t>
        </is>
      </c>
      <c r="O35" s="273" t="n"/>
      <c r="P35" s="273" t="inlineStr">
        <is>
          <t>P01080</t>
        </is>
      </c>
      <c r="Q35" s="273" t="n"/>
      <c r="R35" s="273" t="n"/>
      <c r="S35" s="273" t="n"/>
      <c r="T35" s="273" t="n"/>
      <c r="U35" s="273" t="n"/>
      <c r="V35" s="273" t="n"/>
      <c r="W35" s="273" t="n"/>
      <c r="X35" s="273" t="n"/>
      <c r="Y35" s="273" t="n"/>
      <c r="Z35" s="273" t="n"/>
      <c r="AA35" s="273" t="n"/>
      <c r="AB35" s="273" t="n"/>
    </row>
    <row r="36" ht="90.75" customHeight="1" s="157">
      <c r="A36" s="273" t="n">
        <v>58</v>
      </c>
      <c r="B36" s="273" t="inlineStr">
        <is>
          <t>Canalizaciones: canaletas, tubos, prefabricadas con barras o con cables, ductos subterráneos</t>
        </is>
      </c>
      <c r="C36" s="273" t="n"/>
      <c r="D36" s="273" t="n">
        <v>0</v>
      </c>
      <c r="E36" s="273" t="inlineStr">
        <is>
          <t>unidades</t>
        </is>
      </c>
      <c r="F36" s="273" t="inlineStr">
        <is>
          <t>Durman</t>
        </is>
      </c>
      <c r="G36" s="273" t="inlineStr">
        <is>
          <t>DUCTOS ELÉCTRICOS Y TELEFÓNICOS DB 3M 2 pulg
Referencia 2016200</t>
        </is>
      </c>
      <c r="H36" s="273" t="inlineStr">
        <is>
          <t>NTC 1630 Tubos de PVC para alojar y proteger conductores subterráneos eléctricos y telefónicos
Resolución 9 0708 RETIE Accesorios de PVC para Tubería Conduit Cajas de PVC para Instalaciones Eléctricas</t>
        </is>
      </c>
      <c r="I36" s="273" t="inlineStr">
        <is>
          <t>Durman by aliaxis</t>
        </is>
      </c>
      <c r="J36" s="273" t="inlineStr">
        <is>
          <t>IE INTER ELECTRICAS</t>
        </is>
      </c>
      <c r="K36" s="273" t="n">
        <v>16216481.928</v>
      </c>
      <c r="L36" s="273" t="n">
        <v>3081131.56632</v>
      </c>
      <c r="M36" s="273" t="inlineStr">
        <is>
          <t>La tubería se encarga de proteger el cable de conexión entre los inversores y el tablero fotovoltaico.</t>
        </is>
      </c>
      <c r="N36" s="273" t="inlineStr">
        <is>
          <t>https://drive.google.com/drive/folders/1mapuxMqv4bBnC7lfc-hqPE-GkTStiuHX</t>
        </is>
      </c>
      <c r="O36" s="273" t="n"/>
      <c r="P36" s="273" t="inlineStr">
        <is>
          <t>P01084</t>
        </is>
      </c>
      <c r="Q36" s="273" t="n"/>
      <c r="R36" s="273" t="n"/>
      <c r="S36" s="273" t="n"/>
      <c r="T36" s="273" t="n"/>
      <c r="U36" s="273" t="n"/>
      <c r="V36" s="273" t="n"/>
      <c r="W36" s="273" t="n"/>
      <c r="X36" s="273" t="n"/>
      <c r="Y36" s="273" t="n"/>
      <c r="Z36" s="273" t="n"/>
      <c r="AA36" s="273" t="n"/>
      <c r="AB36" s="273" t="n"/>
    </row>
    <row r="37" ht="90.75" customHeight="1" s="157">
      <c r="A37" s="273" t="n">
        <v>59</v>
      </c>
      <c r="B37" s="273" t="inlineStr">
        <is>
          <t>Canalizaciones: canaletas, tubos, prefabricadas con barras o con cables, ductos subterráneos</t>
        </is>
      </c>
      <c r="C37" s="273" t="n"/>
      <c r="D37" s="273" t="n">
        <v>0</v>
      </c>
      <c r="E37" s="273" t="inlineStr">
        <is>
          <t>unidades</t>
        </is>
      </c>
      <c r="F37" s="273" t="inlineStr">
        <is>
          <t>Durman</t>
        </is>
      </c>
      <c r="G37" s="273" t="inlineStr">
        <is>
          <t>DUCTOS ELÉCTRICOS Y TELEFÓNICOS DB 3M 2 pulg  referencia 2016201</t>
        </is>
      </c>
      <c r="H37" s="273" t="inlineStr">
        <is>
          <t>"NTC 1630 Tubos de PVC para alojar y proteger conductores subterráneos eléctricos y telefónicos
Resolución 9 0708 RETIE Accesorios de PVC para Tubería Conduit Cajas de PVC para Instalaciones Eléctricas"</t>
        </is>
      </c>
      <c r="I37" s="273" t="inlineStr">
        <is>
          <t>Durman by aliaxis</t>
        </is>
      </c>
      <c r="J37" s="273" t="inlineStr">
        <is>
          <t>IE INTER ELECTRICAS</t>
        </is>
      </c>
      <c r="K37" s="273" t="n">
        <v>16216481.928</v>
      </c>
      <c r="L37" s="273" t="n">
        <v>3081131.56632</v>
      </c>
      <c r="M37" s="273" t="inlineStr">
        <is>
          <t>La tubería se encarga de proteger el cable de conexión entre los inversores y el tablero fotovoltaico.</t>
        </is>
      </c>
      <c r="N37" s="273" t="inlineStr">
        <is>
          <t>https://drive.google.com/drive/folders/1mapuxMqv4bBnC7lfc-hqPE-GkTStiuHX</t>
        </is>
      </c>
      <c r="O37" s="273" t="n"/>
      <c r="P37" s="273" t="inlineStr">
        <is>
          <t>P01084</t>
        </is>
      </c>
      <c r="Q37" s="273" t="n"/>
      <c r="R37" s="273" t="n"/>
      <c r="S37" s="273" t="n"/>
      <c r="T37" s="273" t="n"/>
      <c r="U37" s="273" t="n"/>
      <c r="V37" s="273" t="n"/>
      <c r="W37" s="273" t="n"/>
      <c r="X37" s="273" t="n"/>
      <c r="Y37" s="273" t="n"/>
      <c r="Z37" s="273" t="n"/>
      <c r="AA37" s="273" t="n"/>
      <c r="AB37" s="273" t="n"/>
    </row>
    <row r="38" ht="90.75" customHeight="1" s="157">
      <c r="A38" s="273" t="n">
        <v>60</v>
      </c>
      <c r="B38" s="273" t="inlineStr">
        <is>
          <t>Canalizaciones: canaletas, tubos, prefabricadas con barras o con cables, ductos subterráneos</t>
        </is>
      </c>
      <c r="C38" s="273" t="n"/>
      <c r="D38" s="273" t="n">
        <v>0</v>
      </c>
      <c r="E38" s="273" t="inlineStr">
        <is>
          <t>unidades</t>
        </is>
      </c>
      <c r="F38" s="273" t="inlineStr">
        <is>
          <t>Durman</t>
        </is>
      </c>
      <c r="G38" s="273" t="inlineStr">
        <is>
          <t>DUCTOS ELÉCTRICOS Y TELEFÓNICOS DB 3M 2 pulg  referencia 2016202</t>
        </is>
      </c>
      <c r="H38" s="273" t="inlineStr">
        <is>
          <t>"NTC 1630 Tubos de PVC para alojar y proteger conductores subterráneos eléctricos y telefónicos
Resolución 9 0708 RETIE Accesorios de PVC para Tubería Conduit Cajas de PVC para Instalaciones Eléctricas"</t>
        </is>
      </c>
      <c r="I38" s="273" t="inlineStr">
        <is>
          <t>Durman by aliaxis</t>
        </is>
      </c>
      <c r="J38" s="273" t="inlineStr">
        <is>
          <t>IE INTER ELECTRICAS</t>
        </is>
      </c>
      <c r="K38" s="273" t="n">
        <v>16216481.928</v>
      </c>
      <c r="L38" s="273" t="n">
        <v>3081131.56632</v>
      </c>
      <c r="M38" s="273" t="inlineStr">
        <is>
          <t>La tubería se encarga de proteger el cable de conexión entre los inversores y el tablero fotovoltaico.</t>
        </is>
      </c>
      <c r="N38" s="273" t="inlineStr">
        <is>
          <t>https://drive.google.com/drive/folders/1mapuxMqv4bBnC7lfc-hqPE-GkTStiuHX</t>
        </is>
      </c>
      <c r="O38" s="273" t="n"/>
      <c r="P38" s="273" t="inlineStr">
        <is>
          <t>P01084</t>
        </is>
      </c>
      <c r="Q38" s="273" t="n"/>
      <c r="R38" s="273" t="n"/>
      <c r="S38" s="273" t="n"/>
      <c r="T38" s="273" t="n"/>
      <c r="U38" s="273" t="n"/>
      <c r="V38" s="273" t="n"/>
      <c r="W38" s="273" t="n"/>
      <c r="X38" s="273" t="n"/>
      <c r="Y38" s="273" t="n"/>
      <c r="Z38" s="273" t="n"/>
      <c r="AA38" s="273" t="n"/>
      <c r="AB38" s="273" t="n"/>
    </row>
    <row r="39" ht="90.75" customHeight="1" s="157">
      <c r="A39" s="273" t="n">
        <v>61</v>
      </c>
      <c r="B39" s="273" t="inlineStr">
        <is>
          <t>Canalizaciones: canaletas, tubos, prefabricadas con barras o con cables, ductos subterráneos</t>
        </is>
      </c>
      <c r="C39" s="273" t="n"/>
      <c r="D39" s="273" t="n">
        <v>30</v>
      </c>
      <c r="E39" s="273" t="inlineStr">
        <is>
          <t>unidades</t>
        </is>
      </c>
      <c r="F39" s="273" t="inlineStr">
        <is>
          <t>Durman</t>
        </is>
      </c>
      <c r="G39" s="273" t="inlineStr">
        <is>
          <t>DUCTOS ELÉCTRICOS Y TELEFÓNICOS DB 6M 4 pulg
Referencia 2016203</t>
        </is>
      </c>
      <c r="H39" s="273" t="inlineStr">
        <is>
          <t>NTC 1630 Tubos de PVC para alojar y proteger conductores subterráneos eléctricos y telefónicos
Resolución 9 0708 RETIE Accesorios de PVC para Tubería Conduit Cajas de PVC para Instalaciones Eléctricas</t>
        </is>
      </c>
      <c r="I39" s="273" t="inlineStr">
        <is>
          <t>Durman by aliaxis</t>
        </is>
      </c>
      <c r="J39" s="273" t="inlineStr">
        <is>
          <t>IE INTER ELECTRICAS</t>
        </is>
      </c>
      <c r="K39" s="273" t="n">
        <v>636685.59036</v>
      </c>
      <c r="L39" s="273" t="n">
        <v>120970.2621684</v>
      </c>
      <c r="M39" s="273" t="inlineStr">
        <is>
          <t>La tubería se encarga de proteger el cable de conexión entre los inversores y el tablero fotovoltaico</t>
        </is>
      </c>
      <c r="N39" s="273" t="inlineStr">
        <is>
          <t>https://drive.google.com/drive/folders/1mapuxMqv4bBnC7lfc-hqPE-GkTStiuHX</t>
        </is>
      </c>
      <c r="O39" s="273" t="n"/>
      <c r="P39" s="273" t="inlineStr">
        <is>
          <t>P01086</t>
        </is>
      </c>
      <c r="Q39" s="273" t="n"/>
      <c r="R39" s="273" t="n"/>
      <c r="S39" s="273" t="n"/>
      <c r="T39" s="273" t="n"/>
      <c r="U39" s="273" t="n"/>
      <c r="V39" s="273" t="n"/>
      <c r="W39" s="273" t="n"/>
      <c r="X39" s="273" t="n"/>
      <c r="Y39" s="273" t="n"/>
      <c r="Z39" s="273" t="n"/>
      <c r="AA39" s="273" t="n"/>
      <c r="AB39" s="273" t="n"/>
    </row>
    <row r="40" ht="90.75" customHeight="1" s="157">
      <c r="A40" s="273" t="n">
        <v>66</v>
      </c>
      <c r="B40" s="273" t="inlineStr">
        <is>
          <t>Canalizaciones: canaletas, tubos, prefabricadas con barras o con cables, ductos subterráneos</t>
        </is>
      </c>
      <c r="C40" s="273" t="n"/>
      <c r="D40" s="273" t="n">
        <v>10</v>
      </c>
      <c r="E40" s="273" t="inlineStr">
        <is>
          <t>unidades</t>
        </is>
      </c>
      <c r="F40" s="273" t="inlineStr">
        <is>
          <t xml:space="preserve">AISCAN </t>
        </is>
      </c>
      <c r="G40" s="273" t="inlineStr">
        <is>
          <t>TPI25 - Tubo corrugado ø 25</t>
        </is>
      </c>
      <c r="H40" s="273" t="inlineStr">
        <is>
          <t>IEC 61386-1 de 2008,Numeral 20.6.1 del Reglamento Técnico de Instalaciones Eléctricas - RETIE. Resolución 90708 de 30 de agosto
de 2013 del Ministerio de Minas y Energías</t>
        </is>
      </c>
      <c r="I40" s="273" t="inlineStr">
        <is>
          <t>AISCAN, S.L.</t>
        </is>
      </c>
      <c r="J40" s="273" t="inlineStr">
        <is>
          <t>METALYCA</t>
        </is>
      </c>
      <c r="K40" s="273" t="n">
        <v>0</v>
      </c>
      <c r="L40" s="273" t="n">
        <v>0</v>
      </c>
      <c r="M40" s="273" t="inlineStr">
        <is>
          <t>La tubería se encarga de proteger el cable de conexión entre los inversores y el tablero fotovoltaico</t>
        </is>
      </c>
      <c r="N40" s="273" t="n"/>
      <c r="O40" s="273" t="inlineStr">
        <is>
          <t>https://drive.google.com/file/d/1YJxqQaepEEQ649OUca3H82F8Ekp1SYmq/view?usp=drive_link</t>
        </is>
      </c>
      <c r="P40" s="273" t="inlineStr">
        <is>
          <t>P01091</t>
        </is>
      </c>
      <c r="Q40" s="273" t="n"/>
      <c r="R40" s="273" t="n"/>
      <c r="S40" s="273" t="n"/>
      <c r="T40" s="273" t="n"/>
      <c r="U40" s="273" t="n"/>
      <c r="V40" s="273" t="n"/>
      <c r="W40" s="273" t="n"/>
      <c r="X40" s="273" t="n"/>
      <c r="Y40" s="273" t="n"/>
      <c r="Z40" s="273" t="n"/>
      <c r="AA40" s="273" t="n"/>
      <c r="AB40" s="273" t="n"/>
    </row>
    <row r="41" ht="90.75" customHeight="1" s="157">
      <c r="A41" s="273" t="n">
        <v>67</v>
      </c>
      <c r="B41" s="273" t="inlineStr">
        <is>
          <t>Canalizaciones: canaletas, tubos, prefabricadas con barras o con cables, ductos subterráneos</t>
        </is>
      </c>
      <c r="C41" s="273" t="n"/>
      <c r="D41" s="273" t="n">
        <v>1</v>
      </c>
      <c r="E41" s="273" t="inlineStr">
        <is>
          <t>unidades</t>
        </is>
      </c>
      <c r="F41" s="273" t="inlineStr">
        <is>
          <t xml:space="preserve">AISCAN </t>
        </is>
      </c>
      <c r="G41" s="273" t="inlineStr">
        <is>
          <t>UV63 - Tubo anti UV en rollos ø 63</t>
        </is>
      </c>
      <c r="H41" s="273" t="inlineStr">
        <is>
          <t>IEC 61386-1 de 2008,Numeral 20.6.1 del Reglamento Técnico de Instalaciones Eléctricas - RETIE. Resolución 90708 de 30 de agosto
de 2013 del Ministerio de Minas y Energías</t>
        </is>
      </c>
      <c r="I41" s="273" t="inlineStr">
        <is>
          <t>AISCAN, S.L.</t>
        </is>
      </c>
      <c r="J41" s="273" t="inlineStr">
        <is>
          <t>METALYCA</t>
        </is>
      </c>
      <c r="K41" s="273" t="n">
        <v>0</v>
      </c>
      <c r="L41" s="273" t="n">
        <v>0</v>
      </c>
      <c r="M41" s="273" t="inlineStr">
        <is>
          <t>La tubería se encarga de proteger el cable de conexión entre los inversores y el tablero fotovoltaico</t>
        </is>
      </c>
      <c r="N41" s="273" t="n"/>
      <c r="O41" s="273" t="inlineStr">
        <is>
          <t>https://drive.google.com/file/d/1cvsBxzgGhwkIH3rbQxqN0UMrB0oS8FVD/view?usp=drive_link</t>
        </is>
      </c>
      <c r="P41" s="273" t="inlineStr">
        <is>
          <t>P01049</t>
        </is>
      </c>
      <c r="Q41" s="273" t="n"/>
      <c r="R41" s="273" t="n"/>
      <c r="S41" s="273" t="n"/>
      <c r="T41" s="273" t="n"/>
      <c r="U41" s="273" t="n"/>
      <c r="V41" s="273" t="n"/>
      <c r="W41" s="273" t="n"/>
      <c r="X41" s="273" t="n"/>
      <c r="Y41" s="273" t="n"/>
      <c r="Z41" s="273" t="n"/>
      <c r="AA41" s="273" t="n"/>
      <c r="AB41" s="273" t="n"/>
    </row>
    <row r="42" ht="90.75" customHeight="1" s="157">
      <c r="A42" s="273" t="n">
        <v>68</v>
      </c>
      <c r="B42" s="273" t="inlineStr">
        <is>
          <t>Canalizaciones: canaletas, tubos, prefabricadas con barras o con cables, ductos subterráneos</t>
        </is>
      </c>
      <c r="C42" s="273" t="n"/>
      <c r="D42" s="273" t="n">
        <v>1</v>
      </c>
      <c r="E42" s="273" t="inlineStr">
        <is>
          <t>unidades</t>
        </is>
      </c>
      <c r="F42" s="273" t="inlineStr">
        <is>
          <t xml:space="preserve">AISCAN </t>
        </is>
      </c>
      <c r="G42" s="273" t="inlineStr">
        <is>
          <t>UV110 - Tubo anti UV en rollos ø 110</t>
        </is>
      </c>
      <c r="H42" s="273" t="inlineStr">
        <is>
          <t>IEC 61386-1 de 2008,Numeral 20.6.1 del Reglamento Técnico de Instalaciones Eléctricas - RETIE. Resolución 90708 de 30 de agosto
de 2013 del Ministerio de Minas y Energías</t>
        </is>
      </c>
      <c r="I42" s="273" t="inlineStr">
        <is>
          <t>AISCAN, S.L.</t>
        </is>
      </c>
      <c r="J42" s="273" t="inlineStr">
        <is>
          <t>METALYCA</t>
        </is>
      </c>
      <c r="K42" s="273" t="n">
        <v>0</v>
      </c>
      <c r="L42" s="273" t="n">
        <v>0</v>
      </c>
      <c r="M42" s="273" t="inlineStr">
        <is>
          <t>La tubería se encarga de proteger el cable de conexión entre los inversores y el tablero fotovoltaico</t>
        </is>
      </c>
      <c r="N42" s="273" t="n"/>
      <c r="O42" s="273" t="inlineStr">
        <is>
          <t>https://drive.google.com/file/d/1cvsBxzgGhwkIH3rbQxqN0UMrB0oS8FVD/view?usp=drive_link</t>
        </is>
      </c>
      <c r="P42" s="273" t="inlineStr">
        <is>
          <t>P01051</t>
        </is>
      </c>
      <c r="Q42" s="273" t="n"/>
      <c r="R42" s="273" t="n"/>
      <c r="S42" s="273" t="n"/>
      <c r="T42" s="273" t="n"/>
      <c r="U42" s="273" t="n"/>
      <c r="V42" s="273" t="n"/>
      <c r="W42" s="273" t="n"/>
      <c r="X42" s="273" t="n"/>
      <c r="Y42" s="273" t="n"/>
      <c r="Z42" s="273" t="n"/>
      <c r="AA42" s="273" t="n"/>
      <c r="AB42" s="273" t="n"/>
    </row>
    <row r="43" ht="90.75" customHeight="1" s="157">
      <c r="A43" s="273" t="n">
        <v>69</v>
      </c>
      <c r="B43" s="273" t="inlineStr">
        <is>
          <t>Canalizaciones: canaletas, tubos, prefabricadas con barras o con cables, ductos subterráneos</t>
        </is>
      </c>
      <c r="C43" s="273" t="n"/>
      <c r="D43" s="273" t="n">
        <v>10</v>
      </c>
      <c r="E43" s="273" t="inlineStr">
        <is>
          <t>unidades</t>
        </is>
      </c>
      <c r="F43" s="273" t="inlineStr">
        <is>
          <t xml:space="preserve">AISCAN </t>
        </is>
      </c>
      <c r="G43" s="273" t="inlineStr">
        <is>
          <t>FUV-25 - Tubo curvable FUV ø 25</t>
        </is>
      </c>
      <c r="H43" s="273" t="inlineStr">
        <is>
          <t>IEC 61386-1 de 2008,Numeral 20.6.1 del Reglamento Técnico de Instalaciones Eléctricas - RETIE. Resolución 90708 de 30 de agosto
de 2013 del Ministerio de Minas y Energías</t>
        </is>
      </c>
      <c r="I43" s="273" t="inlineStr">
        <is>
          <t>AISCAN, S.L.</t>
        </is>
      </c>
      <c r="J43" s="273" t="inlineStr">
        <is>
          <t>METALYCA</t>
        </is>
      </c>
      <c r="K43" s="273" t="n">
        <v>0</v>
      </c>
      <c r="L43" s="273" t="n">
        <v>0</v>
      </c>
      <c r="M43" s="273" t="inlineStr">
        <is>
          <t>La tubería se encarga de proteger el cable de conexión entre los inversores y el tablero fotovoltaico</t>
        </is>
      </c>
      <c r="N43" s="273" t="n"/>
      <c r="O43" s="273" t="inlineStr">
        <is>
          <t>https://drive.google.com/file/d/1YJxqQaepEEQ649OUca3H82F8Ekp1SYmq/view?usp=drive_link</t>
        </is>
      </c>
      <c r="P43" s="273" t="inlineStr">
        <is>
          <t>P01091</t>
        </is>
      </c>
      <c r="Q43" s="273" t="n"/>
      <c r="R43" s="273" t="n"/>
      <c r="S43" s="273" t="n"/>
      <c r="T43" s="273" t="n"/>
      <c r="U43" s="273" t="n"/>
      <c r="V43" s="273" t="n"/>
      <c r="W43" s="273" t="n"/>
      <c r="X43" s="273" t="n"/>
      <c r="Y43" s="273" t="n"/>
      <c r="Z43" s="273" t="n"/>
      <c r="AA43" s="273" t="n"/>
      <c r="AB43" s="273" t="n"/>
    </row>
    <row r="44" ht="90.75" customHeight="1" s="157">
      <c r="A44" s="273" t="n">
        <v>70</v>
      </c>
      <c r="B44" s="273" t="inlineStr">
        <is>
          <t>Canalizaciones: canaletas, tubos, prefabricadas con barras o con cables, ductos subterráneos</t>
        </is>
      </c>
      <c r="C44" s="273" t="n"/>
      <c r="D44" s="273" t="n">
        <v>5</v>
      </c>
      <c r="E44" s="273" t="inlineStr">
        <is>
          <t>unidades</t>
        </is>
      </c>
      <c r="F44" s="273" t="inlineStr">
        <is>
          <t xml:space="preserve">AISCAN </t>
        </is>
      </c>
      <c r="G44" s="273" t="inlineStr">
        <is>
          <t>DRN63 - Tubo enterrado normal en rollos ø 63</t>
        </is>
      </c>
      <c r="H44" s="273" t="inlineStr">
        <is>
          <t>IEC 61386-1 de 2008,Numeral 20.6.1 del Reglamento Técnico de Instalaciones Eléctricas - RETIE. Resolución 90708 de 30 de agosto
de 2013 del Ministerio de Minas y Energías</t>
        </is>
      </c>
      <c r="I44" s="273" t="inlineStr">
        <is>
          <t>AISCAN, S.L.</t>
        </is>
      </c>
      <c r="J44" s="273" t="inlineStr">
        <is>
          <t>METALYCA</t>
        </is>
      </c>
      <c r="K44" s="273" t="n">
        <v>0</v>
      </c>
      <c r="L44" s="273" t="n">
        <v>0</v>
      </c>
      <c r="M44" s="273" t="inlineStr">
        <is>
          <t>La tubería se encarga de proteger el cable de conexión entre los inversores y el tablero fotovoltaico</t>
        </is>
      </c>
      <c r="N44" s="273" t="n"/>
      <c r="O44" s="273" t="inlineStr">
        <is>
          <t>https://drive.google.com/file/d/1cvsBxzgGhwkIH3rbQxqN0UMrB0oS8FVD/view?usp=drive_link</t>
        </is>
      </c>
      <c r="P44" s="273" t="inlineStr">
        <is>
          <t>P01050</t>
        </is>
      </c>
      <c r="Q44" s="273" t="n"/>
      <c r="R44" s="273" t="n"/>
      <c r="S44" s="273" t="n"/>
      <c r="T44" s="273" t="n"/>
      <c r="U44" s="273" t="n"/>
      <c r="V44" s="273" t="n"/>
      <c r="W44" s="273" t="n"/>
      <c r="X44" s="273" t="n"/>
      <c r="Y44" s="273" t="n"/>
      <c r="Z44" s="273" t="n"/>
      <c r="AA44" s="273" t="n"/>
      <c r="AB44" s="273" t="n"/>
    </row>
    <row r="45" ht="90.75" customHeight="1" s="157">
      <c r="A45" s="273" t="n">
        <v>72</v>
      </c>
      <c r="B45" s="273" t="inlineStr">
        <is>
          <t>Canalizaciones: canaletas, tubos, prefabricadas con barras o con cables, ductos subterráneos</t>
        </is>
      </c>
      <c r="C45" s="273" t="n"/>
      <c r="D45" s="273" t="n">
        <v>4</v>
      </c>
      <c r="E45" s="273" t="inlineStr">
        <is>
          <t>unidades</t>
        </is>
      </c>
      <c r="F45" s="273" t="inlineStr">
        <is>
          <t xml:space="preserve">AISCAN </t>
        </is>
      </c>
      <c r="G45" s="273" t="inlineStr">
        <is>
          <t>DRN110 - Tubo enterrado normal en rollos ø 110</t>
        </is>
      </c>
      <c r="H45" s="273" t="inlineStr">
        <is>
          <t>IEC 61386-1 de 2008,Numeral 20.6.1 del Reglamento Técnico de Instalaciones Eléctricas - RETIE. Resolución 90708 de 30 de agosto
de 2013 del Ministerio de Minas y Energías</t>
        </is>
      </c>
      <c r="I45" s="273" t="inlineStr">
        <is>
          <t>AISCAN, S.L.</t>
        </is>
      </c>
      <c r="J45" s="273" t="inlineStr">
        <is>
          <t>METALYCA</t>
        </is>
      </c>
      <c r="K45" s="273" t="n">
        <v>0</v>
      </c>
      <c r="L45" s="273" t="n">
        <v>0</v>
      </c>
      <c r="M45" s="273" t="inlineStr">
        <is>
          <t>La tubería se encarga de proteger el cable de conexión entre los inversores y el tablero fotovoltaico</t>
        </is>
      </c>
      <c r="N45" s="273" t="n"/>
      <c r="O45" s="273" t="inlineStr">
        <is>
          <t>https://drive.google.com/file/d/1cvsBxzgGhwkIH3rbQxqN0UMrB0oS8FVD/view?usp=drive_link</t>
        </is>
      </c>
      <c r="P45" s="273" t="inlineStr">
        <is>
          <t>P01052</t>
        </is>
      </c>
      <c r="Q45" s="273" t="n"/>
      <c r="R45" s="273" t="n"/>
      <c r="S45" s="273" t="n"/>
      <c r="T45" s="273" t="n"/>
      <c r="U45" s="273" t="n"/>
      <c r="V45" s="273" t="n"/>
      <c r="W45" s="273" t="n"/>
      <c r="X45" s="273" t="n"/>
      <c r="Y45" s="273" t="n"/>
      <c r="Z45" s="273" t="n"/>
      <c r="AA45" s="273" t="n"/>
      <c r="AB45" s="273" t="n"/>
    </row>
    <row r="46" ht="90.75" customHeight="1" s="157">
      <c r="A46" s="273" t="n">
        <v>75</v>
      </c>
      <c r="B46" s="273" t="inlineStr">
        <is>
          <t>Bandejas Portacables</t>
        </is>
      </c>
      <c r="C46" s="273" t="n"/>
      <c r="D46" s="273" t="n">
        <v>4</v>
      </c>
      <c r="E46" s="273" t="inlineStr">
        <is>
          <t>unidades</t>
        </is>
      </c>
      <c r="F46" s="273" t="inlineStr">
        <is>
          <t>GALCO</t>
        </is>
      </c>
      <c r="G46" s="273" t="inlineStr">
        <is>
          <t>TSEG30</t>
        </is>
      </c>
      <c r="H46" s="273" t="inlineStr">
        <is>
          <t>Certificado Retie y Nema en sistemas de conducción eléctrica Certificado de calidad en galvanizado en caliente norma Astm A -123/Astm A 153 DIN 4102-12 ISO 9001: 2015</t>
        </is>
      </c>
      <c r="I46" s="273" t="inlineStr">
        <is>
          <t>GALCO S.A.S</t>
        </is>
      </c>
      <c r="J46" s="273" t="inlineStr">
        <is>
          <t>GALCO</t>
        </is>
      </c>
      <c r="K46" s="273" t="n">
        <v>588433.7349599999</v>
      </c>
      <c r="L46" s="273" t="n">
        <v>111802.4096424</v>
      </c>
      <c r="M46" s="273" t="inlineStr">
        <is>
          <t>Tapas galvanizadas para bandejas portacables. Su función es proveer seguridad a las personas y preservar la vida útil del cableado.</t>
        </is>
      </c>
      <c r="N46" s="273" t="inlineStr">
        <is>
          <t>https://drive.google.com/drive/folders/16DfZviR3HK2rweX-OL9dVN7BhLUkxsmx</t>
        </is>
      </c>
      <c r="O46" s="273" t="n"/>
      <c r="P46" s="273" t="inlineStr">
        <is>
          <t>P00952</t>
        </is>
      </c>
      <c r="Q46" s="273" t="n"/>
      <c r="R46" s="273" t="n"/>
      <c r="S46" s="273" t="n"/>
      <c r="T46" s="273" t="n"/>
      <c r="U46" s="273" t="n"/>
      <c r="V46" s="273" t="n"/>
      <c r="W46" s="273" t="n"/>
      <c r="X46" s="273" t="n"/>
      <c r="Y46" s="273" t="n"/>
      <c r="Z46" s="273" t="n"/>
      <c r="AA46" s="273" t="n"/>
      <c r="AB46" s="273" t="n"/>
    </row>
    <row r="47" ht="90.75" customHeight="1" s="157">
      <c r="A47" s="273" t="n">
        <v>77</v>
      </c>
      <c r="B47" s="273" t="inlineStr">
        <is>
          <t>Bandejas Portacables</t>
        </is>
      </c>
      <c r="C47" s="273" t="n"/>
      <c r="D47" s="273" t="n">
        <v>10</v>
      </c>
      <c r="E47" s="273" t="inlineStr">
        <is>
          <t>unidades</t>
        </is>
      </c>
      <c r="F47" s="273" t="inlineStr">
        <is>
          <t>GALCO</t>
        </is>
      </c>
      <c r="G47" s="273" t="inlineStr">
        <is>
          <t>Soporte Peldaño Perfil Dentado</t>
        </is>
      </c>
      <c r="H47" s="273" t="inlineStr">
        <is>
          <t>ASTM A123, ASTM A153, ICONTEC 2076</t>
        </is>
      </c>
      <c r="I47" s="273" t="inlineStr">
        <is>
          <t>GALCO S.A.S</t>
        </is>
      </c>
      <c r="J47" s="273" t="inlineStr">
        <is>
          <t>GALCO</t>
        </is>
      </c>
      <c r="K47" s="273" t="n">
        <v>381686.74704</v>
      </c>
      <c r="L47" s="273" t="n">
        <v>72520.48193759999</v>
      </c>
      <c r="M47" s="273" t="inlineStr">
        <is>
          <t>Perfil ranurado utilizado para sujetar la bandeja enmallada a la estructura de los inversores</t>
        </is>
      </c>
      <c r="N47" s="273" t="inlineStr">
        <is>
          <t>https://drive.google.com/drive/folders/1k72A9tHRxR4FYo5g4XGyAuGmLdv4Ehbz</t>
        </is>
      </c>
      <c r="O47" s="273" t="n"/>
      <c r="P47" s="273" t="inlineStr">
        <is>
          <t>P00924</t>
        </is>
      </c>
      <c r="Q47" s="273" t="n"/>
      <c r="R47" s="273" t="n"/>
      <c r="S47" s="273" t="n"/>
      <c r="T47" s="273" t="n"/>
      <c r="U47" s="273" t="n"/>
      <c r="V47" s="273" t="n"/>
      <c r="W47" s="273" t="n"/>
      <c r="X47" s="273" t="n"/>
      <c r="Y47" s="273" t="n"/>
      <c r="Z47" s="273" t="n"/>
      <c r="AA47" s="273" t="n"/>
      <c r="AB47" s="273" t="n"/>
    </row>
    <row r="48" ht="90.75" customHeight="1" s="157">
      <c r="A48" s="273" t="n">
        <v>81</v>
      </c>
      <c r="B48" s="273" t="inlineStr">
        <is>
          <t>Elementos o equipos para el sistema de puesta a tierra (varillas, mallas, grapas, conectores)</t>
        </is>
      </c>
      <c r="C48" s="273" t="n"/>
      <c r="D48" s="273" t="n">
        <v>12</v>
      </c>
      <c r="E48" s="273" t="inlineStr">
        <is>
          <t>unidades</t>
        </is>
      </c>
      <c r="F48" s="273" t="inlineStr">
        <is>
          <t>PROELECTRA DE COLOMBIA S.A.S</t>
        </is>
      </c>
      <c r="G48" s="273" t="inlineStr">
        <is>
          <t>Varilla Cobrizada para Puesta a Tierra, con Longitud de 2400 mm, diámetro de 14.28 mm y recubrimiento de 250 micras</t>
        </is>
      </c>
      <c r="H48" s="273" t="inlineStr">
        <is>
          <t>Reglamento Técnico de Instalaciones Eléctricas RETIE Resolución 90708 de 2013 articulo 20 numerales 15.3.1 (Electrodos de Puesta a Tierra), 20.21 (Electrodos de Puesta a Tierra), 20.21.1 (Requisitos de producto) y NTC 2206:2001, numerales 10, 10.1, 10.2, 10.2.4 y 10.2.5</t>
        </is>
      </c>
      <c r="I48" s="273" t="inlineStr">
        <is>
          <t>PROELECTRA DE COLOMBIA S.A.S</t>
        </is>
      </c>
      <c r="J48" s="273" t="inlineStr">
        <is>
          <t>SONEPAR</t>
        </is>
      </c>
      <c r="K48" s="273" t="n">
        <v>544529.0891999999</v>
      </c>
      <c r="L48" s="273" t="n">
        <v>103460.526948</v>
      </c>
      <c r="M48" s="273" t="inlineStr">
        <is>
          <t>Componente esencial del sistema de puesta a tierra, permite la desviación de fallas de corriente o descargas atmosféricas a tierra</t>
        </is>
      </c>
      <c r="N48" s="273" t="inlineStr">
        <is>
          <t>https://drive.google.com/drive/folders/17k0D3Iq77oQe-UuiCTdFj3qmrrBOhjpT</t>
        </is>
      </c>
      <c r="O48" s="273" t="n"/>
      <c r="P48" s="273" t="inlineStr">
        <is>
          <t>P01118</t>
        </is>
      </c>
      <c r="Q48" s="273" t="n"/>
      <c r="R48" s="273" t="n"/>
      <c r="S48" s="273" t="n"/>
      <c r="T48" s="273" t="n"/>
      <c r="U48" s="273" t="n"/>
      <c r="V48" s="273" t="n"/>
      <c r="W48" s="273" t="n"/>
      <c r="X48" s="273" t="n"/>
      <c r="Y48" s="273" t="n"/>
      <c r="Z48" s="273" t="n"/>
      <c r="AA48" s="273" t="n"/>
      <c r="AB48" s="273" t="n"/>
    </row>
    <row r="49" ht="90.75" customHeight="1" s="157">
      <c r="A49" s="273" t="n">
        <v>82</v>
      </c>
      <c r="B49" s="273" t="inlineStr">
        <is>
          <t>Elementos o equipos para el sistema de puesta a tierra (varillas, mallas, grapas, conectores)</t>
        </is>
      </c>
      <c r="C49" s="273" t="n"/>
      <c r="D49" s="273" t="n">
        <v>12</v>
      </c>
      <c r="E49" s="273" t="inlineStr">
        <is>
          <t>Unidades</t>
        </is>
      </c>
      <c r="F49" s="273" t="inlineStr">
        <is>
          <t>COBRES DE COLOMBIA S.A.S.</t>
        </is>
      </c>
      <c r="G49" s="273" t="inlineStr">
        <is>
          <t>Varilla maciza de cobre para puesta a tierra, diámetro 14.28 mm, longitud 2.40 m, conforme a referencia CC-E (12.7 a 25.4 mm x 2.40 m a 3.05 m)</t>
        </is>
      </c>
      <c r="H49" s="273" t="inlineStr">
        <is>
          <t>NTC 2206/2001 y Resolución 90708 de 2013 (RETIE, numeral 15.3)</t>
        </is>
      </c>
      <c r="I49" s="273" t="inlineStr">
        <is>
          <t>COBRES DE COLOMBIA S.A.S.</t>
        </is>
      </c>
      <c r="J49" s="273" t="inlineStr">
        <is>
          <t>SONEPAR</t>
        </is>
      </c>
      <c r="K49" s="273" t="n">
        <v>544529.0891999999</v>
      </c>
      <c r="L49" s="273" t="n">
        <v>103460.526948</v>
      </c>
      <c r="M49" s="273" t="inlineStr">
        <is>
          <t>Componente principal del sistema de puesta a tierra, permite la interconexión de las varillas de puesta a tierra, formando un enmallado</t>
        </is>
      </c>
      <c r="N49" s="273" t="inlineStr">
        <is>
          <t>https://drive.google.com/drive/folders/17k0D3Iq77oQe-UuiCTdFj3qmrrBOhjpT</t>
        </is>
      </c>
      <c r="O49" s="273" t="n"/>
      <c r="P49" s="273" t="inlineStr">
        <is>
          <t>P01118</t>
        </is>
      </c>
      <c r="Q49" s="273" t="n"/>
      <c r="R49" s="273" t="n"/>
      <c r="S49" s="273" t="n"/>
      <c r="T49" s="273" t="n"/>
      <c r="U49" s="273" t="n"/>
      <c r="V49" s="273" t="n"/>
      <c r="W49" s="273" t="n"/>
      <c r="X49" s="273" t="n"/>
      <c r="Y49" s="273" t="n"/>
      <c r="Z49" s="273" t="n"/>
      <c r="AA49" s="273" t="n"/>
      <c r="AB49" s="273" t="n"/>
    </row>
    <row r="50" ht="90.75" customHeight="1" s="157">
      <c r="A50" s="273" t="n">
        <v>84</v>
      </c>
      <c r="B50" s="273" t="inlineStr">
        <is>
          <t>Elementos o equipos para el sistema de puesta a tierra (varillas, mallas, grapas, conectores)</t>
        </is>
      </c>
      <c r="C50" s="273" t="n"/>
      <c r="D50" s="273" t="n">
        <v>1</v>
      </c>
      <c r="E50" s="273" t="inlineStr">
        <is>
          <t>unidades</t>
        </is>
      </c>
      <c r="F50" s="273" t="inlineStr">
        <is>
          <t>TECNOWELD</t>
        </is>
      </c>
      <c r="G50" s="273" t="inlineStr">
        <is>
          <t>SG1TN 228*</t>
        </is>
      </c>
      <c r="H50" s="273" t="inlineStr">
        <is>
          <t>UL E359848</t>
        </is>
      </c>
      <c r="I50" s="273" t="inlineStr">
        <is>
          <t>TECNOWELD</t>
        </is>
      </c>
      <c r="J50" s="273" t="inlineStr">
        <is>
          <t>SONEPAR</t>
        </is>
      </c>
      <c r="K50" s="273" t="n">
        <v>0</v>
      </c>
      <c r="L50" s="273" t="n">
        <v>0</v>
      </c>
      <c r="M50" s="273" t="inlineStr">
        <is>
          <t>Elemento necesario para unir las derivaciones del sistema de puesta a tierra y para crear el enmallado</t>
        </is>
      </c>
      <c r="N50" s="273" t="inlineStr">
        <is>
          <t>https://drive.google.com/drive/folders/1952XiGV0w36dsIiIExLhkqevtMrpHBRI</t>
        </is>
      </c>
      <c r="O50" s="273" t="n"/>
      <c r="P50" s="273" t="inlineStr">
        <is>
          <t>P00728</t>
        </is>
      </c>
      <c r="Q50" s="273" t="n"/>
      <c r="R50" s="273" t="n"/>
      <c r="S50" s="273" t="n"/>
      <c r="T50" s="273" t="n"/>
      <c r="U50" s="273" t="n"/>
      <c r="V50" s="273" t="n"/>
      <c r="W50" s="273" t="n"/>
      <c r="X50" s="273" t="n"/>
      <c r="Y50" s="273" t="n"/>
      <c r="Z50" s="273" t="n"/>
      <c r="AA50" s="273" t="n"/>
      <c r="AB50" s="273" t="n"/>
    </row>
    <row r="51" ht="90.75" customHeight="1" s="157">
      <c r="A51" s="273" t="n">
        <v>86</v>
      </c>
      <c r="B51" s="273" t="inlineStr">
        <is>
          <t>Elementos o equipos para el sistema de puesta a tierra (varillas, mallas, grapas, conectores)</t>
        </is>
      </c>
      <c r="C51" s="273" t="n"/>
      <c r="D51" s="273" t="n">
        <v>0</v>
      </c>
      <c r="E51" s="273" t="inlineStr">
        <is>
          <t>unidades</t>
        </is>
      </c>
      <c r="F51" s="273" t="inlineStr">
        <is>
          <t>TECNOWELD</t>
        </is>
      </c>
      <c r="G51" s="273" t="inlineStr">
        <is>
          <t>SG1TN 230</t>
        </is>
      </c>
      <c r="H51" s="273" t="inlineStr">
        <is>
          <t>UL E359848</t>
        </is>
      </c>
      <c r="I51" s="273" t="inlineStr">
        <is>
          <t>TECNOWELD</t>
        </is>
      </c>
      <c r="J51" s="273" t="inlineStr">
        <is>
          <t>EDEMCO S.A.S.</t>
        </is>
      </c>
      <c r="K51" s="273" t="n">
        <v>0</v>
      </c>
      <c r="L51" s="273" t="n">
        <v>0</v>
      </c>
      <c r="M51" s="273" t="inlineStr">
        <is>
          <t>Elemento necesario para unir las derivaciones del sistema de puesta a tierra y para crear el enmallado</t>
        </is>
      </c>
      <c r="N51" s="273" t="inlineStr">
        <is>
          <t>https://drive.google.com/drive/folders/1tps3gz5TqHg0vAXmzvpr4j8-QrZLp9BC</t>
        </is>
      </c>
      <c r="O51" s="273" t="n"/>
      <c r="P51" s="273" t="inlineStr">
        <is>
          <t>P00726</t>
        </is>
      </c>
      <c r="Q51" s="273" t="n"/>
      <c r="R51" s="273" t="n"/>
      <c r="S51" s="273" t="n"/>
      <c r="T51" s="273" t="n"/>
      <c r="U51" s="273" t="n"/>
      <c r="V51" s="273" t="n"/>
      <c r="W51" s="273" t="n"/>
      <c r="X51" s="273" t="n"/>
      <c r="Y51" s="273" t="n"/>
      <c r="Z51" s="273" t="n"/>
      <c r="AA51" s="273" t="n"/>
      <c r="AB51" s="273" t="n"/>
    </row>
    <row r="52" ht="90.75" customHeight="1" s="157">
      <c r="A52" s="273" t="n">
        <v>89</v>
      </c>
      <c r="B52" s="273" t="inlineStr">
        <is>
          <t>Fusibles y porta fusibles</t>
        </is>
      </c>
      <c r="C52" s="273" t="n"/>
      <c r="D52" s="273" t="n">
        <v>2</v>
      </c>
      <c r="E52" s="273" t="inlineStr">
        <is>
          <t>unidades</t>
        </is>
      </c>
      <c r="F52" s="273" t="inlineStr">
        <is>
          <t>CELSA</t>
        </is>
      </c>
      <c r="G52" s="273" t="inlineStr">
        <is>
          <t>CORTACIRCUITOS 27 KV 100A 12 kA IX2712512</t>
        </is>
      </c>
      <c r="H52" s="273" t="inlineStr">
        <is>
          <t>ANSI C37.41 (NTC2132) y ANSI C37.42 (NTC 2133.)</t>
        </is>
      </c>
      <c r="I52" s="273" t="inlineStr">
        <is>
          <t>CELSA S.A.S.</t>
        </is>
      </c>
      <c r="J52" s="273" t="inlineStr">
        <is>
          <t>EDEMCO S.A.S.</t>
        </is>
      </c>
      <c r="K52" s="273" t="n">
        <v>0</v>
      </c>
      <c r="L52" s="273" t="n">
        <v>0</v>
      </c>
      <c r="M52" s="273" t="inlineStr">
        <is>
          <t>Corta el paso de corriente cuando se detecta una sobrecarga en el circuito</t>
        </is>
      </c>
      <c r="N52" s="273" t="inlineStr">
        <is>
          <t>https://drive.google.com/drive/folders/1OPYaLQLL6VZHhXpN15KvOt-I2PiB0Fu0</t>
        </is>
      </c>
      <c r="O52" s="273" t="n"/>
      <c r="P52" s="273" t="inlineStr">
        <is>
          <t>P00503</t>
        </is>
      </c>
      <c r="Q52" s="273" t="n"/>
      <c r="R52" s="273" t="n"/>
      <c r="S52" s="273" t="n"/>
      <c r="T52" s="273" t="n"/>
      <c r="U52" s="273" t="n"/>
      <c r="V52" s="273" t="n"/>
      <c r="W52" s="273" t="n"/>
      <c r="X52" s="273" t="n"/>
      <c r="Y52" s="273" t="n"/>
      <c r="Z52" s="273" t="n"/>
      <c r="AA52" s="273" t="n"/>
      <c r="AB52" s="273" t="n"/>
    </row>
    <row r="53" ht="90.75" customHeight="1" s="157">
      <c r="A53" s="273" t="n">
        <v>90</v>
      </c>
      <c r="B53" s="273" t="inlineStr">
        <is>
          <t>Dispositivos de protección contra sobretensiones transitorias (DPS), descargadores de rayos, apantallamiento</t>
        </is>
      </c>
      <c r="C53" s="273" t="n"/>
      <c r="D53" s="273" t="n">
        <v>0</v>
      </c>
      <c r="E53" s="273" t="inlineStr">
        <is>
          <t>unidades</t>
        </is>
      </c>
      <c r="F53" s="273" t="inlineStr">
        <is>
          <t>CELSA</t>
        </is>
      </c>
      <c r="G53" s="273" t="inlineStr">
        <is>
          <t>DPS C-15 MODELO 58470</t>
        </is>
      </c>
      <c r="H53" s="273" t="inlineStr">
        <is>
          <t>IEC 60099-4</t>
        </is>
      </c>
      <c r="I53" s="273" t="inlineStr">
        <is>
          <t>CELSA S.A.S.</t>
        </is>
      </c>
      <c r="J53" s="273" t="inlineStr">
        <is>
          <t>EDEMCO S.A.S.</t>
        </is>
      </c>
      <c r="K53" s="273" t="n">
        <v>0</v>
      </c>
      <c r="L53" s="273" t="n">
        <v>0</v>
      </c>
      <c r="M53" s="273" t="inlineStr">
        <is>
          <t>Protección contra sobretensiones en el punto de interconexión a la línea de media tensión</t>
        </is>
      </c>
      <c r="N53" s="273" t="inlineStr">
        <is>
          <t>https://drive.google.com/drive/folders/1bgF94U4rhIaJc_Zw8FBt3IamQ1AVSDqu</t>
        </is>
      </c>
      <c r="O53" s="273" t="n"/>
      <c r="P53" s="273" t="inlineStr">
        <is>
          <t>P00556</t>
        </is>
      </c>
      <c r="Q53" s="273" t="n"/>
      <c r="R53" s="273" t="n"/>
      <c r="S53" s="273" t="n"/>
      <c r="T53" s="273" t="n"/>
      <c r="U53" s="273" t="n"/>
      <c r="V53" s="273" t="n"/>
      <c r="W53" s="273" t="n"/>
      <c r="X53" s="273" t="n"/>
      <c r="Y53" s="273" t="n"/>
      <c r="Z53" s="273" t="n"/>
      <c r="AA53" s="273" t="n"/>
      <c r="AB53" s="273" t="n"/>
    </row>
    <row r="54" ht="90.75" customHeight="1" s="157">
      <c r="A54" s="273" t="n">
        <v>92</v>
      </c>
      <c r="B54" s="273" t="inlineStr">
        <is>
          <t>Fusibles y porta fusibles</t>
        </is>
      </c>
      <c r="C54" s="273" t="n"/>
      <c r="D54" s="273" t="n">
        <v>4</v>
      </c>
      <c r="E54" s="273" t="inlineStr">
        <is>
          <t>unidades</t>
        </is>
      </c>
      <c r="F54" s="273" t="inlineStr">
        <is>
          <t>LUHFSER</t>
        </is>
      </c>
      <c r="G54" s="273" t="inlineStr">
        <is>
          <t>Tipo K de 1 Amperio para 15 kV - Frecuencia 50-60 Hz</t>
        </is>
      </c>
      <c r="H54" s="273" t="inlineStr">
        <is>
          <t>Numeral 20.19 del Reglamento Técnico de Instalaciones Eléctricas - RETIE. Resolución 90708 de 30 de agosto de 2013 del Ministerio de Minas y Energías.
IEEE Std C37.41-2016/Cor 1-2017, IEEE Std C37,42-2016,
NTC 2132-2006, NTC 2133 2002.</t>
        </is>
      </c>
      <c r="I54" s="273" t="inlineStr">
        <is>
          <t>ELÉCTRICOS INTERNACIONAL SAS.</t>
        </is>
      </c>
      <c r="J54" s="273" t="inlineStr">
        <is>
          <t>IE INTER ELECTRICAS</t>
        </is>
      </c>
      <c r="K54" s="273" t="n">
        <v>0</v>
      </c>
      <c r="L54" s="273" t="n">
        <v>0</v>
      </c>
      <c r="M54" s="273" t="inlineStr">
        <is>
          <t>Corta el paso de corriente cuando se detecta una sobrecarga en el circuito para proteger el transformador y los circuitos ramales</t>
        </is>
      </c>
      <c r="N54" s="273" t="inlineStr">
        <is>
          <t>https://drive.google.com/drive/folders/1Avw32_rbo6CYnhy6rrgWk4I6QwIKCB1N</t>
        </is>
      </c>
      <c r="O54" s="273" t="n"/>
      <c r="P54" s="273" t="inlineStr">
        <is>
          <t>P00588</t>
        </is>
      </c>
      <c r="Q54" s="273" t="n"/>
      <c r="R54" s="273" t="n"/>
      <c r="S54" s="273" t="n"/>
      <c r="T54" s="273" t="n"/>
      <c r="U54" s="273" t="n"/>
      <c r="V54" s="273" t="n"/>
      <c r="W54" s="273" t="n"/>
      <c r="X54" s="273" t="n"/>
      <c r="Y54" s="273" t="n"/>
      <c r="Z54" s="273" t="n"/>
      <c r="AA54" s="273" t="n"/>
      <c r="AB54" s="273" t="n"/>
    </row>
    <row r="55" ht="90.75" customHeight="1" s="157"/>
    <row r="56" ht="90.75" customHeight="1" s="157"/>
    <row r="57" ht="90.75" customHeight="1" s="157"/>
    <row r="58" ht="90.75" customHeight="1" s="157"/>
    <row r="59" ht="90.75" customHeight="1" s="157"/>
    <row r="60" ht="90.75" customHeight="1" s="157"/>
    <row r="61" ht="90.75" customHeight="1" s="157"/>
    <row r="62" ht="90.75" customHeight="1" s="157"/>
    <row r="63" ht="90.75" customHeight="1" s="157"/>
    <row r="64" ht="58" customHeight="1" s="157"/>
    <row r="65" ht="81" customHeight="1" s="157"/>
    <row r="66" ht="90.75" customHeight="1" s="157"/>
    <row r="67" ht="90.75" customHeight="1" s="157"/>
    <row r="68" ht="90.75" customHeight="1" s="157"/>
    <row r="69" ht="90.75" customHeight="1" s="157"/>
    <row r="70" ht="92.25" customHeight="1" s="157"/>
    <row r="71" ht="92.25" customHeight="1" s="157"/>
    <row r="72" ht="92.25" customHeight="1" s="157"/>
    <row r="73" ht="90.75" customHeight="1" s="157"/>
    <row r="74" ht="90.75" customHeight="1" s="157"/>
    <row r="75" ht="108" customHeight="1" s="157"/>
    <row r="76" ht="90.75" customHeight="1" s="157"/>
    <row r="77" ht="90.75" customHeight="1" s="157" thickBot="1"/>
    <row r="78" ht="90.75" customHeight="1" s="157" thickBot="1"/>
    <row r="79" ht="90.75" customHeight="1" s="157" thickBot="1"/>
    <row r="80" ht="90.75" customHeight="1" s="157" thickBot="1"/>
    <row r="81" ht="90.75" customHeight="1" s="157" thickBot="1"/>
    <row r="82" ht="90.75" customHeight="1" s="157" thickBot="1"/>
    <row r="83" ht="90.75" customHeight="1" s="157" thickBot="1"/>
    <row r="84" ht="90.75" customHeight="1" s="157"/>
    <row r="85" ht="90.75" customHeight="1" s="157"/>
    <row r="86" ht="90.75" customHeight="1" s="157"/>
    <row r="87" ht="90.75" customHeight="1" s="157"/>
    <row r="88" ht="90.75" customHeight="1" s="157"/>
    <row r="89" ht="90.75" customHeight="1" s="157"/>
    <row r="90" ht="90.75" customHeight="1" s="157"/>
    <row r="91" ht="90.75" customHeight="1" s="157"/>
    <row r="92" ht="90.75" customHeight="1" s="157"/>
    <row r="93" ht="106.5" customHeight="1" s="157"/>
    <row r="94" ht="90.75" customHeight="1" s="157"/>
    <row r="95" ht="90.75" customHeight="1" s="157"/>
    <row r="96" ht="90.75" customHeight="1" s="157"/>
    <row r="97" ht="90.75" customHeight="1" s="157"/>
    <row r="98" ht="90.75" customHeight="1" s="157"/>
    <row r="99" ht="108.75" customHeight="1" s="157"/>
    <row r="100" ht="90.75" customHeight="1" s="157"/>
    <row r="101" ht="90.75" customHeight="1" s="157"/>
    <row r="102" ht="14.25" customHeight="1" s="157"/>
    <row r="103" ht="14.25" customHeight="1" s="157"/>
    <row r="104" ht="14.25" customHeight="1" s="157"/>
    <row r="105" ht="14.25" customHeight="1" s="157"/>
    <row r="106" ht="14.25" customHeight="1" s="157"/>
    <row r="107" ht="14.25" customHeight="1" s="157"/>
    <row r="108" ht="14.25" customHeight="1" s="157"/>
    <row r="109" ht="14.25" customHeight="1" s="157"/>
    <row r="110" ht="14.25" customHeight="1" s="157"/>
    <row r="111" ht="14.25" customHeight="1" s="157"/>
    <row r="112" ht="14.25" customHeight="1" s="157"/>
    <row r="113" ht="14.25" customHeight="1" s="157"/>
    <row r="114" ht="14.25" customHeight="1" s="157"/>
    <row r="115" ht="14.25" customHeight="1" s="157"/>
    <row r="116" ht="14.25" customHeight="1" s="157"/>
    <row r="117" ht="14.25" customHeight="1" s="157"/>
    <row r="118" ht="14.25" customHeight="1" s="157"/>
    <row r="119" ht="14.25" customHeight="1" s="157"/>
    <row r="120" ht="14.25" customHeight="1" s="157"/>
    <row r="121" ht="14.25" customHeight="1" s="157"/>
    <row r="122" ht="14.25" customHeight="1" s="157"/>
    <row r="123" ht="14.25" customHeight="1" s="157"/>
    <row r="124" ht="14.25" customHeight="1" s="157"/>
    <row r="125" ht="14.25" customHeight="1" s="157"/>
    <row r="126" ht="14.25" customHeight="1" s="157"/>
    <row r="127" ht="14.25" customHeight="1" s="157"/>
    <row r="128" ht="14.25" customHeight="1" s="157"/>
    <row r="129" ht="14.25" customHeight="1" s="157"/>
    <row r="130" ht="14.25" customHeight="1" s="157"/>
    <row r="131" ht="14.25" customHeight="1" s="157"/>
    <row r="132" ht="14.25" customHeight="1" s="157"/>
    <row r="133" ht="14.25" customHeight="1" s="157"/>
    <row r="134" ht="14.25" customHeight="1" s="157"/>
    <row r="135" ht="14.25" customHeight="1" s="157"/>
    <row r="136" ht="14.25" customHeight="1" s="157"/>
    <row r="137" ht="14.25" customHeight="1" s="157"/>
    <row r="138" ht="14.25" customHeight="1" s="157"/>
    <row r="139" ht="14.25" customHeight="1" s="157"/>
    <row r="140" ht="14.25" customHeight="1" s="157"/>
    <row r="141" ht="14.25" customHeight="1" s="157"/>
    <row r="142" ht="14.25" customHeight="1" s="157"/>
    <row r="143" ht="14.25" customHeight="1" s="157"/>
    <row r="144" ht="14.25" customHeight="1" s="157"/>
    <row r="145" ht="14.25" customHeight="1" s="157"/>
    <row r="146" ht="14.25" customHeight="1" s="157"/>
    <row r="147" ht="14.25" customHeight="1" s="157"/>
    <row r="148" ht="14.25" customHeight="1" s="157"/>
    <row r="149" ht="14.25" customHeight="1" s="157"/>
    <row r="150" ht="14.25" customHeight="1" s="157"/>
    <row r="151" ht="14.25" customHeight="1" s="157"/>
    <row r="152" ht="14.25" customHeight="1" s="157"/>
    <row r="153" ht="14.25" customHeight="1" s="157"/>
    <row r="154" ht="14.25" customHeight="1" s="157"/>
    <row r="155" ht="14.25" customHeight="1" s="157"/>
    <row r="156" ht="14.25" customHeight="1" s="157"/>
    <row r="157" ht="14.25" customHeight="1" s="157"/>
    <row r="158" ht="14.25" customHeight="1" s="157"/>
    <row r="159" ht="14.25" customHeight="1" s="157"/>
    <row r="160" ht="14.25" customHeight="1" s="157"/>
    <row r="161" ht="14.25" customHeight="1" s="157"/>
    <row r="162" ht="14.25" customHeight="1" s="157"/>
    <row r="163" ht="14.25" customHeight="1" s="157"/>
    <row r="164" ht="14.25" customHeight="1" s="157"/>
    <row r="165" ht="14.25" customHeight="1" s="157"/>
    <row r="166" ht="14.25" customHeight="1" s="157"/>
    <row r="167" ht="14.25" customHeight="1" s="157"/>
    <row r="168" ht="14.25" customHeight="1" s="157"/>
    <row r="169" ht="14.25" customHeight="1" s="157"/>
    <row r="170" ht="14.25" customHeight="1" s="157"/>
    <row r="171" ht="14.25" customHeight="1" s="157"/>
    <row r="172" ht="14.25" customHeight="1" s="157"/>
    <row r="173" ht="14.25" customHeight="1" s="157"/>
    <row r="174" ht="14.25" customHeight="1" s="157"/>
    <row r="175" ht="14.25" customHeight="1" s="157"/>
    <row r="176" ht="14.25" customHeight="1" s="157"/>
    <row r="177" ht="14.25" customHeight="1" s="157"/>
    <row r="178" ht="14.25" customHeight="1" s="157"/>
    <row r="179" ht="14.25" customHeight="1" s="157"/>
    <row r="180" ht="14.25" customHeight="1" s="157"/>
    <row r="181" ht="14.25" customHeight="1" s="157"/>
    <row r="182" ht="14.25" customHeight="1" s="157"/>
    <row r="183" ht="14.25" customHeight="1" s="157"/>
    <row r="184" ht="14.25" customHeight="1" s="157"/>
    <row r="185" ht="14.25" customHeight="1" s="157"/>
    <row r="186" ht="14.25" customHeight="1" s="157"/>
    <row r="187" ht="14.25" customHeight="1" s="157"/>
    <row r="188" ht="14.25" customHeight="1" s="157"/>
    <row r="189" ht="14.25" customHeight="1" s="157"/>
    <row r="190" ht="14.25" customHeight="1" s="157"/>
    <row r="191" ht="14.25" customHeight="1" s="157"/>
    <row r="192" ht="14.25" customHeight="1" s="157"/>
    <row r="193" ht="14.25" customHeight="1" s="157"/>
    <row r="194" ht="14.25" customHeight="1" s="157"/>
    <row r="195" ht="14.25" customHeight="1" s="157"/>
    <row r="196" ht="14.25" customHeight="1" s="157"/>
    <row r="197" ht="14.25" customHeight="1" s="157"/>
    <row r="198" ht="14.25" customHeight="1" s="157"/>
    <row r="199" ht="14.25" customHeight="1" s="157"/>
    <row r="200" ht="14.25" customHeight="1" s="157"/>
    <row r="201" ht="14.25" customHeight="1" s="157"/>
    <row r="202" ht="14.25" customHeight="1" s="157"/>
    <row r="203" ht="14.25" customHeight="1" s="157"/>
    <row r="204" ht="14.25" customHeight="1" s="157"/>
    <row r="205" ht="14.25" customHeight="1" s="157"/>
    <row r="206" ht="14.25" customHeight="1" s="157"/>
    <row r="207" ht="13.5" customHeight="1" s="157"/>
    <row r="208" ht="14.25" customHeight="1" s="157"/>
    <row r="209" ht="14.25" customHeight="1" s="157"/>
    <row r="210" ht="14.25" customHeight="1" s="157"/>
    <row r="211" ht="14.25" customHeight="1" s="157"/>
    <row r="212" ht="14.25" customHeight="1" s="157"/>
    <row r="213" ht="14.25" customHeight="1" s="157"/>
    <row r="214" ht="14.25" customHeight="1" s="157"/>
    <row r="215" ht="14.25" customHeight="1" s="157"/>
    <row r="216" ht="14.25" customHeight="1" s="157"/>
    <row r="217" ht="14.25" customHeight="1" s="157"/>
    <row r="218" ht="14.25" customHeight="1" s="157"/>
    <row r="219" ht="14.25" customHeight="1" s="157"/>
    <row r="220" ht="14.25" customHeight="1" s="157"/>
    <row r="221" ht="14.25" customHeight="1" s="157"/>
    <row r="222" ht="14.25" customHeight="1" s="157"/>
    <row r="223" ht="14.25" customHeight="1" s="157"/>
    <row r="224" ht="14.25" customHeight="1" s="157"/>
    <row r="225" ht="14.25" customHeight="1" s="157"/>
    <row r="226" ht="14.25" customHeight="1" s="157"/>
    <row r="227" ht="14.25" customHeight="1" s="157"/>
    <row r="228" ht="14.25" customHeight="1" s="157"/>
    <row r="229" ht="14.25" customHeight="1" s="157"/>
    <row r="230" ht="14.25" customHeight="1" s="157"/>
    <row r="231" ht="14.25" customHeight="1" s="157"/>
    <row r="232" ht="14.25" customHeight="1" s="157"/>
    <row r="233" ht="14.25" customHeight="1" s="157"/>
    <row r="234" ht="14.25" customHeight="1" s="157"/>
    <row r="235" ht="14.25" customHeight="1" s="157"/>
    <row r="236" ht="14.25" customHeight="1" s="157"/>
    <row r="237" ht="14.25" customHeight="1" s="157"/>
    <row r="238" ht="14.25" customHeight="1" s="157"/>
    <row r="239" ht="14.25" customHeight="1" s="157"/>
    <row r="240" ht="14.25" customHeight="1" s="157"/>
    <row r="241" ht="14.25" customHeight="1" s="157"/>
    <row r="242" ht="14.25" customHeight="1" s="157"/>
    <row r="243" ht="14.25" customHeight="1" s="157"/>
    <row r="244" ht="14.25" customHeight="1" s="157"/>
    <row r="245" ht="14.25" customHeight="1" s="157"/>
    <row r="246" ht="14.25" customHeight="1" s="157"/>
    <row r="247" ht="14.25" customHeight="1" s="157"/>
    <row r="248" ht="14.25" customHeight="1" s="157"/>
    <row r="249" ht="14.25" customHeight="1" s="157"/>
    <row r="250" ht="14.25" customHeight="1" s="157"/>
    <row r="251" ht="14.25" customHeight="1" s="157"/>
    <row r="252" ht="14.25" customHeight="1" s="157"/>
    <row r="253" ht="14.25" customHeight="1" s="157"/>
    <row r="254" ht="14.25" customHeight="1" s="157"/>
    <row r="255" ht="14.25" customHeight="1" s="157"/>
    <row r="256" ht="14.25" customHeight="1" s="157"/>
    <row r="257" ht="14.25" customHeight="1" s="157"/>
    <row r="258" ht="14.25" customHeight="1" s="157"/>
    <row r="259" ht="14.25" customHeight="1" s="157"/>
    <row r="260" ht="14.25" customHeight="1" s="157"/>
    <row r="261" ht="14.25" customHeight="1" s="157"/>
    <row r="262" ht="14.25" customHeight="1" s="157"/>
    <row r="263" ht="14.25" customHeight="1" s="157"/>
    <row r="264" ht="14.25" customHeight="1" s="157"/>
    <row r="265" ht="14.25" customHeight="1" s="157"/>
    <row r="266" ht="14.25" customHeight="1" s="157"/>
    <row r="267" ht="14.25" customHeight="1" s="157"/>
    <row r="268" ht="14.25" customHeight="1" s="157"/>
    <row r="269" ht="14.25" customHeight="1" s="157"/>
    <row r="270" ht="14.25" customHeight="1" s="157"/>
    <row r="271" ht="14.25" customHeight="1" s="157"/>
    <row r="272" ht="14.25" customHeight="1" s="157"/>
    <row r="273" ht="14.25" customHeight="1" s="157"/>
    <row r="274" ht="14.25" customHeight="1" s="157"/>
    <row r="275" ht="14.25" customHeight="1" s="157"/>
    <row r="276" ht="14.25" customHeight="1" s="157"/>
    <row r="277" ht="14.25" customHeight="1" s="157"/>
    <row r="278" ht="14.25" customHeight="1" s="157"/>
    <row r="279" ht="14.25" customHeight="1" s="157"/>
    <row r="280" ht="14.25" customHeight="1" s="157"/>
    <row r="281" ht="14.25" customHeight="1" s="157"/>
    <row r="282" ht="14.25" customHeight="1" s="157"/>
    <row r="283" ht="14.25" customHeight="1" s="157"/>
    <row r="284" ht="14.25" customHeight="1" s="157"/>
    <row r="285" ht="14.25" customHeight="1" s="157"/>
    <row r="286" ht="14.25" customHeight="1" s="157"/>
    <row r="287" ht="14.25" customHeight="1" s="157"/>
    <row r="288" ht="14.25" customHeight="1" s="157"/>
    <row r="289" ht="14.25" customHeight="1" s="157"/>
    <row r="290" ht="14.25" customHeight="1" s="157"/>
    <row r="291" ht="14.25" customHeight="1" s="157"/>
    <row r="292" ht="14.25" customHeight="1" s="157"/>
    <row r="293" ht="14.25" customHeight="1" s="157"/>
    <row r="294" ht="14.25" customHeight="1" s="157"/>
    <row r="295" ht="14.25" customHeight="1" s="157"/>
    <row r="296" ht="14.25" customHeight="1" s="157"/>
    <row r="297" ht="14.25" customHeight="1" s="157"/>
    <row r="298" ht="14.25" customHeight="1" s="157"/>
    <row r="299" ht="14.25" customHeight="1" s="157"/>
    <row r="300" ht="14.25" customHeight="1" s="157"/>
    <row r="301" ht="14.25" customHeight="1" s="157"/>
    <row r="302" ht="14.25" customHeight="1" s="157"/>
    <row r="303" ht="14.25" customHeight="1" s="157"/>
    <row r="304" ht="14.25" customHeight="1" s="157"/>
    <row r="305" ht="14.25" customHeight="1" s="157"/>
    <row r="306" ht="14.25" customHeight="1" s="157"/>
    <row r="307" ht="14.25" customHeight="1" s="157"/>
    <row r="308" ht="14.25" customHeight="1" s="157"/>
    <row r="309" ht="14.25" customHeight="1" s="157"/>
    <row r="310" ht="14.25" customHeight="1" s="157"/>
    <row r="311" ht="14.25" customHeight="1" s="157"/>
    <row r="312" ht="14.25" customHeight="1" s="157"/>
    <row r="313" ht="14.25" customHeight="1" s="157"/>
    <row r="314" ht="14.25" customHeight="1" s="157"/>
    <row r="315" ht="14.25" customHeight="1" s="157"/>
    <row r="316" ht="14.25" customHeight="1" s="157"/>
    <row r="317" ht="14.25" customHeight="1" s="157"/>
    <row r="318" ht="14.25" customHeight="1" s="157"/>
    <row r="319" ht="14.25" customHeight="1" s="157"/>
    <row r="320" ht="14.25" customHeight="1" s="157"/>
    <row r="321" ht="14.25" customHeight="1" s="157"/>
    <row r="322" ht="14.25" customHeight="1" s="157"/>
    <row r="323" ht="14.25" customHeight="1" s="157"/>
    <row r="324" ht="14.25" customHeight="1" s="157"/>
    <row r="325" ht="14.25" customHeight="1" s="157"/>
    <row r="326" ht="14.25" customHeight="1" s="157"/>
    <row r="327" ht="14.25" customHeight="1" s="157"/>
    <row r="328" ht="14.25" customHeight="1" s="157"/>
    <row r="329" ht="14.25" customHeight="1" s="157"/>
    <row r="330" ht="14.25" customHeight="1" s="157"/>
    <row r="331" ht="14.25" customHeight="1" s="157"/>
    <row r="332" ht="14.25" customHeight="1" s="157"/>
    <row r="333" ht="14.25" customHeight="1" s="157"/>
    <row r="334" ht="14.25" customHeight="1" s="157"/>
    <row r="335" ht="14.25" customHeight="1" s="157"/>
    <row r="336" ht="14.25" customHeight="1" s="157"/>
    <row r="337" ht="14.25" customHeight="1" s="157"/>
    <row r="338" ht="14.25" customHeight="1" s="157"/>
    <row r="339" ht="14.25" customHeight="1" s="157"/>
    <row r="340" ht="14.25" customHeight="1" s="157"/>
    <row r="341" ht="14.25" customHeight="1" s="157"/>
    <row r="342" ht="14.25" customHeight="1" s="157"/>
    <row r="343" ht="14.25" customHeight="1" s="157"/>
    <row r="344" ht="14.25" customHeight="1" s="157"/>
    <row r="345" ht="14.25" customHeight="1" s="157"/>
    <row r="346" ht="14.25" customHeight="1" s="157"/>
    <row r="347" ht="14.25" customHeight="1" s="157"/>
    <row r="348" ht="14.25" customHeight="1" s="157"/>
    <row r="349" ht="14.25" customHeight="1" s="157"/>
    <row r="350" ht="14.25" customHeight="1" s="157"/>
    <row r="351" ht="14.25" customHeight="1" s="157"/>
    <row r="352" ht="14.25" customHeight="1" s="157"/>
    <row r="353" ht="14.25" customHeight="1" s="157"/>
    <row r="354" ht="14.25" customHeight="1" s="157"/>
    <row r="355" ht="14.25" customHeight="1" s="157"/>
    <row r="356" ht="14.25" customHeight="1" s="157"/>
    <row r="357" ht="14.25" customHeight="1" s="157"/>
    <row r="358" ht="14.25" customHeight="1" s="157"/>
    <row r="359" ht="14.25" customHeight="1" s="157"/>
    <row r="360" ht="14.25" customHeight="1" s="157"/>
    <row r="361" ht="14.25" customHeight="1" s="157"/>
    <row r="362" ht="14.25" customHeight="1" s="157"/>
    <row r="363" ht="14.25" customHeight="1" s="157"/>
    <row r="364" ht="14.25" customHeight="1" s="157"/>
    <row r="365" ht="14.25" customHeight="1" s="157"/>
    <row r="366" ht="14.25" customHeight="1" s="157"/>
    <row r="367" ht="14.25" customHeight="1" s="157"/>
    <row r="368" ht="14.25" customHeight="1" s="157"/>
    <row r="369" ht="14.25" customHeight="1" s="157"/>
    <row r="370" ht="14.25" customHeight="1" s="157"/>
    <row r="371" ht="14.25" customHeight="1" s="157"/>
    <row r="372" ht="14.25" customHeight="1" s="157"/>
    <row r="373" ht="14.25" customHeight="1" s="157"/>
    <row r="374" ht="14.25" customHeight="1" s="157"/>
    <row r="375" ht="14.25" customHeight="1" s="157"/>
    <row r="376" ht="14.25" customHeight="1" s="157"/>
    <row r="377" ht="14.25" customHeight="1" s="157"/>
    <row r="378" ht="14.25" customHeight="1" s="157"/>
    <row r="379" ht="14.25" customHeight="1" s="157"/>
    <row r="380" ht="14.25" customHeight="1" s="157"/>
    <row r="381" ht="14.25" customHeight="1" s="157"/>
    <row r="382" ht="14.25" customHeight="1" s="157"/>
    <row r="383" ht="14.25" customHeight="1" s="157"/>
    <row r="384" ht="14.25" customHeight="1" s="157"/>
    <row r="385" ht="14.25" customHeight="1" s="157"/>
    <row r="386" ht="14.25" customHeight="1" s="157"/>
    <row r="387" ht="14.25" customHeight="1" s="157"/>
    <row r="388" ht="14.25" customHeight="1" s="157"/>
    <row r="389" ht="14.25" customHeight="1" s="157"/>
    <row r="390" ht="14.25" customHeight="1" s="157"/>
    <row r="391" ht="14.25" customHeight="1" s="157"/>
    <row r="392" ht="14.25" customHeight="1" s="157"/>
    <row r="393" ht="14.25" customHeight="1" s="157"/>
    <row r="394" ht="14.25" customHeight="1" s="157"/>
    <row r="395" ht="14.25" customHeight="1" s="157"/>
    <row r="396" ht="14.25" customHeight="1" s="157"/>
    <row r="397" ht="14.25" customHeight="1" s="157"/>
    <row r="398" ht="14.25" customHeight="1" s="157"/>
    <row r="399" ht="14.25" customHeight="1" s="157"/>
    <row r="400" ht="14.25" customHeight="1" s="157"/>
    <row r="401" ht="14.25" customHeight="1" s="157"/>
    <row r="402" ht="14.25" customHeight="1" s="157"/>
    <row r="403" ht="14.25" customHeight="1" s="157"/>
    <row r="404" ht="14.25" customHeight="1" s="157"/>
    <row r="405" ht="14.25" customHeight="1" s="157"/>
    <row r="406" ht="14.25" customHeight="1" s="157"/>
    <row r="407" ht="15.75" customHeight="1" s="157"/>
    <row r="408" ht="15.75" customHeight="1" s="157"/>
    <row r="409" ht="15.75" customHeight="1" s="157"/>
    <row r="410" ht="15.75" customHeight="1" s="157"/>
    <row r="411" ht="15.75" customHeight="1" s="157"/>
    <row r="412" ht="15.75" customHeight="1" s="157"/>
    <row r="413" ht="15.75" customHeight="1" s="157"/>
    <row r="414" ht="15.75" customHeight="1" s="157"/>
    <row r="415" ht="15.75" customHeight="1" s="157"/>
    <row r="416" ht="15.75" customHeight="1" s="157"/>
    <row r="417" ht="15.75" customHeight="1" s="157"/>
    <row r="418" ht="15.75" customHeight="1" s="157"/>
    <row r="419" ht="15.75" customHeight="1" s="157"/>
    <row r="420" ht="15.75" customHeight="1" s="157"/>
    <row r="421" ht="15.75" customHeight="1" s="157"/>
    <row r="422" ht="15.75" customHeight="1" s="157"/>
    <row r="423" ht="15.75" customHeight="1" s="157"/>
    <row r="424" ht="15.75" customHeight="1" s="157"/>
    <row r="425" ht="15.75" customHeight="1" s="157"/>
    <row r="426" ht="15.75" customHeight="1" s="157"/>
    <row r="427" ht="15.75" customHeight="1" s="157"/>
    <row r="428" ht="15.75" customHeight="1" s="157"/>
    <row r="429" ht="15.75" customHeight="1" s="157"/>
    <row r="430" ht="15.75" customHeight="1" s="157"/>
    <row r="431" ht="15.75" customHeight="1" s="157"/>
    <row r="432" ht="15.75" customHeight="1" s="157"/>
    <row r="433" ht="15.75" customHeight="1" s="157"/>
    <row r="434" ht="15.75" customHeight="1" s="157"/>
    <row r="435" ht="15.75" customHeight="1" s="157"/>
    <row r="436" ht="15.75" customHeight="1" s="157"/>
    <row r="437" ht="15.75" customHeight="1" s="157"/>
    <row r="438" ht="15.75" customHeight="1" s="157"/>
    <row r="439" ht="15.75" customHeight="1" s="157"/>
    <row r="440" ht="15.75" customHeight="1" s="157"/>
    <row r="441" ht="15.75" customHeight="1" s="157"/>
    <row r="442" ht="15.75" customHeight="1" s="157"/>
    <row r="443" ht="15.75" customHeight="1" s="157"/>
    <row r="444" ht="15.75" customHeight="1" s="157"/>
    <row r="445" ht="15.75" customHeight="1" s="157"/>
    <row r="446" ht="15.75" customHeight="1" s="157"/>
    <row r="447" ht="15.75" customHeight="1" s="157"/>
    <row r="448" ht="15.75" customHeight="1" s="157"/>
    <row r="449" ht="15.75" customHeight="1" s="157"/>
    <row r="450" ht="15.75" customHeight="1" s="157"/>
    <row r="451" ht="15.75" customHeight="1" s="157"/>
    <row r="452" ht="15.75" customHeight="1" s="157"/>
    <row r="453" ht="15.75" customHeight="1" s="157"/>
    <row r="454" ht="15.75" customHeight="1" s="157"/>
    <row r="455" ht="15.75" customHeight="1" s="157"/>
    <row r="456" ht="15.75" customHeight="1" s="157"/>
    <row r="457" ht="15.75" customHeight="1" s="157"/>
    <row r="458" ht="15.75" customHeight="1" s="157"/>
    <row r="459" ht="15.75" customHeight="1" s="157"/>
    <row r="460" ht="15.75" customHeight="1" s="157"/>
    <row r="461" ht="15.75" customHeight="1" s="157"/>
    <row r="462" ht="15.75" customHeight="1" s="157"/>
    <row r="463" ht="15.75" customHeight="1" s="157"/>
    <row r="464" ht="15.75" customHeight="1" s="157"/>
    <row r="465" ht="15.75" customHeight="1" s="157"/>
    <row r="466" ht="15.75" customHeight="1" s="157"/>
    <row r="467" ht="15.75" customHeight="1" s="157"/>
    <row r="468" ht="15.75" customHeight="1" s="157"/>
    <row r="469" ht="15.75" customHeight="1" s="157"/>
    <row r="470" ht="15.75" customHeight="1" s="157"/>
    <row r="471" ht="15.75" customHeight="1" s="157"/>
    <row r="472" ht="15.75" customHeight="1" s="157"/>
    <row r="473" ht="15.75" customHeight="1" s="157"/>
    <row r="474" ht="15.75" customHeight="1" s="157"/>
    <row r="475" ht="15.75" customHeight="1" s="157"/>
    <row r="476" ht="15.75" customHeight="1" s="157"/>
    <row r="477" ht="15.75" customHeight="1" s="157"/>
    <row r="478" ht="15.75" customHeight="1" s="157"/>
    <row r="479" ht="15.75" customHeight="1" s="157"/>
    <row r="480" ht="15.75" customHeight="1" s="157"/>
    <row r="481" ht="15.75" customHeight="1" s="157"/>
    <row r="482" ht="15.75" customHeight="1" s="157"/>
    <row r="483" ht="15.75" customHeight="1" s="157"/>
    <row r="484" ht="15.75" customHeight="1" s="157"/>
    <row r="485" ht="15.75" customHeight="1" s="157"/>
    <row r="486" ht="15.75" customHeight="1" s="157"/>
    <row r="487" ht="15.75" customHeight="1" s="157"/>
    <row r="488" ht="15.75" customHeight="1" s="157"/>
    <row r="489" ht="15.75" customHeight="1" s="157"/>
    <row r="490" ht="15.75" customHeight="1" s="157"/>
    <row r="491" ht="15.75" customHeight="1" s="157"/>
    <row r="492" ht="15.75" customHeight="1" s="157"/>
    <row r="493" ht="15.75" customHeight="1" s="157"/>
    <row r="494" ht="15.75" customHeight="1" s="157"/>
    <row r="495" ht="15.75" customHeight="1" s="157"/>
    <row r="496" ht="15.75" customHeight="1" s="157"/>
    <row r="497" ht="15.75" customHeight="1" s="157"/>
    <row r="498" ht="15.75" customHeight="1" s="157"/>
    <row r="499" ht="15.75" customHeight="1" s="157"/>
    <row r="500" ht="15.75" customHeight="1" s="157"/>
    <row r="501" ht="15.75" customHeight="1" s="157"/>
    <row r="502" ht="15.75" customHeight="1" s="157"/>
    <row r="503" ht="15.75" customHeight="1" s="157"/>
    <row r="504" ht="15.75" customHeight="1" s="157"/>
    <row r="505" ht="15.75" customHeight="1" s="157"/>
    <row r="506" ht="15.75" customHeight="1" s="157"/>
    <row r="507" ht="15.75" customHeight="1" s="157"/>
    <row r="508" ht="15.75" customHeight="1" s="157"/>
    <row r="509" ht="15.75" customHeight="1" s="157"/>
    <row r="510" ht="15.75" customHeight="1" s="157"/>
    <row r="511" ht="15.75" customHeight="1" s="157"/>
    <row r="512" ht="15.75" customHeight="1" s="157"/>
    <row r="513" ht="15.75" customHeight="1" s="157"/>
    <row r="514" ht="15.75" customHeight="1" s="157"/>
    <row r="515" ht="15.75" customHeight="1" s="157"/>
    <row r="516" ht="15.75" customHeight="1" s="157"/>
    <row r="517" ht="15.75" customHeight="1" s="157"/>
    <row r="518" ht="15.75" customHeight="1" s="157"/>
    <row r="519" ht="15.75" customHeight="1" s="157"/>
    <row r="520" ht="15.75" customHeight="1" s="157"/>
    <row r="521" ht="15.75" customHeight="1" s="157"/>
    <row r="522" ht="15.75" customHeight="1" s="157"/>
    <row r="523" ht="15.75" customHeight="1" s="157"/>
    <row r="524" ht="15.75" customHeight="1" s="157"/>
    <row r="525" ht="15.75" customHeight="1" s="157"/>
    <row r="526" ht="15.75" customHeight="1" s="157"/>
    <row r="527" ht="15.75" customHeight="1" s="157"/>
    <row r="528" ht="15.75" customHeight="1" s="157"/>
    <row r="529" ht="15.75" customHeight="1" s="157"/>
    <row r="530" ht="15.75" customHeight="1" s="157"/>
    <row r="531" ht="15.75" customHeight="1" s="157"/>
    <row r="532" ht="15.75" customHeight="1" s="157"/>
    <row r="533" ht="15.75" customHeight="1" s="157"/>
    <row r="534" ht="15.75" customHeight="1" s="157"/>
    <row r="535" ht="15.75" customHeight="1" s="157"/>
    <row r="536" ht="15.75" customHeight="1" s="157"/>
    <row r="537" ht="15.75" customHeight="1" s="157"/>
    <row r="538" ht="15.75" customHeight="1" s="157"/>
    <row r="539" ht="15.75" customHeight="1" s="157"/>
    <row r="540" ht="15.75" customHeight="1" s="157"/>
    <row r="541" ht="15.75" customHeight="1" s="157"/>
    <row r="542" ht="15.75" customHeight="1" s="157"/>
    <row r="543" ht="15.75" customHeight="1" s="157"/>
    <row r="544" ht="15.75" customHeight="1" s="157"/>
    <row r="545" ht="15.75" customHeight="1" s="157"/>
    <row r="546" ht="15.75" customHeight="1" s="157"/>
    <row r="547" ht="15.75" customHeight="1" s="157"/>
    <row r="548" ht="15.75" customHeight="1" s="157"/>
    <row r="549" ht="15.75" customHeight="1" s="157"/>
    <row r="550" ht="15.75" customHeight="1" s="157"/>
    <row r="551" ht="15.75" customHeight="1" s="157"/>
    <row r="552" ht="15.75" customHeight="1" s="157"/>
    <row r="553" ht="15.75" customHeight="1" s="157"/>
    <row r="554" ht="15.75" customHeight="1" s="157"/>
    <row r="555" ht="15.75" customHeight="1" s="157"/>
    <row r="556" ht="15.75" customHeight="1" s="157"/>
    <row r="557" ht="15.75" customHeight="1" s="157"/>
    <row r="558" ht="15.75" customHeight="1" s="157"/>
    <row r="559" ht="15.75" customHeight="1" s="157"/>
    <row r="560" ht="15.75" customHeight="1" s="157"/>
    <row r="561" ht="15.75" customHeight="1" s="157"/>
    <row r="562" ht="15.75" customHeight="1" s="157"/>
    <row r="563" ht="15.75" customHeight="1" s="157"/>
    <row r="564" ht="15.75" customHeight="1" s="157"/>
    <row r="565" ht="15.75" customHeight="1" s="157"/>
    <row r="566" ht="15.75" customHeight="1" s="157"/>
    <row r="567" ht="15.75" customHeight="1" s="157"/>
    <row r="568" ht="15.75" customHeight="1" s="157"/>
    <row r="569" ht="15.75" customHeight="1" s="157"/>
    <row r="570" ht="15.75" customHeight="1" s="157"/>
    <row r="571" ht="15.75" customHeight="1" s="157"/>
    <row r="572" ht="15.75" customHeight="1" s="157"/>
    <row r="573" ht="15.75" customHeight="1" s="157"/>
    <row r="574" ht="15.75" customHeight="1" s="157"/>
    <row r="575" ht="15.75" customHeight="1" s="157"/>
    <row r="576" ht="15.75" customHeight="1" s="157"/>
    <row r="577" ht="15.75" customHeight="1" s="157"/>
    <row r="578" ht="15.75" customHeight="1" s="157"/>
    <row r="579" ht="15.75" customHeight="1" s="157"/>
    <row r="580" ht="15.75" customHeight="1" s="157"/>
    <row r="581" ht="15.75" customHeight="1" s="157"/>
    <row r="582" ht="15.75" customHeight="1" s="157"/>
    <row r="583" ht="15.75" customHeight="1" s="157"/>
    <row r="584" ht="15.75" customHeight="1" s="157"/>
    <row r="585" ht="15.75" customHeight="1" s="157"/>
    <row r="586" ht="15.75" customHeight="1" s="157"/>
    <row r="587" ht="15.75" customHeight="1" s="157"/>
    <row r="588" ht="15.75" customHeight="1" s="157"/>
    <row r="589" ht="15.75" customHeight="1" s="157"/>
    <row r="590" ht="15.75" customHeight="1" s="157"/>
    <row r="591" ht="15.75" customHeight="1" s="157"/>
    <row r="592" ht="15.75" customHeight="1" s="157"/>
    <row r="593" ht="15.75" customHeight="1" s="157"/>
    <row r="594" ht="15.75" customHeight="1" s="157"/>
    <row r="595" ht="15.75" customHeight="1" s="157"/>
    <row r="596" ht="15.75" customHeight="1" s="157"/>
    <row r="597" ht="15.75" customHeight="1" s="157"/>
    <row r="598" ht="15.75" customHeight="1" s="157"/>
    <row r="599" ht="15.75" customHeight="1" s="157"/>
    <row r="600" ht="15.75" customHeight="1" s="157"/>
    <row r="601" ht="15.75" customHeight="1" s="157"/>
    <row r="602" ht="15.75" customHeight="1" s="157"/>
    <row r="603" ht="15.75" customHeight="1" s="157"/>
    <row r="604" ht="15.75" customHeight="1" s="157"/>
    <row r="605" ht="15.75" customHeight="1" s="157"/>
    <row r="606" ht="15.75" customHeight="1" s="157"/>
    <row r="607" ht="15.75" customHeight="1" s="157"/>
    <row r="608" ht="15.75" customHeight="1" s="157"/>
    <row r="609" ht="15.75" customHeight="1" s="157"/>
    <row r="610" ht="15.75" customHeight="1" s="157"/>
    <row r="611" ht="15.75" customHeight="1" s="157"/>
    <row r="612" ht="15.75" customHeight="1" s="157"/>
    <row r="613" ht="15.75" customHeight="1" s="157"/>
    <row r="614" ht="15.75" customHeight="1" s="157"/>
    <row r="615" ht="15.75" customHeight="1" s="157"/>
    <row r="616" ht="15.75" customHeight="1" s="157"/>
    <row r="617" ht="15.75" customHeight="1" s="157"/>
    <row r="618" ht="15.75" customHeight="1" s="157"/>
    <row r="619" ht="15.75" customHeight="1" s="157"/>
    <row r="620" ht="15.75" customHeight="1" s="157"/>
    <row r="621" ht="15.75" customHeight="1" s="157"/>
    <row r="622" ht="15.75" customHeight="1" s="157"/>
    <row r="623" ht="15.75" customHeight="1" s="157"/>
    <row r="624" ht="15.75" customHeight="1" s="157"/>
    <row r="625" ht="15.75" customHeight="1" s="157"/>
    <row r="626" ht="15.75" customHeight="1" s="157"/>
    <row r="627" ht="15.75" customHeight="1" s="157"/>
    <row r="628" ht="15.75" customHeight="1" s="157"/>
    <row r="629" ht="15.75" customHeight="1" s="157"/>
    <row r="630" ht="15.75" customHeight="1" s="157"/>
    <row r="631" ht="15.75" customHeight="1" s="157"/>
    <row r="632" ht="15.75" customHeight="1" s="157"/>
    <row r="633" ht="15.75" customHeight="1" s="157"/>
    <row r="634" ht="15.75" customHeight="1" s="157"/>
    <row r="635" ht="15.75" customHeight="1" s="157"/>
    <row r="636" ht="15.75" customHeight="1" s="157"/>
    <row r="637" ht="15.75" customHeight="1" s="157"/>
    <row r="638" ht="15.75" customHeight="1" s="157"/>
    <row r="639" ht="15.75" customHeight="1" s="157"/>
    <row r="640" ht="15.75" customHeight="1" s="157"/>
    <row r="641" ht="15.75" customHeight="1" s="157"/>
    <row r="642" ht="15.75" customHeight="1" s="157"/>
    <row r="643" ht="15.75" customHeight="1" s="157"/>
    <row r="644" ht="15.75" customHeight="1" s="157"/>
    <row r="645" ht="15.75" customHeight="1" s="157"/>
    <row r="646" ht="15.75" customHeight="1" s="157"/>
    <row r="647" ht="15.75" customHeight="1" s="157"/>
    <row r="648" ht="15.75" customHeight="1" s="157"/>
    <row r="649" ht="15.75" customHeight="1" s="157"/>
    <row r="650" ht="15.75" customHeight="1" s="157"/>
    <row r="651" ht="15.75" customHeight="1" s="157"/>
    <row r="652" ht="15.75" customHeight="1" s="157"/>
    <row r="653" ht="15.75" customHeight="1" s="157"/>
    <row r="654" ht="15.75" customHeight="1" s="157"/>
    <row r="655" ht="15.75" customHeight="1" s="157"/>
    <row r="656" ht="15.75" customHeight="1" s="157"/>
    <row r="657" ht="15.75" customHeight="1" s="157"/>
    <row r="658" ht="15.75" customHeight="1" s="157"/>
    <row r="659" ht="15.75" customHeight="1" s="157"/>
    <row r="660" ht="15.75" customHeight="1" s="157"/>
    <row r="661" ht="15.75" customHeight="1" s="157"/>
    <row r="662" ht="15.75" customHeight="1" s="157"/>
    <row r="663" ht="15.75" customHeight="1" s="157"/>
    <row r="664" ht="15.75" customHeight="1" s="157"/>
    <row r="665" ht="15.75" customHeight="1" s="157"/>
    <row r="666" ht="15.75" customHeight="1" s="157"/>
    <row r="667" ht="15.75" customHeight="1" s="157"/>
    <row r="668" ht="15.75" customHeight="1" s="157"/>
    <row r="669" ht="15.75" customHeight="1" s="157"/>
    <row r="670" ht="15.75" customHeight="1" s="157"/>
    <row r="671" ht="15.75" customHeight="1" s="157"/>
    <row r="672" ht="15.75" customHeight="1" s="157"/>
    <row r="673" ht="15.75" customHeight="1" s="157"/>
    <row r="674" ht="15.75" customHeight="1" s="157"/>
    <row r="675" ht="15.75" customHeight="1" s="157"/>
    <row r="676" ht="15.75" customHeight="1" s="157"/>
    <row r="677" ht="15.75" customHeight="1" s="157"/>
    <row r="678" ht="15.75" customHeight="1" s="157"/>
    <row r="679" ht="15.75" customHeight="1" s="157"/>
    <row r="680" ht="15.75" customHeight="1" s="157"/>
    <row r="681" ht="15.75" customHeight="1" s="157"/>
    <row r="682" ht="15.75" customHeight="1" s="157"/>
    <row r="683" ht="15.75" customHeight="1" s="157"/>
    <row r="684" ht="15.75" customHeight="1" s="157"/>
    <row r="685" ht="15.75" customHeight="1" s="157"/>
    <row r="686" ht="15.75" customHeight="1" s="157"/>
    <row r="687" ht="15.75" customHeight="1" s="157"/>
    <row r="688" ht="15.75" customHeight="1" s="157"/>
    <row r="689" ht="15.75" customHeight="1" s="157"/>
    <row r="690" ht="15.75" customHeight="1" s="157"/>
    <row r="691" ht="15.75" customHeight="1" s="157"/>
    <row r="692" ht="15.75" customHeight="1" s="157"/>
    <row r="693" ht="15.75" customHeight="1" s="157"/>
    <row r="694" ht="15.75" customHeight="1" s="157"/>
    <row r="695" ht="15.75" customHeight="1" s="157"/>
    <row r="696" ht="15.75" customHeight="1" s="157"/>
    <row r="697" ht="15.75" customHeight="1" s="157"/>
    <row r="698" ht="15.75" customHeight="1" s="157"/>
    <row r="699" ht="15.75" customHeight="1" s="157"/>
    <row r="700" ht="15.75" customHeight="1" s="157"/>
    <row r="701" ht="15.75" customHeight="1" s="157"/>
    <row r="702" ht="15.75" customHeight="1" s="157"/>
    <row r="703" ht="15.75" customHeight="1" s="157"/>
    <row r="704" ht="15.75" customHeight="1" s="157"/>
    <row r="705" ht="15.75" customHeight="1" s="157"/>
    <row r="706" ht="15.75" customHeight="1" s="157"/>
    <row r="707" ht="15.75" customHeight="1" s="157"/>
    <row r="708" ht="15.75" customHeight="1" s="157"/>
    <row r="709" ht="15.75" customHeight="1" s="157"/>
    <row r="710" ht="15.75" customHeight="1" s="157"/>
    <row r="711" ht="15.75" customHeight="1" s="157"/>
    <row r="712" ht="15.75" customHeight="1" s="157"/>
    <row r="713" ht="15.75" customHeight="1" s="157"/>
    <row r="714" ht="15.75" customHeight="1" s="157"/>
    <row r="715" ht="15.75" customHeight="1" s="157"/>
    <row r="716" ht="15.75" customHeight="1" s="157"/>
    <row r="717" ht="15.75" customHeight="1" s="157"/>
    <row r="718" ht="15.75" customHeight="1" s="157"/>
    <row r="719" ht="15.75" customHeight="1" s="157"/>
    <row r="720" ht="15.75" customHeight="1" s="157"/>
    <row r="721" ht="15.75" customHeight="1" s="157"/>
    <row r="722" ht="15.75" customHeight="1" s="157"/>
    <row r="723" ht="15.75" customHeight="1" s="157"/>
    <row r="724" ht="15.75" customHeight="1" s="157"/>
    <row r="725" ht="15.75" customHeight="1" s="157"/>
    <row r="726" ht="15.75" customHeight="1" s="157"/>
    <row r="727" ht="15.75" customHeight="1" s="157"/>
    <row r="728" ht="15.75" customHeight="1" s="157"/>
    <row r="729" ht="15.75" customHeight="1" s="157"/>
    <row r="730" ht="15.75" customHeight="1" s="157"/>
    <row r="731" ht="15.75" customHeight="1" s="157"/>
    <row r="732" ht="15.75" customHeight="1" s="157"/>
    <row r="733" ht="15.75" customHeight="1" s="157"/>
    <row r="734" ht="15.75" customHeight="1" s="157"/>
    <row r="735" ht="15.75" customHeight="1" s="157"/>
    <row r="736" ht="15.75" customHeight="1" s="157"/>
    <row r="737" ht="15.75" customHeight="1" s="157"/>
    <row r="738" ht="15.75" customHeight="1" s="157"/>
    <row r="739" ht="15.75" customHeight="1" s="157"/>
    <row r="740" ht="15.75" customHeight="1" s="157"/>
    <row r="741" ht="15.75" customHeight="1" s="157"/>
    <row r="742" ht="15.75" customHeight="1" s="157"/>
    <row r="743" ht="15.75" customHeight="1" s="157"/>
    <row r="744" ht="15.75" customHeight="1" s="157"/>
    <row r="745" ht="15.75" customHeight="1" s="157"/>
    <row r="746" ht="15.75" customHeight="1" s="157"/>
    <row r="747" ht="15.75" customHeight="1" s="157"/>
    <row r="748" ht="15.75" customHeight="1" s="157"/>
    <row r="749" ht="15.75" customHeight="1" s="157"/>
    <row r="750" ht="15.75" customHeight="1" s="157"/>
    <row r="751" ht="15.75" customHeight="1" s="157"/>
    <row r="752" ht="15.75" customHeight="1" s="157"/>
    <row r="753" ht="15.75" customHeight="1" s="157"/>
    <row r="754" ht="15.75" customHeight="1" s="157"/>
    <row r="755" ht="15.75" customHeight="1" s="157"/>
    <row r="756" ht="15.75" customHeight="1" s="157"/>
    <row r="757" ht="15.75" customHeight="1" s="157"/>
    <row r="758" ht="15.75" customHeight="1" s="157"/>
    <row r="759" ht="15.75" customHeight="1" s="157"/>
    <row r="760" ht="15.75" customHeight="1" s="157"/>
    <row r="761" ht="15.75" customHeight="1" s="157"/>
    <row r="762" ht="15.75" customHeight="1" s="157"/>
    <row r="763" ht="15.75" customHeight="1" s="157"/>
    <row r="764" ht="15.75" customHeight="1" s="157"/>
    <row r="765" ht="15.75" customHeight="1" s="157"/>
    <row r="766" ht="15.75" customHeight="1" s="157"/>
    <row r="767" ht="15.75" customHeight="1" s="157"/>
    <row r="768" ht="15.75" customHeight="1" s="157"/>
    <row r="769" ht="15.75" customHeight="1" s="157"/>
    <row r="770" ht="15.75" customHeight="1" s="157"/>
    <row r="771" ht="15.75" customHeight="1" s="157"/>
    <row r="772" ht="15.75" customHeight="1" s="157"/>
    <row r="773" ht="15.75" customHeight="1" s="157"/>
    <row r="774" ht="15.75" customHeight="1" s="157"/>
    <row r="775" ht="15.75" customHeight="1" s="157"/>
    <row r="776" ht="15.75" customHeight="1" s="157"/>
    <row r="777" ht="15.75" customHeight="1" s="157"/>
    <row r="778" ht="15.75" customHeight="1" s="157"/>
    <row r="779" ht="15.75" customHeight="1" s="157"/>
    <row r="780" ht="15.75" customHeight="1" s="157"/>
    <row r="781" ht="15.75" customHeight="1" s="157"/>
    <row r="782" ht="15.75" customHeight="1" s="157"/>
    <row r="783" ht="15.75" customHeight="1" s="157"/>
    <row r="784" ht="15.75" customHeight="1" s="157"/>
    <row r="785" ht="15.75" customHeight="1" s="157"/>
    <row r="786" ht="15.75" customHeight="1" s="157"/>
    <row r="787" ht="15.75" customHeight="1" s="157"/>
    <row r="788" ht="15.75" customHeight="1" s="157"/>
    <row r="789" ht="15.75" customHeight="1" s="157"/>
    <row r="790" ht="15.75" customHeight="1" s="157"/>
    <row r="791" ht="15.75" customHeight="1" s="157"/>
    <row r="792" ht="15.75" customHeight="1" s="157"/>
    <row r="793" ht="15.75" customHeight="1" s="157"/>
    <row r="794" ht="15.75" customHeight="1" s="157"/>
    <row r="795" ht="15.75" customHeight="1" s="157"/>
    <row r="796" ht="15.75" customHeight="1" s="157"/>
    <row r="797" ht="15.75" customHeight="1" s="157"/>
    <row r="798" ht="15.75" customHeight="1" s="157"/>
    <row r="799" ht="15.75" customHeight="1" s="157"/>
    <row r="800" ht="15.75" customHeight="1" s="157"/>
    <row r="801" ht="15.75" customHeight="1" s="157"/>
    <row r="802" ht="15.75" customHeight="1" s="157"/>
    <row r="803" ht="15.75" customHeight="1" s="157"/>
    <row r="804" ht="15.75" customHeight="1" s="157"/>
    <row r="805" ht="15.75" customHeight="1" s="157"/>
    <row r="806" ht="15.75" customHeight="1" s="157"/>
    <row r="807" ht="15.75" customHeight="1" s="157"/>
    <row r="808" ht="15.75" customHeight="1" s="157"/>
    <row r="809" ht="15.75" customHeight="1" s="157"/>
    <row r="810" ht="15.75" customHeight="1" s="157"/>
    <row r="811" ht="15.75" customHeight="1" s="157"/>
    <row r="812" ht="15.75" customHeight="1" s="157"/>
    <row r="813" ht="15.75" customHeight="1" s="157"/>
    <row r="814" ht="15.75" customHeight="1" s="157"/>
    <row r="815" ht="15.75" customHeight="1" s="157"/>
    <row r="816" ht="15.75" customHeight="1" s="157"/>
    <row r="817" ht="15.75" customHeight="1" s="157"/>
    <row r="818" ht="15.75" customHeight="1" s="157"/>
    <row r="819" ht="15.75" customHeight="1" s="157"/>
    <row r="820" ht="15.75" customHeight="1" s="157"/>
    <row r="821" ht="15.75" customHeight="1" s="157"/>
    <row r="822" ht="15.75" customHeight="1" s="157"/>
    <row r="823" ht="15.75" customHeight="1" s="157"/>
    <row r="824" ht="15.75" customHeight="1" s="157"/>
    <row r="825" ht="15.75" customHeight="1" s="157"/>
    <row r="826" ht="15.75" customHeight="1" s="157"/>
    <row r="827" ht="15.75" customHeight="1" s="157"/>
    <row r="828" ht="15.75" customHeight="1" s="157"/>
    <row r="829" ht="15.75" customHeight="1" s="157"/>
    <row r="830" ht="15.75" customHeight="1" s="157"/>
    <row r="831" ht="15.75" customHeight="1" s="157"/>
    <row r="832" ht="15.75" customHeight="1" s="157"/>
    <row r="833" ht="15.75" customHeight="1" s="157"/>
    <row r="834" ht="15.75" customHeight="1" s="157"/>
    <row r="835" ht="15.75" customHeight="1" s="157"/>
    <row r="836" ht="15.75" customHeight="1" s="157"/>
    <row r="837" ht="15.75" customHeight="1" s="157"/>
    <row r="838" ht="15.75" customHeight="1" s="157"/>
    <row r="839" ht="15.75" customHeight="1" s="157"/>
    <row r="840" ht="15.75" customHeight="1" s="157"/>
    <row r="841" ht="15.75" customHeight="1" s="157"/>
    <row r="842" ht="15.75" customHeight="1" s="157"/>
    <row r="843" ht="15.75" customHeight="1" s="157"/>
    <row r="844" ht="15.75" customHeight="1" s="157"/>
    <row r="845" ht="15.75" customHeight="1" s="157"/>
    <row r="846" ht="15.75" customHeight="1" s="157"/>
    <row r="847" ht="15.75" customHeight="1" s="157"/>
    <row r="848" ht="15.75" customHeight="1" s="157"/>
    <row r="849" ht="15.75" customHeight="1" s="157"/>
    <row r="850" ht="15.75" customHeight="1" s="157"/>
    <row r="851" ht="15.75" customHeight="1" s="157"/>
    <row r="852" ht="15.75" customHeight="1" s="157"/>
    <row r="853" ht="15.75" customHeight="1" s="157"/>
    <row r="854" ht="15.75" customHeight="1" s="157"/>
    <row r="855" ht="15.75" customHeight="1" s="157"/>
    <row r="856" ht="15.75" customHeight="1" s="157"/>
    <row r="857" ht="15.75" customHeight="1" s="157"/>
    <row r="858" ht="15.75" customHeight="1" s="157"/>
    <row r="859" ht="15.75" customHeight="1" s="157"/>
    <row r="860" ht="15.75" customHeight="1" s="157"/>
    <row r="861" ht="15.75" customHeight="1" s="157"/>
    <row r="862" ht="15.75" customHeight="1" s="157"/>
    <row r="863" ht="15.75" customHeight="1" s="157"/>
    <row r="864" ht="15.75" customHeight="1" s="157"/>
    <row r="865" ht="15.75" customHeight="1" s="157"/>
    <row r="866" ht="15.75" customHeight="1" s="157"/>
    <row r="867" ht="15.75" customHeight="1" s="157"/>
    <row r="868" ht="15.75" customHeight="1" s="157"/>
    <row r="869" ht="15.75" customHeight="1" s="157"/>
    <row r="870" ht="15.75" customHeight="1" s="157"/>
    <row r="871" ht="15.75" customHeight="1" s="157"/>
    <row r="872" ht="15.75" customHeight="1" s="157"/>
    <row r="873" ht="15.75" customHeight="1" s="157"/>
    <row r="874" ht="15.75" customHeight="1" s="157"/>
    <row r="875" ht="15.75" customHeight="1" s="157"/>
    <row r="876" ht="15.75" customHeight="1" s="157"/>
    <row r="877" ht="15.75" customHeight="1" s="157"/>
    <row r="878" ht="15.75" customHeight="1" s="157"/>
    <row r="879" ht="15.75" customHeight="1" s="157"/>
    <row r="880" ht="15.75" customHeight="1" s="157"/>
    <row r="881" ht="15.75" customHeight="1" s="157"/>
    <row r="882" ht="15.75" customHeight="1" s="157"/>
    <row r="883" ht="15.75" customHeight="1" s="157"/>
    <row r="884" ht="15.75" customHeight="1" s="157"/>
    <row r="885" ht="15.75" customHeight="1" s="157"/>
    <row r="886" ht="15.75" customHeight="1" s="157"/>
    <row r="887" ht="15.75" customHeight="1" s="157"/>
    <row r="888" ht="15.75" customHeight="1" s="157"/>
    <row r="889" ht="15.75" customHeight="1" s="157"/>
    <row r="890" ht="15.75" customHeight="1" s="157"/>
    <row r="891" ht="15.75" customHeight="1" s="157"/>
    <row r="892" ht="15.75" customHeight="1" s="157"/>
    <row r="893" ht="15.75" customHeight="1" s="157"/>
    <row r="894" ht="15.75" customHeight="1" s="157"/>
    <row r="895" ht="15.75" customHeight="1" s="157"/>
    <row r="896" ht="15.75" customHeight="1" s="157"/>
    <row r="897" ht="15.75" customHeight="1" s="157"/>
    <row r="898" ht="15.75" customHeight="1" s="157"/>
    <row r="899" ht="15.75" customHeight="1" s="157"/>
    <row r="900" ht="15.75" customHeight="1" s="157"/>
    <row r="901" ht="15.75" customHeight="1" s="157"/>
    <row r="902" ht="15.75" customHeight="1" s="157"/>
    <row r="903" ht="15.75" customHeight="1" s="157"/>
    <row r="904" ht="15.75" customHeight="1" s="157"/>
    <row r="905" ht="15.75" customHeight="1" s="157"/>
    <row r="906" ht="15.75" customHeight="1" s="157"/>
    <row r="907" ht="15.75" customHeight="1" s="157"/>
    <row r="908" ht="15.75" customHeight="1" s="157"/>
    <row r="909" ht="15.75" customHeight="1" s="157"/>
    <row r="910" ht="15.75" customHeight="1" s="157"/>
    <row r="911" ht="15.75" customHeight="1" s="157"/>
    <row r="912" ht="15.75" customHeight="1" s="157"/>
    <row r="913" ht="15.75" customHeight="1" s="157"/>
    <row r="914" ht="15.75" customHeight="1" s="157"/>
    <row r="915" ht="15.75" customHeight="1" s="157"/>
    <row r="916" ht="15.75" customHeight="1" s="157"/>
    <row r="917" ht="15.75" customHeight="1" s="157"/>
    <row r="918" ht="15.75" customHeight="1" s="157"/>
    <row r="919" ht="15.75" customHeight="1" s="157"/>
    <row r="920" ht="15.75" customHeight="1" s="157"/>
    <row r="921" ht="15.75" customHeight="1" s="157"/>
    <row r="922" ht="15.75" customHeight="1" s="157"/>
    <row r="923" ht="15.75" customHeight="1" s="157"/>
    <row r="924" ht="15.75" customHeight="1" s="157"/>
    <row r="925" ht="15.75" customHeight="1" s="157"/>
    <row r="926" ht="15.75" customHeight="1" s="157"/>
    <row r="927" ht="15.75" customHeight="1" s="157"/>
    <row r="928" ht="15.75" customHeight="1" s="157"/>
    <row r="929" ht="15.75" customHeight="1" s="157"/>
    <row r="930" ht="15.75" customHeight="1" s="157"/>
    <row r="931" ht="15.75" customHeight="1" s="157"/>
    <row r="932" ht="15.75" customHeight="1" s="157"/>
    <row r="933" ht="15.75" customHeight="1" s="157"/>
    <row r="934" ht="15.75" customHeight="1" s="157"/>
    <row r="935" ht="15.75" customHeight="1" s="157"/>
    <row r="936" ht="15.75" customHeight="1" s="157"/>
    <row r="937" ht="15.75" customHeight="1" s="157"/>
    <row r="938" ht="15.75" customHeight="1" s="157"/>
    <row r="939" ht="15.75" customHeight="1" s="157"/>
    <row r="940" ht="15.75" customHeight="1" s="157"/>
    <row r="941" ht="15.75" customHeight="1" s="157"/>
    <row r="942" ht="15.75" customHeight="1" s="157"/>
    <row r="943" ht="15.75" customHeight="1" s="157"/>
    <row r="944" ht="15.75" customHeight="1" s="157"/>
    <row r="945" ht="15.75" customHeight="1" s="157"/>
    <row r="946" ht="15.75" customHeight="1" s="157"/>
    <row r="947" ht="15.75" customHeight="1" s="157"/>
    <row r="948" ht="15.75" customHeight="1" s="157"/>
    <row r="949" ht="15.75" customHeight="1" s="157"/>
    <row r="950" ht="15.75" customHeight="1" s="157"/>
    <row r="951" ht="15.75" customHeight="1" s="157"/>
    <row r="952" ht="15.75" customHeight="1" s="157"/>
    <row r="953" ht="15.75" customHeight="1" s="157"/>
    <row r="954" ht="15.75" customHeight="1" s="157"/>
    <row r="955" ht="15.75" customHeight="1" s="157"/>
    <row r="956" ht="15.75" customHeight="1" s="157"/>
    <row r="957" ht="15.75" customHeight="1" s="157"/>
    <row r="958" ht="15.75" customHeight="1" s="157"/>
    <row r="959" ht="15.75" customHeight="1" s="157"/>
    <row r="960" ht="15.75" customHeight="1" s="157"/>
    <row r="961" ht="15.75" customHeight="1" s="157"/>
    <row r="962" ht="15.75" customHeight="1" s="157"/>
    <row r="963" ht="15.75" customHeight="1" s="157"/>
    <row r="964" ht="15.75" customHeight="1" s="157"/>
    <row r="965" ht="15.75" customHeight="1" s="157"/>
    <row r="966" ht="15.75" customHeight="1" s="157"/>
    <row r="967" ht="15.75" customHeight="1" s="157"/>
    <row r="968" ht="15.75" customHeight="1" s="157"/>
    <row r="969" ht="15.75" customHeight="1" s="157"/>
    <row r="970" ht="15.75" customHeight="1" s="157"/>
    <row r="971" ht="15.75" customHeight="1" s="157"/>
    <row r="972" ht="15.75" customHeight="1" s="157"/>
    <row r="973" ht="15.75" customHeight="1" s="157"/>
    <row r="974" ht="15.75" customHeight="1" s="157"/>
    <row r="975" ht="15.75" customHeight="1" s="157"/>
    <row r="976" ht="15.75" customHeight="1" s="157"/>
    <row r="977" ht="15.75" customHeight="1" s="157"/>
    <row r="978" ht="15.75" customHeight="1" s="157"/>
    <row r="979" ht="15.75" customHeight="1" s="157"/>
    <row r="980" ht="15.75" customHeight="1" s="157"/>
    <row r="981" ht="15.75" customHeight="1" s="157"/>
    <row r="982" ht="15.75" customHeight="1" s="157"/>
    <row r="983" ht="15.75" customHeight="1" s="157"/>
    <row r="984" ht="15.75" customHeight="1" s="157"/>
    <row r="985" ht="15.75" customHeight="1" s="157"/>
    <row r="986" ht="15.75" customHeight="1" s="157"/>
    <row r="987" ht="15.75" customHeight="1" s="157"/>
    <row r="988" ht="15.75" customHeight="1" s="157"/>
    <row r="989" ht="15.75" customHeight="1" s="157"/>
    <row r="990" ht="15.75" customHeight="1" s="157"/>
    <row r="991" ht="15.75" customHeight="1" s="157"/>
    <row r="992" ht="15.75" customHeight="1" s="157"/>
    <row r="993" ht="15.75" customHeight="1" s="157"/>
    <row r="994" ht="15.75" customHeight="1" s="157"/>
    <row r="995" ht="15.75" customHeight="1" s="157"/>
    <row r="996" ht="15.75" customHeight="1" s="157"/>
    <row r="997" ht="15.75" customHeight="1" s="157"/>
    <row r="998" ht="15.75" customHeight="1" s="157"/>
    <row r="999" ht="15.75" customHeight="1" s="157"/>
    <row r="1000" ht="15.75" customHeight="1" s="157"/>
    <row r="1001" ht="15.75" customHeight="1" s="157"/>
    <row r="1002" ht="15.75" customHeight="1" s="157"/>
    <row r="1003" ht="15.75" customHeight="1" s="157"/>
    <row r="1004" ht="15.75" customHeight="1" s="157"/>
    <row r="1005" ht="15.75" customHeight="1" s="157"/>
    <row r="1006" ht="15.75" customHeight="1" s="157"/>
    <row r="1007" ht="15.75" customHeight="1" s="157"/>
    <row r="1008" ht="15.75" customHeight="1" s="157"/>
    <row r="1009" ht="15.75" customHeight="1" s="157"/>
    <row r="1010" ht="15.75" customHeight="1" s="157"/>
    <row r="1011" ht="15.75" customHeight="1" s="157"/>
    <row r="1012" ht="15.75" customHeight="1" s="157"/>
    <row r="1013" ht="15.75" customHeight="1" s="157"/>
    <row r="1014" ht="15.75" customHeight="1" s="157"/>
    <row r="1015" ht="15.75" customHeight="1" s="157"/>
    <row r="1016" ht="15.75" customHeight="1" s="157"/>
    <row r="1017" ht="15.75" customHeight="1" s="157"/>
    <row r="1018" ht="15.75" customHeight="1" s="157"/>
    <row r="1019" ht="15.75" customHeight="1" s="157"/>
    <row r="1020" ht="15.75" customHeight="1" s="157"/>
    <row r="1021" ht="15.75" customHeight="1" s="157"/>
    <row r="1022" ht="15.75" customHeight="1" s="157"/>
    <row r="1023" ht="15.75" customHeight="1" s="157"/>
    <row r="1024" ht="15.75" customHeight="1" s="157"/>
    <row r="1025" ht="15.75" customHeight="1" s="157"/>
    <row r="1026" ht="15.75" customHeight="1" s="157"/>
    <row r="1027" ht="15.75" customHeight="1" s="157"/>
    <row r="1028" ht="15.75" customHeight="1" s="157"/>
    <row r="1029" ht="15.75" customHeight="1" s="157"/>
    <row r="1030" ht="15.75" customHeight="1" s="157"/>
    <row r="1031" ht="15.75" customHeight="1" s="157"/>
    <row r="1032" ht="15.75" customHeight="1" s="157"/>
    <row r="1033" ht="15.75" customHeight="1" s="157"/>
    <row r="1034" ht="15.75" customHeight="1" s="157"/>
    <row r="1035" ht="15.75" customHeight="1" s="157"/>
    <row r="1036" ht="15.75" customHeight="1" s="157"/>
    <row r="1037" ht="15.75" customHeight="1" s="157"/>
    <row r="1038" ht="15.75" customHeight="1" s="157"/>
    <row r="1039" ht="15.75" customHeight="1" s="157"/>
    <row r="1040" ht="15.75" customHeight="1" s="157"/>
    <row r="1041" ht="15.75" customHeight="1" s="157"/>
    <row r="1042" ht="15.75" customHeight="1" s="157"/>
    <row r="1043" ht="15.75" customHeight="1" s="157"/>
    <row r="1044" ht="15.75" customHeight="1" s="157"/>
    <row r="1045" ht="15.75" customHeight="1" s="157"/>
    <row r="1046" ht="15.75" customHeight="1" s="157"/>
    <row r="1047" ht="15.75" customHeight="1" s="157"/>
    <row r="1048" ht="15.75" customHeight="1" s="157"/>
    <row r="1049" ht="15.75" customHeight="1" s="157"/>
    <row r="1050" ht="15.75" customHeight="1" s="157"/>
    <row r="1051" ht="15.75" customHeight="1" s="157"/>
    <row r="1052" ht="15.75" customHeight="1" s="157"/>
    <row r="1053" ht="15.75" customHeight="1" s="157"/>
    <row r="1054" ht="15.75" customHeight="1" s="157"/>
    <row r="1055" ht="15.75" customHeight="1" s="157"/>
    <row r="1056" ht="15.75" customHeight="1" s="157"/>
    <row r="1057" ht="15.75" customHeight="1" s="157"/>
    <row r="1058" ht="15.75" customHeight="1" s="157"/>
    <row r="1059" ht="15.75" customHeight="1" s="157"/>
    <row r="1060" ht="15.75" customHeight="1" s="157"/>
    <row r="1061" ht="15.75" customHeight="1" s="157"/>
    <row r="1062" ht="15.75" customHeight="1" s="157"/>
    <row r="1063" ht="15.75" customHeight="1" s="157"/>
    <row r="1064" ht="15.75" customHeight="1" s="157"/>
    <row r="1065" ht="15.75" customHeight="1" s="157"/>
    <row r="1066" ht="15.75" customHeight="1" s="157"/>
    <row r="1067" ht="15.75" customHeight="1" s="157"/>
    <row r="1068" ht="15.75" customHeight="1" s="157"/>
    <row r="1069" ht="15.75" customHeight="1" s="157"/>
    <row r="1070" ht="15.75" customHeight="1" s="157"/>
    <row r="1071" ht="15.75" customHeight="1" s="157"/>
    <row r="1072" ht="15.75" customHeight="1" s="157"/>
    <row r="1073" ht="15.75" customHeight="1" s="157"/>
    <row r="1074" ht="15.75" customHeight="1" s="157"/>
    <row r="1075" ht="15.75" customHeight="1" s="157"/>
    <row r="1076" ht="15.75" customHeight="1" s="157"/>
    <row r="1077" ht="15.75" customHeight="1" s="157"/>
    <row r="1078" ht="15.75" customHeight="1" s="157"/>
    <row r="1079" ht="15.75" customHeight="1" s="157"/>
    <row r="1080" ht="15.75" customHeight="1" s="157"/>
    <row r="1081" ht="15.75" customHeight="1" s="157"/>
    <row r="1082" ht="15.75" customHeight="1" s="157"/>
    <row r="1083" ht="15.75" customHeight="1" s="157"/>
    <row r="1084" ht="15.75" customHeight="1" s="157"/>
    <row r="1085" ht="15.75" customHeight="1" s="157"/>
    <row r="1086" ht="15.75" customHeight="1" s="157"/>
    <row r="1087" ht="15.75" customHeight="1" s="157"/>
    <row r="1088" ht="15.75" customHeight="1" s="157"/>
    <row r="1089" ht="15.75" customHeight="1" s="157"/>
    <row r="1090" ht="15.75" customHeight="1" s="157"/>
    <row r="1091" ht="15.75" customHeight="1" s="157"/>
    <row r="1092" ht="15.75" customHeight="1" s="157"/>
    <row r="1093" ht="15.75" customHeight="1" s="157"/>
    <row r="1094" ht="15.75" customHeight="1" s="157"/>
    <row r="1095" ht="15.75" customHeight="1" s="157"/>
    <row r="1096" ht="15.75" customHeight="1" s="157"/>
    <row r="1097" ht="15.75" customHeight="1" s="157"/>
    <row r="1098" ht="15.75" customHeight="1" s="157"/>
    <row r="1099" ht="15.75" customHeight="1" s="157"/>
    <row r="1100" ht="15.75" customHeight="1" s="157"/>
    <row r="1101" ht="15.75" customHeight="1" s="157"/>
    <row r="1102" ht="15.75" customHeight="1" s="157"/>
    <row r="1103" ht="15.75" customHeight="1" s="157"/>
    <row r="1104" ht="15.75" customHeight="1" s="157"/>
    <row r="1105" ht="15.75" customHeight="1" s="157"/>
    <row r="1106" ht="15.75" customHeight="1" s="157"/>
    <row r="1107" ht="15.75" customHeight="1" s="157"/>
    <row r="1108" ht="15.75" customHeight="1" s="157"/>
    <row r="1109" ht="15.75" customHeight="1" s="157"/>
    <row r="1110" ht="15.75" customHeight="1" s="157"/>
    <row r="1111" ht="15.75" customHeight="1" s="157"/>
    <row r="1112" ht="15.75" customHeight="1" s="157"/>
    <row r="1113" ht="15.75" customHeight="1" s="157"/>
    <row r="1114" ht="15.75" customHeight="1" s="157"/>
    <row r="1115" ht="15.75" customHeight="1" s="157"/>
    <row r="1116" ht="15.75" customHeight="1" s="157"/>
    <row r="1117" ht="15.75" customHeight="1" s="157"/>
    <row r="1118" ht="15.75" customHeight="1" s="157"/>
    <row r="1119" ht="15.75" customHeight="1" s="157"/>
    <row r="1120" ht="15.75" customHeight="1" s="157"/>
    <row r="1121" ht="15.75" customHeight="1" s="157"/>
    <row r="1122" ht="15.75" customHeight="1" s="157"/>
    <row r="1123" ht="15.75" customHeight="1" s="157"/>
    <row r="1124" ht="15.75" customHeight="1" s="157"/>
    <row r="1125" ht="15.75" customHeight="1" s="157"/>
    <row r="1126" ht="15.75" customHeight="1" s="157"/>
    <row r="1127" ht="15.75" customHeight="1" s="157"/>
    <row r="1128" ht="15.75" customHeight="1" s="157"/>
    <row r="1129" ht="15.75" customHeight="1" s="157"/>
    <row r="1130" ht="15.75" customHeight="1" s="157"/>
  </sheetData>
  <mergeCells count="5">
    <mergeCell ref="A2:B5"/>
    <mergeCell ref="M3:M4"/>
    <mergeCell ref="C2:L5"/>
    <mergeCell ref="B6:K6"/>
    <mergeCell ref="A10:M10"/>
  </mergeCells>
  <dataValidations disablePrompts="1" count="4">
    <dataValidation sqref="K12:K19 K21:K34 K102:L206" showDropDown="0" showInputMessage="0" showErrorMessage="1" allowBlank="1" type="decimal">
      <formula1>0</formula1>
      <formula2>1E+21</formula2>
    </dataValidation>
    <dataValidation sqref="L31:L34 M13:M17 M102:M103 M108:M206" showDropDown="0" showInputMessage="0" showErrorMessage="1" allowBlank="1" type="custom">
      <formula1>LT(LEN(L13),(450))</formula1>
    </dataValidation>
    <dataValidation sqref="M65" showDropDown="0" showInputMessage="1" showErrorMessage="1" allowBlank="1" type="textLength" operator="lessThan">
      <formula1>450</formula1>
    </dataValidation>
    <dataValidation sqref="K65:L65" showDropDown="0" showInputMessage="1" showErrorMessage="1" allowBlank="1" type="decimal">
      <formula1>0</formula1>
      <formula2>1E+21</formula2>
    </dataValidation>
  </dataValidations>
  <pageMargins left="0.7086614173228351" right="0.7086614173228351" top="1.18110236220472" bottom="1.18110236220472" header="0" footer="0"/>
  <pageSetup orientation="landscape" fitToHeight="0"/>
  <headerFooter>
    <oddHeader/>
    <oddFooter>&amp;LF-DE-012 V3&amp;R 15/07/2024</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outlinePr summaryBelow="1" summaryRight="1"/>
    <pageSetUpPr fitToPage="1"/>
  </sheetPr>
  <dimension ref="A1:Z280"/>
  <sheetViews>
    <sheetView showGridLines="0" workbookViewId="0">
      <selection activeCell="A1" sqref="A1"/>
    </sheetView>
  </sheetViews>
  <sheetFormatPr baseColWidth="8" defaultColWidth="14.453125" defaultRowHeight="15" customHeight="1"/>
  <cols>
    <col width="9" customWidth="1" style="157" min="1" max="1"/>
    <col width="33" customWidth="1" style="157" min="2" max="2"/>
    <col width="23.81640625" customWidth="1" style="157" min="3" max="3"/>
    <col width="70.453125" customWidth="1" style="157" min="4" max="4"/>
    <col width="29.453125" customWidth="1" style="157" min="5" max="5"/>
    <col width="30.1796875" customWidth="1" style="157" min="6" max="6"/>
    <col width="11.453125" customWidth="1" style="157" min="7" max="26"/>
  </cols>
  <sheetData>
    <row r="1" ht="14.25" customHeight="1" s="157">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row>
    <row r="2" ht="20.25" customHeight="1" s="157">
      <c r="A2" s="261" t="n"/>
      <c r="B2" s="145" t="n"/>
      <c r="C2" s="258" t="inlineStr">
        <is>
          <t>FORMATO
SOLICITUD DE INCENTIVOS TRIBUTARIOS
PARA PROYECTOS DE FNCE
EXCLUSIÓN DE IVA, DEDUCCIÓN EN RENTA
EXENCIÓN DE ARANCEL Y DEPRECIACIÓN ACELERADA</t>
        </is>
      </c>
      <c r="D2" s="156" t="n"/>
      <c r="E2" s="156" t="n"/>
      <c r="F2" s="150" t="inlineStr">
        <is>
          <t>Código: F-CT-01</t>
        </is>
      </c>
      <c r="G2" s="21" t="n"/>
      <c r="H2" s="21" t="n"/>
      <c r="I2" s="21" t="n"/>
      <c r="J2" s="21" t="n"/>
      <c r="K2" s="21" t="n"/>
      <c r="L2" s="21" t="n"/>
      <c r="M2" s="21" t="n"/>
      <c r="N2" s="21" t="n"/>
      <c r="O2" s="21" t="n"/>
      <c r="P2" s="21" t="n"/>
      <c r="Q2" s="21" t="n"/>
      <c r="R2" s="21" t="n"/>
      <c r="S2" s="21" t="n"/>
      <c r="T2" s="21" t="n"/>
      <c r="U2" s="2" t="n"/>
      <c r="V2" s="22" t="n"/>
      <c r="W2" s="22" t="n"/>
      <c r="X2" s="22" t="n"/>
      <c r="Y2" s="2" t="n"/>
      <c r="Z2" s="1" t="n"/>
    </row>
    <row r="3" ht="14.25" customHeight="1" s="157">
      <c r="A3" s="146" t="n"/>
      <c r="B3" s="147" t="n"/>
      <c r="C3" s="146" t="n"/>
      <c r="F3" s="262" t="inlineStr">
        <is>
          <t>Fecha: 10/10/2024</t>
        </is>
      </c>
      <c r="G3" s="21" t="n"/>
      <c r="H3" s="21" t="n"/>
      <c r="I3" s="21" t="n"/>
      <c r="J3" s="21" t="n"/>
      <c r="K3" s="21" t="n"/>
      <c r="L3" s="21" t="n"/>
      <c r="M3" s="21" t="n"/>
      <c r="N3" s="21" t="n"/>
      <c r="O3" s="21" t="n"/>
      <c r="P3" s="21" t="n"/>
      <c r="Q3" s="21" t="n"/>
      <c r="R3" s="21" t="n"/>
      <c r="S3" s="21" t="n"/>
      <c r="T3" s="21" t="n"/>
      <c r="U3" s="2" t="n"/>
      <c r="V3" s="22" t="n"/>
      <c r="W3" s="22" t="n"/>
      <c r="X3" s="22" t="n"/>
      <c r="Y3" s="2" t="n"/>
      <c r="Z3" s="1" t="n"/>
    </row>
    <row r="4" ht="10.5" customHeight="1" s="157">
      <c r="A4" s="146" t="n"/>
      <c r="B4" s="147" t="n"/>
      <c r="C4" s="146" t="n"/>
      <c r="F4" s="268" t="n"/>
      <c r="G4" s="21" t="n"/>
      <c r="H4" s="21" t="n"/>
      <c r="I4" s="21" t="n"/>
      <c r="J4" s="21" t="n"/>
      <c r="K4" s="21" t="n"/>
      <c r="L4" s="21" t="n"/>
      <c r="M4" s="21" t="n"/>
      <c r="N4" s="21" t="n"/>
      <c r="O4" s="21" t="n"/>
      <c r="P4" s="21" t="n"/>
      <c r="Q4" s="21" t="n"/>
      <c r="R4" s="21" t="n"/>
      <c r="S4" s="21" t="n"/>
      <c r="T4" s="21" t="n"/>
      <c r="U4" s="2" t="n"/>
      <c r="V4" s="22" t="n"/>
      <c r="W4" s="22" t="n"/>
      <c r="X4" s="22" t="n"/>
      <c r="Y4" s="2" t="n"/>
      <c r="Z4" s="1" t="n"/>
    </row>
    <row r="5" ht="21" customHeight="1" s="157">
      <c r="A5" s="148" t="n"/>
      <c r="B5" s="149" t="n"/>
      <c r="C5" s="148" t="n"/>
      <c r="D5" s="158" t="n"/>
      <c r="E5" s="158" t="n"/>
      <c r="F5" s="150" t="inlineStr">
        <is>
          <t>Versión: 03</t>
        </is>
      </c>
      <c r="G5" s="21" t="n"/>
      <c r="H5" s="21" t="n"/>
      <c r="I5" s="21" t="n"/>
      <c r="J5" s="21" t="n"/>
      <c r="K5" s="21" t="n"/>
      <c r="L5" s="21" t="n"/>
      <c r="M5" s="21" t="n"/>
      <c r="N5" s="21" t="n"/>
      <c r="O5" s="21" t="n"/>
      <c r="P5" s="21" t="n"/>
      <c r="Q5" s="21" t="n"/>
      <c r="R5" s="21" t="n"/>
      <c r="S5" s="21" t="n"/>
      <c r="T5" s="21" t="n"/>
      <c r="U5" s="2" t="n"/>
      <c r="V5" s="22" t="n"/>
      <c r="W5" s="22" t="n"/>
      <c r="X5" s="22" t="n"/>
      <c r="Y5" s="2" t="n"/>
      <c r="Z5" s="1" t="n"/>
    </row>
    <row r="6" ht="14.25" customHeight="1" s="157">
      <c r="A6" s="1" t="n"/>
      <c r="B6" s="159" t="n"/>
      <c r="K6" s="1" t="n"/>
      <c r="L6" s="1" t="n"/>
      <c r="M6" s="1" t="n"/>
      <c r="N6" s="1" t="n"/>
      <c r="O6" s="1" t="n"/>
      <c r="P6" s="1" t="n"/>
      <c r="Q6" s="1" t="n"/>
      <c r="R6" s="1" t="n"/>
      <c r="S6" s="1" t="n"/>
      <c r="T6" s="1" t="n"/>
      <c r="U6" s="1" t="n"/>
      <c r="V6" s="1" t="n"/>
      <c r="W6" s="1" t="n"/>
      <c r="X6" s="1" t="n"/>
      <c r="Y6" s="1" t="n"/>
      <c r="Z6" s="1" t="n"/>
    </row>
    <row r="7" ht="14.25" customHeight="1" s="157">
      <c r="A7" s="2" t="n"/>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4.25" customHeight="1" s="157">
      <c r="A8" s="2" t="n"/>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4.25" customHeight="1" s="157">
      <c r="A9" s="2" t="n"/>
      <c r="B9" s="2" t="n"/>
      <c r="C9" s="2" t="n"/>
      <c r="D9" s="2" t="n"/>
      <c r="E9" s="2" t="n"/>
      <c r="F9" s="2" t="n"/>
      <c r="G9" s="2" t="n"/>
      <c r="H9" s="2" t="n"/>
      <c r="I9" s="2" t="n"/>
      <c r="J9" s="2" t="n"/>
      <c r="K9" s="2" t="n"/>
      <c r="L9" s="2" t="n"/>
      <c r="M9" s="2" t="n"/>
      <c r="N9" s="2" t="n"/>
      <c r="O9" s="2" t="n"/>
      <c r="P9" s="2" t="n"/>
      <c r="Q9" s="2" t="n"/>
      <c r="R9" s="2" t="n"/>
      <c r="S9" s="2" t="n"/>
      <c r="T9" s="2" t="n"/>
      <c r="U9" s="2" t="n"/>
      <c r="V9" s="2" t="n"/>
      <c r="W9" s="2" t="n"/>
      <c r="X9" s="2" t="n"/>
      <c r="Y9" s="2" t="n"/>
      <c r="Z9" s="2" t="n"/>
    </row>
    <row r="10" ht="30" customHeight="1" s="157">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59.25" customHeight="1" s="157">
      <c r="A11" s="196" t="inlineStr">
        <is>
          <t>FORMATO 4
FORMATO DE ESPECIFICACIONES DE SERVICIOS
(CAPÍTULO III DE LA LEY 1715 DE 2014)</t>
        </is>
      </c>
      <c r="B11" s="168" t="n"/>
      <c r="C11" s="168" t="n"/>
      <c r="D11" s="168" t="n"/>
      <c r="E11" s="168" t="n"/>
      <c r="F11" s="183" t="n"/>
      <c r="G11" s="2" t="n"/>
      <c r="H11" s="2" t="n"/>
      <c r="I11" s="2" t="n"/>
      <c r="J11" s="2" t="n"/>
      <c r="K11" s="2" t="n"/>
      <c r="L11" s="2" t="n"/>
      <c r="M11" s="2" t="n"/>
      <c r="N11" s="2" t="n"/>
      <c r="O11" s="2" t="n"/>
      <c r="P11" s="2" t="n"/>
      <c r="Q11" s="2" t="n"/>
      <c r="R11" s="2" t="n"/>
      <c r="S11" s="2" t="n"/>
      <c r="T11" s="2" t="n"/>
      <c r="U11" s="2" t="n"/>
      <c r="V11" s="2" t="n"/>
      <c r="W11" s="2" t="n"/>
      <c r="X11" s="2" t="n"/>
      <c r="Y11" s="2" t="n"/>
      <c r="Z11" s="2" t="n"/>
    </row>
    <row r="12" ht="14.25" customHeight="1" s="157">
      <c r="A12" s="63" t="inlineStr">
        <is>
          <t>Ítem</t>
        </is>
      </c>
      <c r="B12" s="63" t="inlineStr">
        <is>
          <t>Servicio</t>
        </is>
      </c>
      <c r="C12" s="64" t="inlineStr">
        <is>
          <t>Proveedor</t>
        </is>
      </c>
      <c r="D12" s="64" t="inlineStr">
        <is>
          <t>Alcance</t>
        </is>
      </c>
      <c r="E12" s="65" t="inlineStr">
        <is>
          <t>Valor total en COP
(Sin incluir IVA)</t>
        </is>
      </c>
      <c r="F12" s="66" t="inlineStr">
        <is>
          <t>Valor IVA en COP</t>
        </is>
      </c>
      <c r="G12" s="2" t="n"/>
      <c r="H12" s="2" t="n"/>
      <c r="I12" s="2" t="n"/>
      <c r="J12" s="2" t="n"/>
      <c r="K12" s="2" t="n"/>
      <c r="L12" s="2" t="n"/>
      <c r="M12" s="2" t="n"/>
      <c r="N12" s="2" t="n"/>
      <c r="O12" s="2" t="n"/>
      <c r="P12" s="2" t="n"/>
      <c r="Q12" s="2" t="n"/>
      <c r="R12" s="2" t="n"/>
      <c r="S12" s="2" t="n"/>
      <c r="T12" s="2" t="n"/>
      <c r="U12" s="2" t="n"/>
      <c r="V12" s="2" t="n"/>
      <c r="W12" s="2" t="n"/>
      <c r="X12" s="2" t="n"/>
      <c r="Y12" s="2" t="n"/>
      <c r="Z12" s="2" t="n"/>
    </row>
    <row r="13" ht="171" customHeight="1" s="157">
      <c r="A13" s="67" t="n">
        <v>1</v>
      </c>
      <c r="B13" s="68" t="inlineStr">
        <is>
          <t>Asesoría y consultoría técnica</t>
        </is>
      </c>
      <c r="C13" s="68" t="inlineStr">
        <is>
          <t>ENEXA</t>
        </is>
      </c>
      <c r="D13" s="69" t="inlineStr">
        <is>
          <t>El presente servicio corresponde a la ejecución de Ensayos Pull Out Test (POT), estudio técnico indispensable para la validación de las condiciones geomecánicas del terreno en donde se instalará el sistema fotovoltaico. Este estudio resulta necesario para garantizar la viabilidad estructural del proyecto, dado que permite verificar la capacidad de carga y comportamiento del suelo en el sitio exacto de implantación de los paneles solares.
Se realizará el Pull out test proyecto MOMPOX NORTE, ensayos a tracción, compresión y lateral 3 perfiles tipo IPE 180 por 3.5 metros de longitud, y 3 perfiles tipo IPE 200 por 3.5 metros de longitud. Procedimiento a aplicar segun especificaciones técnicas de ZentrackSe Hincarán 6 perfiles, 3 perfiles IPE 180 X 3.5m y 3 perfiles IPE 200 X 3.5m, de estas se escogen (2 UND) para las pruebas saturadas</t>
        </is>
      </c>
      <c r="E13" s="70" t="n"/>
      <c r="F13" s="71">
        <f>E13*0.19</f>
        <v/>
      </c>
      <c r="G13" s="5" t="n"/>
      <c r="H13" s="2" t="n"/>
      <c r="I13" s="2" t="n"/>
      <c r="J13" s="2" t="n"/>
      <c r="K13" s="2" t="n"/>
      <c r="L13" s="2" t="n"/>
      <c r="M13" s="2" t="n"/>
      <c r="N13" s="2" t="n"/>
      <c r="O13" s="2" t="n"/>
      <c r="P13" s="2" t="n"/>
      <c r="Q13" s="2" t="n"/>
      <c r="R13" s="2" t="n"/>
      <c r="S13" s="2" t="n"/>
      <c r="T13" s="2" t="n"/>
      <c r="U13" s="2" t="n"/>
      <c r="V13" s="2" t="n"/>
      <c r="W13" s="2" t="n"/>
      <c r="X13" s="2" t="n"/>
      <c r="Y13" s="2" t="n"/>
      <c r="Z13" s="2" t="n"/>
    </row>
    <row r="14" ht="48" customHeight="1" s="157">
      <c r="A14" s="72" t="n">
        <v>2</v>
      </c>
      <c r="B14" s="37" t="inlineStr">
        <is>
          <t>Diseño e ingeniería del sistema</t>
        </is>
      </c>
      <c r="C14" s="37" t="inlineStr">
        <is>
          <t>Solenium S.A.S</t>
        </is>
      </c>
      <c r="D14" s="3" t="inlineStr">
        <is>
          <t>Medición de curvas IV, Verificación de Voltaje de Circuito Abierto Voc y Corriente de Corto Circuito Isc en mini granja solar MGS 0044, ubicada en Santa cruz del Mompox, Bolivar.</t>
        </is>
      </c>
      <c r="E14" s="70" t="n"/>
      <c r="F14" s="71" t="n"/>
      <c r="G14" s="5" t="n"/>
      <c r="H14" s="2" t="n"/>
      <c r="I14" s="2" t="n"/>
      <c r="J14" s="2" t="n"/>
      <c r="K14" s="2" t="n"/>
      <c r="L14" s="2" t="n"/>
      <c r="M14" s="2" t="n"/>
      <c r="N14" s="2" t="n"/>
      <c r="O14" s="2" t="n"/>
      <c r="P14" s="2" t="n"/>
      <c r="Q14" s="2" t="n"/>
      <c r="R14" s="2" t="n"/>
      <c r="S14" s="2" t="n"/>
      <c r="T14" s="2" t="n"/>
      <c r="U14" s="2" t="n"/>
      <c r="V14" s="2" t="n"/>
      <c r="W14" s="2" t="n"/>
      <c r="X14" s="2" t="n"/>
      <c r="Y14" s="2" t="n"/>
      <c r="Z14" s="2" t="n"/>
    </row>
    <row r="15" ht="75" customHeight="1" s="157">
      <c r="A15" s="72" t="n">
        <v>3</v>
      </c>
      <c r="B15" s="37" t="inlineStr">
        <is>
          <t>Diseño e ingeniería del sistema</t>
        </is>
      </c>
      <c r="C15" s="37" t="inlineStr">
        <is>
          <t>Solenium S.A.S</t>
        </is>
      </c>
      <c r="D15" s="3" t="inlineStr">
        <is>
          <t>NGENIERÍA DEL PROYECTO, INCLUYE: Diagrama unifilar, estudio de resistividad del suelo, estudio de conexión, planos de disposición física de la estructura, inversores, paneles y acometidas, plano de conexión de paneles y demás planos necesarios en la etapa de ingeniería de detalle del proyecto</t>
        </is>
      </c>
      <c r="E15" s="70" t="n"/>
      <c r="F15" s="71">
        <f>E15*0.19</f>
        <v/>
      </c>
      <c r="G15" s="5" t="n"/>
      <c r="H15" s="2" t="n"/>
      <c r="I15" s="2" t="n"/>
      <c r="J15" s="2" t="n"/>
      <c r="K15" s="2" t="n"/>
      <c r="L15" s="2" t="n"/>
      <c r="M15" s="2" t="n"/>
      <c r="N15" s="2" t="n"/>
      <c r="O15" s="2" t="n"/>
      <c r="P15" s="2" t="n"/>
      <c r="Q15" s="2" t="n"/>
      <c r="R15" s="2" t="n"/>
      <c r="S15" s="2" t="n"/>
      <c r="T15" s="2" t="n"/>
      <c r="U15" s="2" t="n"/>
      <c r="V15" s="2" t="n"/>
      <c r="W15" s="2" t="n"/>
      <c r="X15" s="2" t="n"/>
      <c r="Y15" s="2" t="n"/>
      <c r="Z15" s="2" t="n"/>
    </row>
    <row r="16" ht="48" customHeight="1" s="157">
      <c r="A16" s="72" t="n">
        <v>4</v>
      </c>
      <c r="B16" s="37" t="inlineStr">
        <is>
          <t>Construcción de obras civiles y estructurales para el montaje del sistema.</t>
        </is>
      </c>
      <c r="C16" s="37" t="inlineStr">
        <is>
          <t>Solenium S.A.S</t>
        </is>
      </c>
      <c r="D16" s="3" t="inlineStr">
        <is>
          <t xml:space="preserve">El servicio de hincado corresponde a la instalación de las bases del seguidor solar o tracker sobre el cual se soportarán los paneles solares y se moverán para seguir la trayectoria del sol. </t>
        </is>
      </c>
      <c r="E16" s="70" t="n"/>
      <c r="F16" s="71">
        <f>E16*0.19</f>
        <v/>
      </c>
      <c r="G16" s="5" t="n"/>
      <c r="H16" s="2" t="n"/>
      <c r="I16" s="2" t="n"/>
      <c r="J16" s="2" t="n"/>
      <c r="K16" s="2" t="n"/>
      <c r="L16" s="2" t="n"/>
      <c r="M16" s="2" t="n"/>
      <c r="N16" s="2" t="n"/>
      <c r="O16" s="2" t="n"/>
      <c r="P16" s="2" t="n"/>
      <c r="Q16" s="2" t="n"/>
      <c r="R16" s="2" t="n"/>
      <c r="S16" s="2" t="n"/>
      <c r="T16" s="2" t="n"/>
      <c r="U16" s="2" t="n"/>
      <c r="V16" s="2" t="n"/>
      <c r="W16" s="2" t="n"/>
      <c r="X16" s="2" t="n"/>
      <c r="Y16" s="2" t="n"/>
      <c r="Z16" s="2" t="n"/>
    </row>
    <row r="17" ht="62.25" customHeight="1" s="157">
      <c r="A17" s="72" t="n">
        <v>5</v>
      </c>
      <c r="B17" s="37" t="inlineStr">
        <is>
          <t xml:space="preserve">Instalación, montaje y puesta en operación del sistema. </t>
        </is>
      </c>
      <c r="C17" s="37" t="inlineStr">
        <is>
          <t>Solenium S.A.S</t>
        </is>
      </c>
      <c r="D17" s="3" t="inlineStr">
        <is>
          <t>1.Ensayo VLF en terna de Cables de Media Tensión 2.Prueba de Resistencia de aislamiento en acometidas AC y DC. Este servicio hace parte del comisionamiento, permite verificar el correcto aislamiento de los cables a utilizar en el proyecto.</t>
        </is>
      </c>
      <c r="E17" s="70" t="n"/>
      <c r="F17" s="71">
        <f>E17*0.19</f>
        <v/>
      </c>
      <c r="G17" s="5" t="n"/>
      <c r="H17" s="2" t="n"/>
      <c r="I17" s="2" t="n"/>
      <c r="J17" s="2" t="n"/>
      <c r="K17" s="2" t="n"/>
      <c r="L17" s="2" t="n"/>
      <c r="M17" s="2" t="n"/>
      <c r="N17" s="2" t="n"/>
      <c r="O17" s="2" t="n"/>
      <c r="P17" s="2" t="n"/>
      <c r="Q17" s="2" t="n"/>
      <c r="R17" s="2" t="n"/>
      <c r="S17" s="2" t="n"/>
      <c r="T17" s="2" t="n"/>
      <c r="U17" s="2" t="n"/>
      <c r="V17" s="2" t="n"/>
      <c r="W17" s="2" t="n"/>
      <c r="X17" s="2" t="n"/>
      <c r="Y17" s="2" t="n"/>
      <c r="Z17" s="2" t="n"/>
    </row>
    <row r="18" ht="111.75" customHeight="1" s="157">
      <c r="A18" s="73" t="n">
        <v>6</v>
      </c>
      <c r="B18" s="74" t="inlineStr">
        <is>
          <t>Certificación RETIE</t>
        </is>
      </c>
      <c r="C18" s="74" t="inlineStr">
        <is>
          <t>Certeam S.A.S</t>
        </is>
      </c>
      <c r="D18" s="75" t="inlineStr">
        <is>
          <t>Certificación de instalaciones eléctricas de acuerdo con el Reglamento Técnico de Instalaciones Eléctricas – RETIE (resolución 90708 de 2013) PROYECTO: MGS-0040 LA CACICA, ubicado en VEREDA GLOBO LA VEGA, VALLEDUPAR, CÉSAR. Certificación RETIE de las instalaciones eléctricas de sistema solar fotovoltaico, alimentadores en DC y AC, Centro de Transformación, Red MT Subterránea hasta punto de conexión o transición aéreasubterránea (donde aplique). Incluye revisión del sistema de puesta a tierra, apantallamiento, servicios auxiliares asociados a la planta, entre otros equipos.</t>
        </is>
      </c>
      <c r="E18" s="76" t="inlineStr">
        <is>
          <t>$ 5.300.000,00</t>
        </is>
      </c>
      <c r="F18" s="76" t="inlineStr">
        <is>
          <t>$ 1.007.000,00</t>
        </is>
      </c>
      <c r="G18" s="77" t="n"/>
      <c r="H18" s="2" t="n"/>
      <c r="I18" s="2" t="n"/>
      <c r="J18" s="2" t="n"/>
      <c r="K18" s="2" t="n"/>
      <c r="L18" s="2" t="n"/>
      <c r="M18" s="2" t="n"/>
      <c r="N18" s="2" t="n"/>
      <c r="O18" s="2" t="n"/>
      <c r="P18" s="2" t="n"/>
      <c r="Q18" s="2" t="n"/>
      <c r="R18" s="2" t="n"/>
      <c r="S18" s="2" t="n"/>
      <c r="T18" s="2" t="n"/>
      <c r="U18" s="2" t="n"/>
      <c r="V18" s="2" t="n"/>
      <c r="W18" s="2" t="n"/>
      <c r="X18" s="2" t="n"/>
      <c r="Y18" s="2" t="n"/>
      <c r="Z18" s="2" t="n"/>
    </row>
    <row r="19" ht="138.75" customHeight="1" s="157">
      <c r="A19" s="73" t="n">
        <v>7</v>
      </c>
      <c r="B19" s="78" t="inlineStr">
        <is>
          <t>Asesoría y consultoría técnica</t>
        </is>
      </c>
      <c r="C19" s="78" t="inlineStr">
        <is>
          <t>Negawatt</t>
        </is>
      </c>
      <c r="D19" s="75" t="inlineStr">
        <is>
          <t>VERIFICACION Y CERTIFICACION DE LA FRONTERA DE GENERACIÓN MGS 0040-LA CACICA, UBICADA EN VEREDA GLOBO LA VEGA , ARRIBA DE VALLEDUPAR CESAR, CON PROPOSITOS DE CUMPLIR CON LOS REQUISITOS ESTABLECIDOS EN EL CÓDIGO DE MEDIDA PARA ENTRADA COMERCIAL AL SISTEMA Y CUYOS ALCANCES INCLUYE: CUMPLIMIENTO O NO DE LA RESOLUCION CREG 038 DE 2014, MEDIANTE LA CORROBORACION DE LAS CONFORMIDADES EN LOS SISTEMAS DE MEDICION, COMUNICACIONES, TELEMEDICION HACIA LOS CENTROS DE GESTION DE MEDIDAS, SEGURIDAD INFORMATICA Y DE ACCESO. ESTA VERIFICACION SE HARA UTILIZANDO EL PROCEDIMIENTO SEÑALADO EN LA CIRCULAR 098 DEL 13 DE NOVIEMBRE DE 2014.</t>
        </is>
      </c>
      <c r="E19" s="79" t="inlineStr">
        <is>
          <t>$ 4.600.000,00</t>
        </is>
      </c>
      <c r="F19" s="79" t="inlineStr">
        <is>
          <t>$ 87.400.000,00</t>
        </is>
      </c>
      <c r="G19" s="77" t="n"/>
      <c r="H19" s="2" t="n"/>
      <c r="I19" s="2" t="n"/>
      <c r="J19" s="2" t="n"/>
      <c r="K19" s="2" t="n"/>
      <c r="L19" s="2" t="n"/>
      <c r="M19" s="2" t="n"/>
      <c r="N19" s="2" t="n"/>
      <c r="O19" s="2" t="n"/>
      <c r="P19" s="2" t="n"/>
      <c r="Q19" s="2" t="n"/>
      <c r="R19" s="2" t="n"/>
      <c r="S19" s="2" t="n"/>
      <c r="T19" s="2" t="n"/>
      <c r="U19" s="2" t="n"/>
      <c r="V19" s="2" t="n"/>
      <c r="W19" s="2" t="n"/>
      <c r="X19" s="2" t="n"/>
      <c r="Y19" s="2" t="n"/>
      <c r="Z19" s="2" t="n"/>
    </row>
    <row r="20" ht="136.5" customHeight="1" s="157">
      <c r="A20" s="73" t="n">
        <v>8</v>
      </c>
      <c r="B20" s="78" t="inlineStr">
        <is>
          <t>Instalación, montaje y puesta en operación del sistema.</t>
        </is>
      </c>
      <c r="C20" s="78" t="inlineStr">
        <is>
          <t>Transefi S.A.S.</t>
        </is>
      </c>
      <c r="D20" s="75" t="inlineStr">
        <is>
          <t>"Pruebas de Relación de transformación (TTR) y de resistencia de devanados, en la posición del conmutador en que se encuentran, a tres transformadores de las siguientes características: trafo 1.25MVA – 13.8kV/800V, trafo de 1.1kVA – 800V/480V y trafo de SSAA. Estas pruebas permiten asegurar que los transformadores proporcionan la relación de voltaje correcta y funcionen de manera eficiente y segura. Verificar que no se tengan malas condiciones eléctricas que puedan generar una afectación a la red de distribución a la que se van a conectar y asegurarse de que no existen cortos ni errores en las conexiones dentro de los transformadores."</t>
        </is>
      </c>
      <c r="E20" s="79" t="inlineStr">
        <is>
          <t>$ 3.800.000,00</t>
        </is>
      </c>
      <c r="F20" s="79" t="inlineStr">
        <is>
          <t>$ 722.000,00</t>
        </is>
      </c>
      <c r="G20" s="77" t="n"/>
      <c r="H20" s="2" t="n"/>
      <c r="I20" s="2" t="n"/>
      <c r="J20" s="2" t="n"/>
      <c r="K20" s="2" t="n"/>
      <c r="L20" s="2" t="n"/>
      <c r="M20" s="2" t="n"/>
      <c r="N20" s="2" t="n"/>
      <c r="O20" s="2" t="n"/>
      <c r="P20" s="2" t="n"/>
      <c r="Q20" s="2" t="n"/>
      <c r="R20" s="2" t="n"/>
      <c r="S20" s="2" t="n"/>
      <c r="T20" s="2" t="n"/>
      <c r="U20" s="2" t="n"/>
      <c r="V20" s="2" t="n"/>
      <c r="W20" s="2" t="n"/>
      <c r="X20" s="2" t="n"/>
      <c r="Y20" s="2" t="n"/>
      <c r="Z20" s="2" t="n"/>
    </row>
    <row r="21" ht="154.5" customHeight="1" s="157">
      <c r="A21" s="73" t="n">
        <v>9</v>
      </c>
      <c r="B21" s="78" t="inlineStr">
        <is>
          <t>Instalación, montaje y puesta en operación del sistema.</t>
        </is>
      </c>
      <c r="C21" s="78" t="inlineStr">
        <is>
          <t>Quimaldi Instruments S.A.S</t>
        </is>
      </c>
      <c r="D21" s="75" t="inlineStr">
        <is>
          <t>Análisis termográfico con dron (Pilotaje + informe). Mediante la inspección termográfica con drones se pueden detectar fallos o puntos calientes existentes en un panel solar a causa de un exceso de calentamiento en una unión, en la misma celda o en el cableado y de no corregirse, llegará a averiar la celda o el cableado. En el peor de los casos, puede derivar en un cortocircuito y sus posibles complicaciones como un incendio. y Termografías en transformadores, tableros, inversores. Permite evaluar el correcto funcionamiento de los tableros eléctricos y equipos y detectar puntos calientes, lo que indica que se está presentando una falla, que está circulando un exceso de corriente por algún motivo y que debe corregirse para que el proyecto opere adecuadamente y no se presenten averías o cortocircuitos. Estos servicios hacen parte del comisionamiento.</t>
        </is>
      </c>
      <c r="E21" s="79" t="inlineStr">
        <is>
          <t>$ 5.000.000,00</t>
        </is>
      </c>
      <c r="F21" s="79" t="inlineStr">
        <is>
          <t>$ 950.000,00</t>
        </is>
      </c>
      <c r="G21" s="77" t="n"/>
      <c r="H21" s="2" t="n"/>
      <c r="I21" s="2" t="n"/>
      <c r="J21" s="2" t="n"/>
      <c r="K21" s="2" t="n"/>
      <c r="L21" s="2" t="n"/>
      <c r="M21" s="2" t="n"/>
      <c r="N21" s="2" t="n"/>
      <c r="O21" s="2" t="n"/>
      <c r="P21" s="2" t="n"/>
      <c r="Q21" s="2" t="n"/>
      <c r="R21" s="2" t="n"/>
      <c r="S21" s="2" t="n"/>
      <c r="T21" s="2" t="n"/>
      <c r="U21" s="2" t="n"/>
      <c r="V21" s="2" t="n"/>
      <c r="W21" s="2" t="n"/>
      <c r="X21" s="2" t="n"/>
      <c r="Y21" s="2" t="n"/>
      <c r="Z21" s="2" t="n"/>
    </row>
    <row r="22" ht="69.75" customHeight="1" s="157">
      <c r="A22" s="73" t="n">
        <v>11</v>
      </c>
      <c r="B22" s="78" t="inlineStr">
        <is>
          <t>Construcción de obras civiles y estructurales para el montaje del sistema.</t>
        </is>
      </c>
      <c r="C22" s="78" t="inlineStr">
        <is>
          <t>Solenium S.A.S.</t>
        </is>
      </c>
      <c r="D22" s="75" t="inlineStr">
        <is>
          <t>El servicio de hincado corresponde a la instalación de las bases del seguidor solar o tracker sobre el cual se soportarán los paneles solares y se moverán para seguir la trayectoria del sol. Estas bases o hincas serán instaladas con hincadora hidráulica de 1200 J, mediante la presión controlada y la inserción progresiva en el suelo.</t>
        </is>
      </c>
      <c r="E22" s="79" t="inlineStr">
        <is>
          <t>$ 234.300.000,00</t>
        </is>
      </c>
      <c r="F22" s="79" t="inlineStr">
        <is>
          <t>$ 44.517.000,00</t>
        </is>
      </c>
      <c r="G22" s="77" t="n"/>
      <c r="H22" s="2" t="n"/>
      <c r="I22" s="2" t="n"/>
      <c r="J22" s="2" t="n"/>
      <c r="K22" s="2" t="n"/>
      <c r="L22" s="2" t="n"/>
      <c r="M22" s="2" t="n"/>
      <c r="N22" s="2" t="n"/>
      <c r="O22" s="2" t="n"/>
      <c r="P22" s="2" t="n"/>
      <c r="Q22" s="2" t="n"/>
      <c r="R22" s="2" t="n"/>
      <c r="S22" s="2" t="n"/>
      <c r="T22" s="2" t="n"/>
      <c r="U22" s="2" t="n"/>
      <c r="V22" s="2" t="n"/>
      <c r="W22" s="2" t="n"/>
      <c r="X22" s="2" t="n"/>
      <c r="Y22" s="2" t="n"/>
      <c r="Z22" s="2" t="n"/>
    </row>
    <row r="23" ht="48" customHeight="1" s="157">
      <c r="A23" s="73" t="n">
        <v>13</v>
      </c>
      <c r="B23" s="78" t="inlineStr">
        <is>
          <t>Instalación, montaje y puesta en operación del sistema.</t>
        </is>
      </c>
      <c r="C23" s="78" t="inlineStr">
        <is>
          <t>ELECTRO MONTES JY S.A.S</t>
        </is>
      </c>
      <c r="D23" s="75" t="inlineStr">
        <is>
          <t>INSTALACIÓN, MONTAJE Y PUESTA EN OPERACIÓN DEL SISTEMA, INCLUYE: Instalación, montaje y puesta en operación de un sistema fotovoltaico de 1320.8 kWp en DC y 990 kW en AC, en el municipio de Valledupar, Cesar.</t>
        </is>
      </c>
      <c r="E23" s="79" t="inlineStr">
        <is>
          <t>$ 195.003.000,00</t>
        </is>
      </c>
      <c r="F23" s="79" t="inlineStr">
        <is>
          <t>$ 37.050.570,00</t>
        </is>
      </c>
      <c r="G23" s="77" t="n"/>
      <c r="H23" s="2" t="n"/>
      <c r="I23" s="2" t="n"/>
      <c r="J23" s="2" t="n"/>
      <c r="K23" s="2" t="n"/>
      <c r="L23" s="2" t="n"/>
      <c r="M23" s="2" t="n"/>
      <c r="N23" s="2" t="n"/>
      <c r="O23" s="2" t="n"/>
      <c r="P23" s="2" t="n"/>
      <c r="Q23" s="2" t="n"/>
      <c r="R23" s="2" t="n"/>
      <c r="S23" s="2" t="n"/>
      <c r="T23" s="2" t="n"/>
      <c r="U23" s="2" t="n"/>
      <c r="V23" s="2" t="n"/>
      <c r="W23" s="2" t="n"/>
      <c r="X23" s="2" t="n"/>
      <c r="Y23" s="2" t="n"/>
      <c r="Z23" s="2" t="n"/>
    </row>
    <row r="24" ht="14.25" customHeight="1" s="157">
      <c r="A24" s="80" t="n">
        <v>14</v>
      </c>
      <c r="B24" s="109" t="n"/>
      <c r="C24" s="109" t="n"/>
      <c r="D24" s="109" t="n"/>
      <c r="E24" s="81" t="n"/>
      <c r="F24" s="82" t="n"/>
      <c r="G24" s="2" t="n"/>
      <c r="H24" s="2" t="n"/>
      <c r="I24" s="2" t="n"/>
      <c r="J24" s="2" t="n"/>
      <c r="K24" s="2" t="n"/>
      <c r="L24" s="2" t="n"/>
      <c r="M24" s="2" t="n"/>
      <c r="N24" s="2" t="n"/>
      <c r="O24" s="2" t="n"/>
      <c r="P24" s="2" t="n"/>
      <c r="Q24" s="2" t="n"/>
      <c r="R24" s="2" t="n"/>
      <c r="S24" s="2" t="n"/>
      <c r="T24" s="2" t="n"/>
      <c r="U24" s="2" t="n"/>
      <c r="V24" s="2" t="n"/>
      <c r="W24" s="2" t="n"/>
      <c r="X24" s="2" t="n"/>
      <c r="Y24" s="2" t="n"/>
      <c r="Z24" s="2" t="n"/>
    </row>
    <row r="25" ht="14.25" customHeight="1" s="157">
      <c r="A25" s="54" t="n">
        <v>15</v>
      </c>
      <c r="B25" s="28" t="n"/>
      <c r="C25" s="28" t="n"/>
      <c r="D25" s="28" t="n"/>
      <c r="E25" s="83" t="n"/>
      <c r="F25" s="82" t="n"/>
      <c r="G25" s="2" t="n"/>
      <c r="H25" s="2" t="n"/>
      <c r="I25" s="2" t="n"/>
      <c r="J25" s="2" t="n"/>
      <c r="K25" s="2" t="n"/>
      <c r="L25" s="2" t="n"/>
      <c r="M25" s="2" t="n"/>
      <c r="N25" s="2" t="n"/>
      <c r="O25" s="2" t="n"/>
      <c r="P25" s="2" t="n"/>
      <c r="Q25" s="2" t="n"/>
      <c r="R25" s="2" t="n"/>
      <c r="S25" s="2" t="n"/>
      <c r="T25" s="2" t="n"/>
      <c r="U25" s="2" t="n"/>
      <c r="V25" s="2" t="n"/>
      <c r="W25" s="2" t="n"/>
      <c r="X25" s="2" t="n"/>
      <c r="Y25" s="2" t="n"/>
      <c r="Z25" s="2" t="n"/>
    </row>
    <row r="26" ht="14.25" customHeight="1" s="157">
      <c r="A26" s="84" t="n">
        <v>16</v>
      </c>
      <c r="B26" s="85" t="n"/>
      <c r="C26" s="85" t="n"/>
      <c r="D26" s="85" t="n"/>
      <c r="E26" s="86" t="n"/>
      <c r="F26" s="87" t="n"/>
      <c r="G26" s="2" t="n"/>
      <c r="H26" s="2" t="n"/>
      <c r="I26" s="2" t="n"/>
      <c r="J26" s="2" t="n"/>
      <c r="K26" s="2" t="n"/>
      <c r="L26" s="2" t="n"/>
      <c r="M26" s="2" t="n"/>
      <c r="N26" s="2" t="n"/>
      <c r="O26" s="2" t="n"/>
      <c r="P26" s="2" t="n"/>
      <c r="Q26" s="2" t="n"/>
      <c r="R26" s="2" t="n"/>
      <c r="S26" s="2" t="n"/>
      <c r="T26" s="2" t="n"/>
      <c r="U26" s="2" t="n"/>
      <c r="V26" s="2" t="n"/>
      <c r="W26" s="2" t="n"/>
      <c r="X26" s="2" t="n"/>
      <c r="Y26" s="2" t="n"/>
      <c r="Z26" s="2" t="n"/>
    </row>
    <row r="27" ht="14.25" customHeight="1" s="157">
      <c r="A27" s="73" t="n">
        <v>17</v>
      </c>
      <c r="B27" s="28" t="n"/>
      <c r="C27" s="28" t="n"/>
      <c r="D27" s="28" t="n"/>
      <c r="E27" s="83" t="n"/>
      <c r="F27" s="88" t="n"/>
      <c r="G27" s="2" t="n"/>
      <c r="H27" s="2" t="n"/>
      <c r="I27" s="2" t="n"/>
      <c r="J27" s="2" t="n"/>
      <c r="K27" s="2" t="n"/>
      <c r="L27" s="2" t="n"/>
      <c r="M27" s="2" t="n"/>
      <c r="N27" s="2" t="n"/>
      <c r="O27" s="2" t="n"/>
      <c r="P27" s="2" t="n"/>
      <c r="Q27" s="2" t="n"/>
      <c r="R27" s="2" t="n"/>
      <c r="S27" s="2" t="n"/>
      <c r="T27" s="2" t="n"/>
      <c r="U27" s="2" t="n"/>
      <c r="V27" s="2" t="n"/>
      <c r="W27" s="2" t="n"/>
      <c r="X27" s="2" t="n"/>
      <c r="Y27" s="2" t="n"/>
      <c r="Z27" s="2" t="n"/>
    </row>
    <row r="28" ht="14.25" customHeight="1" s="157">
      <c r="A28" s="73" t="n">
        <v>18</v>
      </c>
      <c r="B28" s="49" t="n"/>
      <c r="C28" s="49" t="n"/>
      <c r="D28" s="28" t="n"/>
      <c r="E28" s="83" t="n"/>
      <c r="F28" s="88" t="n"/>
      <c r="G28" s="2" t="n"/>
      <c r="H28" s="2" t="n"/>
      <c r="I28" s="2" t="n"/>
      <c r="J28" s="2" t="n"/>
      <c r="K28" s="2" t="n"/>
      <c r="L28" s="2" t="n"/>
      <c r="M28" s="2" t="n"/>
      <c r="N28" s="2" t="n"/>
      <c r="O28" s="2" t="n"/>
      <c r="P28" s="2" t="n"/>
      <c r="Q28" s="2" t="n"/>
      <c r="R28" s="2" t="n"/>
      <c r="S28" s="2" t="n"/>
      <c r="T28" s="2" t="n"/>
      <c r="U28" s="2" t="n"/>
      <c r="V28" s="2" t="n"/>
      <c r="W28" s="2" t="n"/>
      <c r="X28" s="2" t="n"/>
      <c r="Y28" s="2" t="n"/>
      <c r="Z28" s="2" t="n"/>
    </row>
    <row r="29" ht="14.25" customHeight="1" s="157">
      <c r="A29" s="73" t="n">
        <v>19</v>
      </c>
      <c r="B29" s="28" t="n"/>
      <c r="C29" s="28" t="n"/>
      <c r="D29" s="28" t="n"/>
      <c r="E29" s="83" t="n"/>
      <c r="F29" s="88" t="n"/>
      <c r="G29" s="2" t="n"/>
      <c r="H29" s="2" t="n"/>
      <c r="I29" s="2" t="n"/>
      <c r="J29" s="2" t="n"/>
      <c r="K29" s="2" t="n"/>
      <c r="L29" s="2" t="n"/>
      <c r="M29" s="2" t="n"/>
      <c r="N29" s="2" t="n"/>
      <c r="O29" s="2" t="n"/>
      <c r="P29" s="2" t="n"/>
      <c r="Q29" s="2" t="n"/>
      <c r="R29" s="2" t="n"/>
      <c r="S29" s="2" t="n"/>
      <c r="T29" s="2" t="n"/>
      <c r="U29" s="2" t="n"/>
      <c r="V29" s="2" t="n"/>
      <c r="W29" s="2" t="n"/>
      <c r="X29" s="2" t="n"/>
      <c r="Y29" s="2" t="n"/>
      <c r="Z29" s="2" t="n"/>
    </row>
    <row r="30" ht="14.25" customHeight="1" s="157">
      <c r="A30" s="73" t="n">
        <v>20</v>
      </c>
      <c r="B30" s="28" t="n"/>
      <c r="C30" s="28" t="n"/>
      <c r="D30" s="28" t="n"/>
      <c r="E30" s="83" t="n"/>
      <c r="F30" s="88" t="n"/>
      <c r="G30" s="2" t="n"/>
      <c r="H30" s="2" t="n"/>
      <c r="I30" s="2" t="n"/>
      <c r="J30" s="2" t="n"/>
      <c r="K30" s="2" t="n"/>
      <c r="L30" s="2" t="n"/>
      <c r="M30" s="2" t="n"/>
      <c r="N30" s="2" t="n"/>
      <c r="O30" s="2" t="n"/>
      <c r="P30" s="2" t="n"/>
      <c r="Q30" s="2" t="n"/>
      <c r="R30" s="2" t="n"/>
      <c r="S30" s="2" t="n"/>
      <c r="T30" s="2" t="n"/>
      <c r="U30" s="2" t="n"/>
      <c r="V30" s="2" t="n"/>
      <c r="W30" s="2" t="n"/>
      <c r="X30" s="2" t="n"/>
      <c r="Y30" s="2" t="n"/>
      <c r="Z30" s="2" t="n"/>
    </row>
    <row r="31" ht="14.25" customHeight="1" s="157">
      <c r="A31" s="73" t="n">
        <v>21</v>
      </c>
      <c r="B31" s="28" t="n"/>
      <c r="C31" s="28" t="n"/>
      <c r="D31" s="28" t="n"/>
      <c r="E31" s="83" t="n"/>
      <c r="F31" s="88" t="n"/>
      <c r="G31" s="2" t="n"/>
      <c r="H31" s="2" t="n"/>
      <c r="I31" s="2" t="n"/>
      <c r="J31" s="2" t="n"/>
      <c r="K31" s="2" t="n"/>
      <c r="L31" s="2" t="n"/>
      <c r="M31" s="2" t="n"/>
      <c r="N31" s="2" t="n"/>
      <c r="O31" s="2" t="n"/>
      <c r="P31" s="2" t="n"/>
      <c r="Q31" s="2" t="n"/>
      <c r="R31" s="2" t="n"/>
      <c r="S31" s="2" t="n"/>
      <c r="T31" s="2" t="n"/>
      <c r="U31" s="2" t="n"/>
      <c r="V31" s="2" t="n"/>
      <c r="W31" s="2" t="n"/>
      <c r="X31" s="2" t="n"/>
      <c r="Y31" s="2" t="n"/>
      <c r="Z31" s="2" t="n"/>
    </row>
    <row r="32" ht="14.25" customHeight="1" s="157">
      <c r="A32" s="73" t="n">
        <v>22</v>
      </c>
      <c r="B32" s="28" t="n"/>
      <c r="C32" s="28" t="n"/>
      <c r="D32" s="28" t="n"/>
      <c r="E32" s="83" t="n"/>
      <c r="F32" s="88" t="n"/>
      <c r="G32" s="2" t="n"/>
      <c r="H32" s="2" t="n"/>
      <c r="I32" s="2" t="n"/>
      <c r="J32" s="2" t="n"/>
      <c r="K32" s="2" t="n"/>
      <c r="L32" s="2" t="n"/>
      <c r="M32" s="2" t="n"/>
      <c r="N32" s="2" t="n"/>
      <c r="O32" s="2" t="n"/>
      <c r="P32" s="2" t="n"/>
      <c r="Q32" s="2" t="n"/>
      <c r="R32" s="2" t="n"/>
      <c r="S32" s="2" t="n"/>
      <c r="T32" s="2" t="n"/>
      <c r="U32" s="2" t="n"/>
      <c r="V32" s="2" t="n"/>
      <c r="W32" s="2" t="n"/>
      <c r="X32" s="2" t="n"/>
      <c r="Y32" s="2" t="n"/>
      <c r="Z32" s="2" t="n"/>
    </row>
    <row r="33" ht="14.25" customHeight="1" s="157">
      <c r="A33" s="73" t="n">
        <v>23</v>
      </c>
      <c r="B33" s="28" t="n"/>
      <c r="C33" s="28" t="n"/>
      <c r="D33" s="28" t="n"/>
      <c r="E33" s="83" t="n"/>
      <c r="F33" s="88" t="n"/>
      <c r="G33" s="2" t="n"/>
      <c r="H33" s="2" t="n"/>
      <c r="I33" s="2" t="n"/>
      <c r="J33" s="2" t="n"/>
      <c r="K33" s="2" t="n"/>
      <c r="L33" s="2" t="n"/>
      <c r="M33" s="2" t="n"/>
      <c r="N33" s="2" t="n"/>
      <c r="O33" s="2" t="n"/>
      <c r="P33" s="2" t="n"/>
      <c r="Q33" s="2" t="n"/>
      <c r="R33" s="2" t="n"/>
      <c r="S33" s="2" t="n"/>
      <c r="T33" s="2" t="n"/>
      <c r="U33" s="2" t="n"/>
      <c r="V33" s="2" t="n"/>
      <c r="W33" s="2" t="n"/>
      <c r="X33" s="2" t="n"/>
      <c r="Y33" s="2" t="n"/>
      <c r="Z33" s="2" t="n"/>
    </row>
    <row r="34" ht="14.25" customHeight="1" s="157">
      <c r="A34" s="73" t="n">
        <v>24</v>
      </c>
      <c r="B34" s="28" t="n"/>
      <c r="C34" s="28" t="n"/>
      <c r="D34" s="28" t="n"/>
      <c r="E34" s="83" t="n"/>
      <c r="F34" s="88" t="n"/>
      <c r="G34" s="2" t="n"/>
      <c r="H34" s="2" t="n"/>
      <c r="I34" s="2" t="n"/>
      <c r="J34" s="2" t="n"/>
      <c r="K34" s="2" t="n"/>
      <c r="L34" s="2" t="n"/>
      <c r="M34" s="2" t="n"/>
      <c r="N34" s="2" t="n"/>
      <c r="O34" s="2" t="n"/>
      <c r="P34" s="2" t="n"/>
      <c r="Q34" s="2" t="n"/>
      <c r="R34" s="2" t="n"/>
      <c r="S34" s="2" t="n"/>
      <c r="T34" s="2" t="n"/>
      <c r="U34" s="2" t="n"/>
      <c r="V34" s="2" t="n"/>
      <c r="W34" s="2" t="n"/>
      <c r="X34" s="2" t="n"/>
      <c r="Y34" s="2" t="n"/>
      <c r="Z34" s="2" t="n"/>
    </row>
    <row r="35" ht="14.25" customHeight="1" s="157">
      <c r="A35" s="73" t="n">
        <v>25</v>
      </c>
      <c r="B35" s="28" t="n"/>
      <c r="C35" s="28" t="n"/>
      <c r="D35" s="28" t="n"/>
      <c r="E35" s="83" t="n"/>
      <c r="F35" s="88" t="n"/>
      <c r="G35" s="2" t="n"/>
      <c r="H35" s="2" t="n"/>
      <c r="I35" s="2" t="n"/>
      <c r="J35" s="2" t="n"/>
      <c r="K35" s="2" t="n"/>
      <c r="L35" s="2" t="n"/>
      <c r="M35" s="2" t="n"/>
      <c r="N35" s="2" t="n"/>
      <c r="O35" s="2" t="n"/>
      <c r="P35" s="2" t="n"/>
      <c r="Q35" s="2" t="n"/>
      <c r="R35" s="2" t="n"/>
      <c r="S35" s="2" t="n"/>
      <c r="T35" s="2" t="n"/>
      <c r="U35" s="2" t="n"/>
      <c r="V35" s="2" t="n"/>
      <c r="W35" s="2" t="n"/>
      <c r="X35" s="2" t="n"/>
      <c r="Y35" s="2" t="n"/>
      <c r="Z35" s="2" t="n"/>
    </row>
    <row r="36" ht="14.25" customHeight="1" s="157">
      <c r="A36" s="73" t="n">
        <v>26</v>
      </c>
      <c r="B36" s="28" t="n"/>
      <c r="C36" s="28" t="n"/>
      <c r="D36" s="28" t="n"/>
      <c r="E36" s="83" t="n"/>
      <c r="F36" s="88" t="n"/>
      <c r="G36" s="2" t="n"/>
      <c r="H36" s="2" t="n"/>
      <c r="I36" s="2" t="n"/>
      <c r="J36" s="2" t="n"/>
      <c r="K36" s="2" t="n"/>
      <c r="L36" s="2" t="n"/>
      <c r="M36" s="2" t="n"/>
      <c r="N36" s="2" t="n"/>
      <c r="O36" s="2" t="n"/>
      <c r="P36" s="2" t="n"/>
      <c r="Q36" s="2" t="n"/>
      <c r="R36" s="2" t="n"/>
      <c r="S36" s="2" t="n"/>
      <c r="T36" s="2" t="n"/>
      <c r="U36" s="2" t="n"/>
      <c r="V36" s="2" t="n"/>
      <c r="W36" s="2" t="n"/>
      <c r="X36" s="2" t="n"/>
      <c r="Y36" s="2" t="n"/>
      <c r="Z36" s="2" t="n"/>
    </row>
    <row r="37" ht="14.25" customHeight="1" s="157">
      <c r="A37" s="73" t="n">
        <v>27</v>
      </c>
      <c r="B37" s="28" t="n"/>
      <c r="C37" s="28" t="n"/>
      <c r="D37" s="28" t="n"/>
      <c r="E37" s="83" t="n"/>
      <c r="F37" s="88" t="n"/>
      <c r="G37" s="2" t="n"/>
      <c r="H37" s="2" t="n"/>
      <c r="I37" s="2" t="n"/>
      <c r="J37" s="2" t="n"/>
      <c r="K37" s="2" t="n"/>
      <c r="L37" s="2" t="n"/>
      <c r="M37" s="2" t="n"/>
      <c r="N37" s="2" t="n"/>
      <c r="O37" s="2" t="n"/>
      <c r="P37" s="2" t="n"/>
      <c r="Q37" s="2" t="n"/>
      <c r="R37" s="2" t="n"/>
      <c r="S37" s="2" t="n"/>
      <c r="T37" s="2" t="n"/>
      <c r="U37" s="2" t="n"/>
      <c r="V37" s="2" t="n"/>
      <c r="W37" s="2" t="n"/>
      <c r="X37" s="2" t="n"/>
      <c r="Y37" s="2" t="n"/>
      <c r="Z37" s="2" t="n"/>
    </row>
    <row r="38" ht="14.25" customHeight="1" s="157">
      <c r="A38" s="73" t="n">
        <v>28</v>
      </c>
      <c r="B38" s="28" t="n"/>
      <c r="C38" s="28" t="n"/>
      <c r="D38" s="28" t="n"/>
      <c r="E38" s="83" t="n"/>
      <c r="F38" s="88" t="n"/>
      <c r="G38" s="2" t="n"/>
      <c r="H38" s="2" t="n"/>
      <c r="I38" s="2" t="n"/>
      <c r="J38" s="2" t="n"/>
      <c r="K38" s="2" t="n"/>
      <c r="L38" s="2" t="n"/>
      <c r="M38" s="2" t="n"/>
      <c r="N38" s="2" t="n"/>
      <c r="O38" s="2" t="n"/>
      <c r="P38" s="2" t="n"/>
      <c r="Q38" s="2" t="n"/>
      <c r="R38" s="2" t="n"/>
      <c r="S38" s="2" t="n"/>
      <c r="T38" s="2" t="n"/>
      <c r="U38" s="2" t="n"/>
      <c r="V38" s="2" t="n"/>
      <c r="W38" s="2" t="n"/>
      <c r="X38" s="2" t="n"/>
      <c r="Y38" s="2" t="n"/>
      <c r="Z38" s="2" t="n"/>
    </row>
    <row r="39" ht="14.25" customHeight="1" s="157">
      <c r="A39" s="73" t="n">
        <v>29</v>
      </c>
      <c r="B39" s="49" t="n"/>
      <c r="C39" s="49" t="n"/>
      <c r="D39" s="28" t="n"/>
      <c r="E39" s="83" t="n"/>
      <c r="F39" s="88" t="n"/>
      <c r="G39" s="2" t="n"/>
      <c r="H39" s="2" t="n"/>
      <c r="I39" s="2" t="n"/>
      <c r="J39" s="2" t="n"/>
      <c r="K39" s="2" t="n"/>
      <c r="L39" s="2" t="n"/>
      <c r="M39" s="2" t="n"/>
      <c r="N39" s="2" t="n"/>
      <c r="O39" s="2" t="n"/>
      <c r="P39" s="2" t="n"/>
      <c r="Q39" s="2" t="n"/>
      <c r="R39" s="2" t="n"/>
      <c r="S39" s="2" t="n"/>
      <c r="T39" s="2" t="n"/>
      <c r="U39" s="2" t="n"/>
      <c r="V39" s="2" t="n"/>
      <c r="W39" s="2" t="n"/>
      <c r="X39" s="2" t="n"/>
      <c r="Y39" s="2" t="n"/>
      <c r="Z39" s="2" t="n"/>
    </row>
    <row r="40" ht="14.25" customHeight="1" s="157">
      <c r="A40" s="73" t="n">
        <v>30</v>
      </c>
      <c r="B40" s="28" t="n"/>
      <c r="C40" s="28" t="n"/>
      <c r="D40" s="28" t="n"/>
      <c r="E40" s="83" t="n"/>
      <c r="F40" s="88" t="n"/>
      <c r="G40" s="2" t="n"/>
      <c r="H40" s="2" t="n"/>
      <c r="I40" s="2" t="n"/>
      <c r="J40" s="2" t="n"/>
      <c r="K40" s="2" t="n"/>
      <c r="L40" s="2" t="n"/>
      <c r="M40" s="2" t="n"/>
      <c r="N40" s="2" t="n"/>
      <c r="O40" s="2" t="n"/>
      <c r="P40" s="2" t="n"/>
      <c r="Q40" s="2" t="n"/>
      <c r="R40" s="2" t="n"/>
      <c r="S40" s="2" t="n"/>
      <c r="T40" s="2" t="n"/>
      <c r="U40" s="2" t="n"/>
      <c r="V40" s="2" t="n"/>
      <c r="W40" s="2" t="n"/>
      <c r="X40" s="2" t="n"/>
      <c r="Y40" s="2" t="n"/>
      <c r="Z40" s="2" t="n"/>
    </row>
    <row r="41" ht="14.25" customHeight="1" s="157">
      <c r="A41" s="73" t="n">
        <v>31</v>
      </c>
      <c r="B41" s="28" t="n"/>
      <c r="C41" s="28" t="n"/>
      <c r="D41" s="28" t="n"/>
      <c r="E41" s="83" t="n"/>
      <c r="F41" s="88" t="n"/>
      <c r="G41" s="2" t="n"/>
      <c r="H41" s="2" t="n"/>
      <c r="I41" s="2" t="n"/>
      <c r="J41" s="2" t="n"/>
      <c r="K41" s="2" t="n"/>
      <c r="L41" s="2" t="n"/>
      <c r="M41" s="2" t="n"/>
      <c r="N41" s="2" t="n"/>
      <c r="O41" s="2" t="n"/>
      <c r="P41" s="2" t="n"/>
      <c r="Q41" s="2" t="n"/>
      <c r="R41" s="2" t="n"/>
      <c r="S41" s="2" t="n"/>
      <c r="T41" s="2" t="n"/>
      <c r="U41" s="2" t="n"/>
      <c r="V41" s="2" t="n"/>
      <c r="W41" s="2" t="n"/>
      <c r="X41" s="2" t="n"/>
      <c r="Y41" s="2" t="n"/>
      <c r="Z41" s="2" t="n"/>
    </row>
    <row r="42" ht="14.25" customHeight="1" s="157">
      <c r="A42" s="73" t="n">
        <v>32</v>
      </c>
      <c r="B42" s="28" t="n"/>
      <c r="C42" s="28" t="n"/>
      <c r="D42" s="28" t="n"/>
      <c r="E42" s="83" t="n"/>
      <c r="F42" s="88" t="n"/>
      <c r="G42" s="2" t="n"/>
      <c r="H42" s="2" t="n"/>
      <c r="I42" s="2" t="n"/>
      <c r="J42" s="2" t="n"/>
      <c r="K42" s="2" t="n"/>
      <c r="L42" s="2" t="n"/>
      <c r="M42" s="2" t="n"/>
      <c r="N42" s="2" t="n"/>
      <c r="O42" s="2" t="n"/>
      <c r="P42" s="2" t="n"/>
      <c r="Q42" s="2" t="n"/>
      <c r="R42" s="2" t="n"/>
      <c r="S42" s="2" t="n"/>
      <c r="T42" s="2" t="n"/>
      <c r="U42" s="2" t="n"/>
      <c r="V42" s="2" t="n"/>
      <c r="W42" s="2" t="n"/>
      <c r="X42" s="2" t="n"/>
      <c r="Y42" s="2" t="n"/>
      <c r="Z42" s="2" t="n"/>
    </row>
    <row r="43" ht="14.25" customHeight="1" s="157">
      <c r="A43" s="73" t="n">
        <v>33</v>
      </c>
      <c r="B43" s="28" t="n"/>
      <c r="C43" s="28" t="n"/>
      <c r="D43" s="28" t="n"/>
      <c r="E43" s="83" t="n"/>
      <c r="F43" s="88" t="n"/>
      <c r="G43" s="2" t="n"/>
      <c r="H43" s="2" t="n"/>
      <c r="I43" s="2" t="n"/>
      <c r="J43" s="2" t="n"/>
      <c r="K43" s="2" t="n"/>
      <c r="L43" s="2" t="n"/>
      <c r="M43" s="2" t="n"/>
      <c r="N43" s="2" t="n"/>
      <c r="O43" s="2" t="n"/>
      <c r="P43" s="2" t="n"/>
      <c r="Q43" s="2" t="n"/>
      <c r="R43" s="2" t="n"/>
      <c r="S43" s="2" t="n"/>
      <c r="T43" s="2" t="n"/>
      <c r="U43" s="2" t="n"/>
      <c r="V43" s="2" t="n"/>
      <c r="W43" s="2" t="n"/>
      <c r="X43" s="2" t="n"/>
      <c r="Y43" s="2" t="n"/>
      <c r="Z43" s="2" t="n"/>
    </row>
    <row r="44" ht="14.25" customHeight="1" s="157">
      <c r="A44" s="73" t="n">
        <v>34</v>
      </c>
      <c r="B44" s="28" t="n"/>
      <c r="C44" s="28" t="n"/>
      <c r="D44" s="28" t="n"/>
      <c r="E44" s="83" t="n"/>
      <c r="F44" s="88" t="n"/>
      <c r="G44" s="2" t="n"/>
      <c r="H44" s="2" t="n"/>
      <c r="I44" s="2" t="n"/>
      <c r="J44" s="2" t="n"/>
      <c r="K44" s="2" t="n"/>
      <c r="L44" s="2" t="n"/>
      <c r="M44" s="2" t="n"/>
      <c r="N44" s="2" t="n"/>
      <c r="O44" s="2" t="n"/>
      <c r="P44" s="2" t="n"/>
      <c r="Q44" s="2" t="n"/>
      <c r="R44" s="2" t="n"/>
      <c r="S44" s="2" t="n"/>
      <c r="T44" s="2" t="n"/>
      <c r="U44" s="2" t="n"/>
      <c r="V44" s="2" t="n"/>
      <c r="W44" s="2" t="n"/>
      <c r="X44" s="2" t="n"/>
      <c r="Y44" s="2" t="n"/>
      <c r="Z44" s="2" t="n"/>
    </row>
    <row r="45" ht="14.25" customHeight="1" s="157">
      <c r="A45" s="73" t="n">
        <v>35</v>
      </c>
      <c r="B45" s="28" t="n"/>
      <c r="C45" s="28" t="n"/>
      <c r="D45" s="28" t="n"/>
      <c r="E45" s="83" t="n"/>
      <c r="F45" s="88" t="n"/>
      <c r="G45" s="2" t="n"/>
      <c r="H45" s="2" t="n"/>
      <c r="I45" s="2" t="n"/>
      <c r="J45" s="2" t="n"/>
      <c r="K45" s="2" t="n"/>
      <c r="L45" s="2" t="n"/>
      <c r="M45" s="2" t="n"/>
      <c r="N45" s="2" t="n"/>
      <c r="O45" s="2" t="n"/>
      <c r="P45" s="2" t="n"/>
      <c r="Q45" s="2" t="n"/>
      <c r="R45" s="2" t="n"/>
      <c r="S45" s="2" t="n"/>
      <c r="T45" s="2" t="n"/>
      <c r="U45" s="2" t="n"/>
      <c r="V45" s="2" t="n"/>
      <c r="W45" s="2" t="n"/>
      <c r="X45" s="2" t="n"/>
      <c r="Y45" s="2" t="n"/>
      <c r="Z45" s="2" t="n"/>
    </row>
    <row r="46" ht="14.25" customHeight="1" s="157">
      <c r="A46" s="73" t="n">
        <v>36</v>
      </c>
      <c r="B46" s="28" t="n"/>
      <c r="C46" s="28" t="n"/>
      <c r="D46" s="28" t="n"/>
      <c r="E46" s="83" t="n"/>
      <c r="F46" s="88" t="n"/>
      <c r="G46" s="2" t="n"/>
      <c r="H46" s="2" t="n"/>
      <c r="I46" s="2" t="n"/>
      <c r="J46" s="2" t="n"/>
      <c r="K46" s="2" t="n"/>
      <c r="L46" s="2" t="n"/>
      <c r="M46" s="2" t="n"/>
      <c r="N46" s="2" t="n"/>
      <c r="O46" s="2" t="n"/>
      <c r="P46" s="2" t="n"/>
      <c r="Q46" s="2" t="n"/>
      <c r="R46" s="2" t="n"/>
      <c r="S46" s="2" t="n"/>
      <c r="T46" s="2" t="n"/>
      <c r="U46" s="2" t="n"/>
      <c r="V46" s="2" t="n"/>
      <c r="W46" s="2" t="n"/>
      <c r="X46" s="2" t="n"/>
      <c r="Y46" s="2" t="n"/>
      <c r="Z46" s="2" t="n"/>
    </row>
    <row r="47" ht="14.25" customHeight="1" s="157">
      <c r="A47" s="73" t="n">
        <v>37</v>
      </c>
      <c r="B47" s="28" t="n"/>
      <c r="C47" s="28" t="n"/>
      <c r="D47" s="28" t="n"/>
      <c r="E47" s="83" t="n"/>
      <c r="F47" s="88" t="n"/>
      <c r="G47" s="2" t="n"/>
      <c r="H47" s="2" t="n"/>
      <c r="I47" s="2" t="n"/>
      <c r="J47" s="2" t="n"/>
      <c r="K47" s="2" t="n"/>
      <c r="L47" s="2" t="n"/>
      <c r="M47" s="2" t="n"/>
      <c r="N47" s="2" t="n"/>
      <c r="O47" s="2" t="n"/>
      <c r="P47" s="2" t="n"/>
      <c r="Q47" s="2" t="n"/>
      <c r="R47" s="2" t="n"/>
      <c r="S47" s="2" t="n"/>
      <c r="T47" s="2" t="n"/>
      <c r="U47" s="2" t="n"/>
      <c r="V47" s="2" t="n"/>
      <c r="W47" s="2" t="n"/>
      <c r="X47" s="2" t="n"/>
      <c r="Y47" s="2" t="n"/>
      <c r="Z47" s="2" t="n"/>
    </row>
    <row r="48" ht="14.25" customHeight="1" s="157">
      <c r="A48" s="73" t="n">
        <v>38</v>
      </c>
      <c r="B48" s="49" t="n"/>
      <c r="C48" s="49" t="n"/>
      <c r="D48" s="28" t="n"/>
      <c r="E48" s="83" t="n"/>
      <c r="F48" s="88" t="n"/>
      <c r="G48" s="2" t="n"/>
      <c r="H48" s="2" t="n"/>
      <c r="I48" s="2" t="n"/>
      <c r="J48" s="2" t="n"/>
      <c r="K48" s="2" t="n"/>
      <c r="L48" s="2" t="n"/>
      <c r="M48" s="2" t="n"/>
      <c r="N48" s="2" t="n"/>
      <c r="O48" s="2" t="n"/>
      <c r="P48" s="2" t="n"/>
      <c r="Q48" s="2" t="n"/>
      <c r="R48" s="2" t="n"/>
      <c r="S48" s="2" t="n"/>
      <c r="T48" s="2" t="n"/>
      <c r="U48" s="2" t="n"/>
      <c r="V48" s="2" t="n"/>
      <c r="W48" s="2" t="n"/>
      <c r="X48" s="2" t="n"/>
      <c r="Y48" s="2" t="n"/>
      <c r="Z48" s="2" t="n"/>
    </row>
    <row r="49" ht="14.25" customHeight="1" s="157">
      <c r="A49" s="73" t="n">
        <v>39</v>
      </c>
      <c r="B49" s="28" t="n"/>
      <c r="C49" s="28" t="n"/>
      <c r="D49" s="28" t="n"/>
      <c r="E49" s="83" t="n"/>
      <c r="F49" s="88" t="n"/>
      <c r="G49" s="2" t="n"/>
      <c r="H49" s="2" t="n"/>
      <c r="I49" s="2" t="n"/>
      <c r="J49" s="2" t="n"/>
      <c r="K49" s="2" t="n"/>
      <c r="L49" s="2" t="n"/>
      <c r="M49" s="2" t="n"/>
      <c r="N49" s="2" t="n"/>
      <c r="O49" s="2" t="n"/>
      <c r="P49" s="2" t="n"/>
      <c r="Q49" s="2" t="n"/>
      <c r="R49" s="2" t="n"/>
      <c r="S49" s="2" t="n"/>
      <c r="T49" s="2" t="n"/>
      <c r="U49" s="2" t="n"/>
      <c r="V49" s="2" t="n"/>
      <c r="W49" s="2" t="n"/>
      <c r="X49" s="2" t="n"/>
      <c r="Y49" s="2" t="n"/>
      <c r="Z49" s="2" t="n"/>
    </row>
    <row r="50" ht="14.25" customHeight="1" s="157">
      <c r="A50" s="73" t="n">
        <v>40</v>
      </c>
      <c r="B50" s="28" t="n"/>
      <c r="C50" s="28" t="n"/>
      <c r="D50" s="28" t="n"/>
      <c r="E50" s="83" t="n"/>
      <c r="F50" s="88" t="n"/>
      <c r="G50" s="2" t="n"/>
      <c r="H50" s="2" t="n"/>
      <c r="I50" s="2" t="n"/>
      <c r="J50" s="2" t="n"/>
      <c r="K50" s="2" t="n"/>
      <c r="L50" s="2" t="n"/>
      <c r="M50" s="2" t="n"/>
      <c r="N50" s="2" t="n"/>
      <c r="O50" s="2" t="n"/>
      <c r="P50" s="2" t="n"/>
      <c r="Q50" s="2" t="n"/>
      <c r="R50" s="2" t="n"/>
      <c r="S50" s="2" t="n"/>
      <c r="T50" s="2" t="n"/>
      <c r="U50" s="2" t="n"/>
      <c r="V50" s="2" t="n"/>
      <c r="W50" s="2" t="n"/>
      <c r="X50" s="2" t="n"/>
      <c r="Y50" s="2" t="n"/>
      <c r="Z50" s="2" t="n"/>
    </row>
    <row r="51" ht="14.25" customHeight="1" s="157">
      <c r="A51" s="73" t="n">
        <v>41</v>
      </c>
      <c r="B51" s="28" t="n"/>
      <c r="C51" s="28" t="n"/>
      <c r="D51" s="28" t="n"/>
      <c r="E51" s="83" t="n"/>
      <c r="F51" s="88" t="n"/>
      <c r="G51" s="2" t="n"/>
      <c r="H51" s="2" t="n"/>
      <c r="I51" s="2" t="n"/>
      <c r="J51" s="2" t="n"/>
      <c r="K51" s="2" t="n"/>
      <c r="L51" s="2" t="n"/>
      <c r="M51" s="2" t="n"/>
      <c r="N51" s="2" t="n"/>
      <c r="O51" s="2" t="n"/>
      <c r="P51" s="2" t="n"/>
      <c r="Q51" s="2" t="n"/>
      <c r="R51" s="2" t="n"/>
      <c r="S51" s="2" t="n"/>
      <c r="T51" s="2" t="n"/>
      <c r="U51" s="2" t="n"/>
      <c r="V51" s="2" t="n"/>
      <c r="W51" s="2" t="n"/>
      <c r="X51" s="2" t="n"/>
      <c r="Y51" s="2" t="n"/>
      <c r="Z51" s="2" t="n"/>
    </row>
    <row r="52" ht="14.25" customHeight="1" s="157">
      <c r="A52" s="73" t="n">
        <v>42</v>
      </c>
      <c r="B52" s="28" t="n"/>
      <c r="C52" s="28" t="n"/>
      <c r="D52" s="28" t="n"/>
      <c r="E52" s="83" t="n"/>
      <c r="F52" s="88" t="n"/>
      <c r="G52" s="2" t="n"/>
      <c r="H52" s="2" t="n"/>
      <c r="I52" s="2" t="n"/>
      <c r="J52" s="2" t="n"/>
      <c r="K52" s="2" t="n"/>
      <c r="L52" s="2" t="n"/>
      <c r="M52" s="2" t="n"/>
      <c r="N52" s="2" t="n"/>
      <c r="O52" s="2" t="n"/>
      <c r="P52" s="2" t="n"/>
      <c r="Q52" s="2" t="n"/>
      <c r="R52" s="2" t="n"/>
      <c r="S52" s="2" t="n"/>
      <c r="T52" s="2" t="n"/>
      <c r="U52" s="2" t="n"/>
      <c r="V52" s="2" t="n"/>
      <c r="W52" s="2" t="n"/>
      <c r="X52" s="2" t="n"/>
      <c r="Y52" s="2" t="n"/>
      <c r="Z52" s="2" t="n"/>
    </row>
    <row r="53" ht="14.25" customHeight="1" s="157">
      <c r="A53" s="73" t="n">
        <v>43</v>
      </c>
      <c r="B53" s="28" t="n"/>
      <c r="C53" s="28" t="n"/>
      <c r="D53" s="28" t="n"/>
      <c r="E53" s="83" t="n"/>
      <c r="F53" s="88" t="n"/>
      <c r="G53" s="2" t="n"/>
      <c r="H53" s="2" t="n"/>
      <c r="I53" s="2" t="n"/>
      <c r="J53" s="2" t="n"/>
      <c r="K53" s="2" t="n"/>
      <c r="L53" s="2" t="n"/>
      <c r="M53" s="2" t="n"/>
      <c r="N53" s="2" t="n"/>
      <c r="O53" s="2" t="n"/>
      <c r="P53" s="2" t="n"/>
      <c r="Q53" s="2" t="n"/>
      <c r="R53" s="2" t="n"/>
      <c r="S53" s="2" t="n"/>
      <c r="T53" s="2" t="n"/>
      <c r="U53" s="2" t="n"/>
      <c r="V53" s="2" t="n"/>
      <c r="W53" s="2" t="n"/>
      <c r="X53" s="2" t="n"/>
      <c r="Y53" s="2" t="n"/>
      <c r="Z53" s="2" t="n"/>
    </row>
    <row r="54" ht="14.25" customHeight="1" s="157">
      <c r="A54" s="73" t="n">
        <v>44</v>
      </c>
      <c r="B54" s="28" t="n"/>
      <c r="C54" s="28" t="n"/>
      <c r="D54" s="28" t="n"/>
      <c r="E54" s="83" t="n"/>
      <c r="F54" s="88" t="n"/>
      <c r="G54" s="2" t="n"/>
      <c r="H54" s="2" t="n"/>
      <c r="I54" s="2" t="n"/>
      <c r="J54" s="2" t="n"/>
      <c r="K54" s="2" t="n"/>
      <c r="L54" s="2" t="n"/>
      <c r="M54" s="2" t="n"/>
      <c r="N54" s="2" t="n"/>
      <c r="O54" s="2" t="n"/>
      <c r="P54" s="2" t="n"/>
      <c r="Q54" s="2" t="n"/>
      <c r="R54" s="2" t="n"/>
      <c r="S54" s="2" t="n"/>
      <c r="T54" s="2" t="n"/>
      <c r="U54" s="2" t="n"/>
      <c r="V54" s="2" t="n"/>
      <c r="W54" s="2" t="n"/>
      <c r="X54" s="2" t="n"/>
      <c r="Y54" s="2" t="n"/>
      <c r="Z54" s="2" t="n"/>
    </row>
    <row r="55" ht="14.25" customHeight="1" s="157">
      <c r="A55" s="73" t="n">
        <v>45</v>
      </c>
      <c r="B55" s="28" t="n"/>
      <c r="C55" s="28" t="n"/>
      <c r="D55" s="28" t="n"/>
      <c r="E55" s="83" t="n"/>
      <c r="F55" s="88" t="n"/>
      <c r="G55" s="2" t="n"/>
      <c r="H55" s="2" t="n"/>
      <c r="I55" s="2" t="n"/>
      <c r="J55" s="2" t="n"/>
      <c r="K55" s="2" t="n"/>
      <c r="L55" s="2" t="n"/>
      <c r="M55" s="2" t="n"/>
      <c r="N55" s="2" t="n"/>
      <c r="O55" s="2" t="n"/>
      <c r="P55" s="2" t="n"/>
      <c r="Q55" s="2" t="n"/>
      <c r="R55" s="2" t="n"/>
      <c r="S55" s="2" t="n"/>
      <c r="T55" s="2" t="n"/>
      <c r="U55" s="2" t="n"/>
      <c r="V55" s="2" t="n"/>
      <c r="W55" s="2" t="n"/>
      <c r="X55" s="2" t="n"/>
      <c r="Y55" s="2" t="n"/>
      <c r="Z55" s="2" t="n"/>
    </row>
    <row r="56" ht="14.25" customHeight="1" s="157">
      <c r="A56" s="73" t="n">
        <v>46</v>
      </c>
      <c r="B56" s="28" t="n"/>
      <c r="C56" s="28" t="n"/>
      <c r="D56" s="28" t="n"/>
      <c r="E56" s="83" t="n"/>
      <c r="F56" s="88" t="n"/>
      <c r="G56" s="2" t="n"/>
      <c r="H56" s="2" t="n"/>
      <c r="I56" s="2" t="n"/>
      <c r="J56" s="2" t="n"/>
      <c r="K56" s="2" t="n"/>
      <c r="L56" s="2" t="n"/>
      <c r="M56" s="2" t="n"/>
      <c r="N56" s="2" t="n"/>
      <c r="O56" s="2" t="n"/>
      <c r="P56" s="2" t="n"/>
      <c r="Q56" s="2" t="n"/>
      <c r="R56" s="2" t="n"/>
      <c r="S56" s="2" t="n"/>
      <c r="T56" s="2" t="n"/>
      <c r="U56" s="2" t="n"/>
      <c r="V56" s="2" t="n"/>
      <c r="W56" s="2" t="n"/>
      <c r="X56" s="2" t="n"/>
      <c r="Y56" s="2" t="n"/>
      <c r="Z56" s="2" t="n"/>
    </row>
    <row r="57" ht="14.25" customHeight="1" s="157">
      <c r="A57" s="73" t="n">
        <v>47</v>
      </c>
      <c r="B57" s="28" t="n"/>
      <c r="C57" s="28" t="n"/>
      <c r="D57" s="28" t="n"/>
      <c r="E57" s="83" t="n"/>
      <c r="F57" s="88" t="n"/>
      <c r="G57" s="2" t="n"/>
      <c r="H57" s="2" t="n"/>
      <c r="I57" s="2" t="n"/>
      <c r="J57" s="2" t="n"/>
      <c r="K57" s="2" t="n"/>
      <c r="L57" s="2" t="n"/>
      <c r="M57" s="2" t="n"/>
      <c r="N57" s="2" t="n"/>
      <c r="O57" s="2" t="n"/>
      <c r="P57" s="2" t="n"/>
      <c r="Q57" s="2" t="n"/>
      <c r="R57" s="2" t="n"/>
      <c r="S57" s="2" t="n"/>
      <c r="T57" s="2" t="n"/>
      <c r="U57" s="2" t="n"/>
      <c r="V57" s="2" t="n"/>
      <c r="W57" s="2" t="n"/>
      <c r="X57" s="2" t="n"/>
      <c r="Y57" s="2" t="n"/>
      <c r="Z57" s="2" t="n"/>
    </row>
    <row r="58" ht="14.25" customHeight="1" s="157">
      <c r="A58" s="73" t="n">
        <v>48</v>
      </c>
      <c r="B58" s="28" t="n"/>
      <c r="C58" s="28" t="n"/>
      <c r="D58" s="28" t="n"/>
      <c r="E58" s="83" t="n"/>
      <c r="F58" s="88" t="n"/>
      <c r="G58" s="2" t="n"/>
      <c r="H58" s="2" t="n"/>
      <c r="I58" s="2" t="n"/>
      <c r="J58" s="2" t="n"/>
      <c r="K58" s="2" t="n"/>
      <c r="L58" s="2" t="n"/>
      <c r="M58" s="2" t="n"/>
      <c r="N58" s="2" t="n"/>
      <c r="O58" s="2" t="n"/>
      <c r="P58" s="2" t="n"/>
      <c r="Q58" s="2" t="n"/>
      <c r="R58" s="2" t="n"/>
      <c r="S58" s="2" t="n"/>
      <c r="T58" s="2" t="n"/>
      <c r="U58" s="2" t="n"/>
      <c r="V58" s="2" t="n"/>
      <c r="W58" s="2" t="n"/>
      <c r="X58" s="2" t="n"/>
      <c r="Y58" s="2" t="n"/>
      <c r="Z58" s="2" t="n"/>
    </row>
    <row r="59" ht="14.25" customHeight="1" s="157">
      <c r="A59" s="73" t="n">
        <v>49</v>
      </c>
      <c r="B59" s="49" t="n"/>
      <c r="C59" s="49" t="n"/>
      <c r="D59" s="28" t="n"/>
      <c r="E59" s="83" t="n"/>
      <c r="F59" s="88" t="n"/>
      <c r="G59" s="2" t="n"/>
      <c r="H59" s="2" t="n"/>
      <c r="I59" s="2" t="n"/>
      <c r="J59" s="2" t="n"/>
      <c r="K59" s="2" t="n"/>
      <c r="L59" s="2" t="n"/>
      <c r="M59" s="2" t="n"/>
      <c r="N59" s="2" t="n"/>
      <c r="O59" s="2" t="n"/>
      <c r="P59" s="2" t="n"/>
      <c r="Q59" s="2" t="n"/>
      <c r="R59" s="2" t="n"/>
      <c r="S59" s="2" t="n"/>
      <c r="T59" s="2" t="n"/>
      <c r="U59" s="2" t="n"/>
      <c r="V59" s="2" t="n"/>
      <c r="W59" s="2" t="n"/>
      <c r="X59" s="2" t="n"/>
      <c r="Y59" s="2" t="n"/>
      <c r="Z59" s="2" t="n"/>
    </row>
    <row r="60" ht="14.25" customHeight="1" s="157">
      <c r="A60" s="73" t="n">
        <v>50</v>
      </c>
      <c r="B60" s="28" t="n"/>
      <c r="C60" s="28" t="n"/>
      <c r="D60" s="28" t="n"/>
      <c r="E60" s="83" t="n"/>
      <c r="F60" s="88" t="n"/>
      <c r="G60" s="2" t="n"/>
      <c r="H60" s="2" t="n"/>
      <c r="I60" s="2" t="n"/>
      <c r="J60" s="2" t="n"/>
      <c r="K60" s="2" t="n"/>
      <c r="L60" s="2" t="n"/>
      <c r="M60" s="2" t="n"/>
      <c r="N60" s="2" t="n"/>
      <c r="O60" s="2" t="n"/>
      <c r="P60" s="2" t="n"/>
      <c r="Q60" s="2" t="n"/>
      <c r="R60" s="2" t="n"/>
      <c r="S60" s="2" t="n"/>
      <c r="T60" s="2" t="n"/>
      <c r="U60" s="2" t="n"/>
      <c r="V60" s="2" t="n"/>
      <c r="W60" s="2" t="n"/>
      <c r="X60" s="2" t="n"/>
      <c r="Y60" s="2" t="n"/>
      <c r="Z60" s="2" t="n"/>
    </row>
    <row r="61" ht="14.25" customHeight="1" s="157">
      <c r="A61" s="73" t="n">
        <v>51</v>
      </c>
      <c r="B61" s="28" t="n"/>
      <c r="C61" s="28" t="n"/>
      <c r="D61" s="28" t="n"/>
      <c r="E61" s="83" t="n"/>
      <c r="F61" s="88" t="n"/>
      <c r="G61" s="2" t="n"/>
      <c r="H61" s="2" t="n"/>
      <c r="I61" s="2" t="n"/>
      <c r="J61" s="2" t="n"/>
      <c r="K61" s="2" t="n"/>
      <c r="L61" s="2" t="n"/>
      <c r="M61" s="2" t="n"/>
      <c r="N61" s="2" t="n"/>
      <c r="O61" s="2" t="n"/>
      <c r="P61" s="2" t="n"/>
      <c r="Q61" s="2" t="n"/>
      <c r="R61" s="2" t="n"/>
      <c r="S61" s="2" t="n"/>
      <c r="T61" s="2" t="n"/>
      <c r="U61" s="2" t="n"/>
      <c r="V61" s="2" t="n"/>
      <c r="W61" s="2" t="n"/>
      <c r="X61" s="2" t="n"/>
      <c r="Y61" s="2" t="n"/>
      <c r="Z61" s="2" t="n"/>
    </row>
    <row r="62" ht="14.25" customHeight="1" s="157">
      <c r="A62" s="73" t="n">
        <v>52</v>
      </c>
      <c r="B62" s="28" t="n"/>
      <c r="C62" s="28" t="n"/>
      <c r="D62" s="28" t="n"/>
      <c r="E62" s="83" t="n"/>
      <c r="F62" s="88" t="n"/>
      <c r="G62" s="2" t="n"/>
      <c r="H62" s="2" t="n"/>
      <c r="I62" s="2" t="n"/>
      <c r="J62" s="2" t="n"/>
      <c r="K62" s="2" t="n"/>
      <c r="L62" s="2" t="n"/>
      <c r="M62" s="2" t="n"/>
      <c r="N62" s="2" t="n"/>
      <c r="O62" s="2" t="n"/>
      <c r="P62" s="2" t="n"/>
      <c r="Q62" s="2" t="n"/>
      <c r="R62" s="2" t="n"/>
      <c r="S62" s="2" t="n"/>
      <c r="T62" s="2" t="n"/>
      <c r="U62" s="2" t="n"/>
      <c r="V62" s="2" t="n"/>
      <c r="W62" s="2" t="n"/>
      <c r="X62" s="2" t="n"/>
      <c r="Y62" s="2" t="n"/>
      <c r="Z62" s="2" t="n"/>
    </row>
    <row r="63" ht="14.25" customHeight="1" s="157">
      <c r="A63" s="73" t="n">
        <v>53</v>
      </c>
      <c r="B63" s="28" t="n"/>
      <c r="C63" s="28" t="n"/>
      <c r="D63" s="28" t="n"/>
      <c r="E63" s="83" t="n"/>
      <c r="F63" s="88" t="n"/>
      <c r="G63" s="2" t="n"/>
      <c r="H63" s="2" t="n"/>
      <c r="I63" s="2" t="n"/>
      <c r="J63" s="2" t="n"/>
      <c r="K63" s="2" t="n"/>
      <c r="L63" s="2" t="n"/>
      <c r="M63" s="2" t="n"/>
      <c r="N63" s="2" t="n"/>
      <c r="O63" s="2" t="n"/>
      <c r="P63" s="2" t="n"/>
      <c r="Q63" s="2" t="n"/>
      <c r="R63" s="2" t="n"/>
      <c r="S63" s="2" t="n"/>
      <c r="T63" s="2" t="n"/>
      <c r="U63" s="2" t="n"/>
      <c r="V63" s="2" t="n"/>
      <c r="W63" s="2" t="n"/>
      <c r="X63" s="2" t="n"/>
      <c r="Y63" s="2" t="n"/>
      <c r="Z63" s="2" t="n"/>
    </row>
    <row r="64" ht="14.25" customHeight="1" s="157">
      <c r="A64" s="73" t="n">
        <v>54</v>
      </c>
      <c r="B64" s="28" t="n"/>
      <c r="C64" s="28" t="n"/>
      <c r="D64" s="28" t="n"/>
      <c r="E64" s="83" t="n"/>
      <c r="F64" s="88" t="n"/>
      <c r="G64" s="2" t="n"/>
      <c r="H64" s="2" t="n"/>
      <c r="I64" s="2" t="n"/>
      <c r="J64" s="2" t="n"/>
      <c r="K64" s="2" t="n"/>
      <c r="L64" s="2" t="n"/>
      <c r="M64" s="2" t="n"/>
      <c r="N64" s="2" t="n"/>
      <c r="O64" s="2" t="n"/>
      <c r="P64" s="2" t="n"/>
      <c r="Q64" s="2" t="n"/>
      <c r="R64" s="2" t="n"/>
      <c r="S64" s="2" t="n"/>
      <c r="T64" s="2" t="n"/>
      <c r="U64" s="2" t="n"/>
      <c r="V64" s="2" t="n"/>
      <c r="W64" s="2" t="n"/>
      <c r="X64" s="2" t="n"/>
      <c r="Y64" s="2" t="n"/>
      <c r="Z64" s="2" t="n"/>
    </row>
    <row r="65" ht="14.25" customHeight="1" s="157">
      <c r="A65" s="73" t="n">
        <v>55</v>
      </c>
      <c r="B65" s="28" t="n"/>
      <c r="C65" s="28" t="n"/>
      <c r="D65" s="28" t="n"/>
      <c r="E65" s="83" t="n"/>
      <c r="F65" s="88" t="n"/>
      <c r="G65" s="2" t="n"/>
      <c r="H65" s="2" t="n"/>
      <c r="I65" s="2" t="n"/>
      <c r="J65" s="2" t="n"/>
      <c r="K65" s="2" t="n"/>
      <c r="L65" s="2" t="n"/>
      <c r="M65" s="2" t="n"/>
      <c r="N65" s="2" t="n"/>
      <c r="O65" s="2" t="n"/>
      <c r="P65" s="2" t="n"/>
      <c r="Q65" s="2" t="n"/>
      <c r="R65" s="2" t="n"/>
      <c r="S65" s="2" t="n"/>
      <c r="T65" s="2" t="n"/>
      <c r="U65" s="2" t="n"/>
      <c r="V65" s="2" t="n"/>
      <c r="W65" s="2" t="n"/>
      <c r="X65" s="2" t="n"/>
      <c r="Y65" s="2" t="n"/>
      <c r="Z65" s="2" t="n"/>
    </row>
    <row r="66" ht="14.25" customHeight="1" s="157">
      <c r="A66" s="73" t="n">
        <v>56</v>
      </c>
      <c r="B66" s="28" t="n"/>
      <c r="C66" s="28" t="n"/>
      <c r="D66" s="28" t="n"/>
      <c r="E66" s="83" t="n"/>
      <c r="F66" s="88" t="n"/>
      <c r="G66" s="2" t="n"/>
      <c r="H66" s="2" t="n"/>
      <c r="I66" s="2" t="n"/>
      <c r="J66" s="2" t="n"/>
      <c r="K66" s="2" t="n"/>
      <c r="L66" s="2" t="n"/>
      <c r="M66" s="2" t="n"/>
      <c r="N66" s="2" t="n"/>
      <c r="O66" s="2" t="n"/>
      <c r="P66" s="2" t="n"/>
      <c r="Q66" s="2" t="n"/>
      <c r="R66" s="2" t="n"/>
      <c r="S66" s="2" t="n"/>
      <c r="T66" s="2" t="n"/>
      <c r="U66" s="2" t="n"/>
      <c r="V66" s="2" t="n"/>
      <c r="W66" s="2" t="n"/>
      <c r="X66" s="2" t="n"/>
      <c r="Y66" s="2" t="n"/>
      <c r="Z66" s="2" t="n"/>
    </row>
    <row r="67" ht="14.25" customHeight="1" s="157">
      <c r="A67" s="73" t="n">
        <v>57</v>
      </c>
      <c r="B67" s="28" t="n"/>
      <c r="C67" s="28" t="n"/>
      <c r="D67" s="28" t="n"/>
      <c r="E67" s="83" t="n"/>
      <c r="F67" s="88" t="n"/>
      <c r="G67" s="2" t="n"/>
      <c r="H67" s="2" t="n"/>
      <c r="I67" s="2" t="n"/>
      <c r="J67" s="2" t="n"/>
      <c r="K67" s="2" t="n"/>
      <c r="L67" s="2" t="n"/>
      <c r="M67" s="2" t="n"/>
      <c r="N67" s="2" t="n"/>
      <c r="O67" s="2" t="n"/>
      <c r="P67" s="2" t="n"/>
      <c r="Q67" s="2" t="n"/>
      <c r="R67" s="2" t="n"/>
      <c r="S67" s="2" t="n"/>
      <c r="T67" s="2" t="n"/>
      <c r="U67" s="2" t="n"/>
      <c r="V67" s="2" t="n"/>
      <c r="W67" s="2" t="n"/>
      <c r="X67" s="2" t="n"/>
      <c r="Y67" s="2" t="n"/>
      <c r="Z67" s="2" t="n"/>
    </row>
    <row r="68" ht="14.25" customHeight="1" s="157">
      <c r="A68" s="73" t="n">
        <v>58</v>
      </c>
      <c r="B68" s="49" t="n"/>
      <c r="C68" s="49" t="n"/>
      <c r="D68" s="28" t="n"/>
      <c r="E68" s="83" t="n"/>
      <c r="F68" s="88" t="n"/>
      <c r="G68" s="2" t="n"/>
      <c r="H68" s="2" t="n"/>
      <c r="I68" s="2" t="n"/>
      <c r="J68" s="2" t="n"/>
      <c r="K68" s="2" t="n"/>
      <c r="L68" s="2" t="n"/>
      <c r="M68" s="2" t="n"/>
      <c r="N68" s="2" t="n"/>
      <c r="O68" s="2" t="n"/>
      <c r="P68" s="2" t="n"/>
      <c r="Q68" s="2" t="n"/>
      <c r="R68" s="2" t="n"/>
      <c r="S68" s="2" t="n"/>
      <c r="T68" s="2" t="n"/>
      <c r="U68" s="2" t="n"/>
      <c r="V68" s="2" t="n"/>
      <c r="W68" s="2" t="n"/>
      <c r="X68" s="2" t="n"/>
      <c r="Y68" s="2" t="n"/>
      <c r="Z68" s="2" t="n"/>
    </row>
    <row r="69" ht="14.25" customHeight="1" s="157">
      <c r="A69" s="73" t="n">
        <v>59</v>
      </c>
      <c r="B69" s="28" t="n"/>
      <c r="C69" s="28" t="n"/>
      <c r="D69" s="28" t="n"/>
      <c r="E69" s="83" t="n"/>
      <c r="F69" s="88" t="n"/>
      <c r="G69" s="2" t="n"/>
      <c r="H69" s="2" t="n"/>
      <c r="I69" s="2" t="n"/>
      <c r="J69" s="2" t="n"/>
      <c r="K69" s="2" t="n"/>
      <c r="L69" s="2" t="n"/>
      <c r="M69" s="2" t="n"/>
      <c r="N69" s="2" t="n"/>
      <c r="O69" s="2" t="n"/>
      <c r="P69" s="2" t="n"/>
      <c r="Q69" s="2" t="n"/>
      <c r="R69" s="2" t="n"/>
      <c r="S69" s="2" t="n"/>
      <c r="T69" s="2" t="n"/>
      <c r="U69" s="2" t="n"/>
      <c r="V69" s="2" t="n"/>
      <c r="W69" s="2" t="n"/>
      <c r="X69" s="2" t="n"/>
      <c r="Y69" s="2" t="n"/>
      <c r="Z69" s="2" t="n"/>
    </row>
    <row r="70" ht="14.25" customHeight="1" s="157">
      <c r="A70" s="73" t="n">
        <v>60</v>
      </c>
      <c r="B70" s="28" t="n"/>
      <c r="C70" s="28" t="n"/>
      <c r="D70" s="28" t="n"/>
      <c r="E70" s="83" t="n"/>
      <c r="F70" s="88" t="n"/>
      <c r="G70" s="2" t="n"/>
      <c r="H70" s="2" t="n"/>
      <c r="I70" s="2" t="n"/>
      <c r="J70" s="2" t="n"/>
      <c r="K70" s="2" t="n"/>
      <c r="L70" s="2" t="n"/>
      <c r="M70" s="2" t="n"/>
      <c r="N70" s="2" t="n"/>
      <c r="O70" s="2" t="n"/>
      <c r="P70" s="2" t="n"/>
      <c r="Q70" s="2" t="n"/>
      <c r="R70" s="2" t="n"/>
      <c r="S70" s="2" t="n"/>
      <c r="T70" s="2" t="n"/>
      <c r="U70" s="2" t="n"/>
      <c r="V70" s="2" t="n"/>
      <c r="W70" s="2" t="n"/>
      <c r="X70" s="2" t="n"/>
      <c r="Y70" s="2" t="n"/>
      <c r="Z70" s="2" t="n"/>
    </row>
    <row r="71" ht="14.25" customHeight="1" s="157">
      <c r="A71" s="73" t="n">
        <v>61</v>
      </c>
      <c r="B71" s="28" t="n"/>
      <c r="C71" s="28" t="n"/>
      <c r="D71" s="28" t="n"/>
      <c r="E71" s="83" t="n"/>
      <c r="F71" s="88" t="n"/>
      <c r="G71" s="2" t="n"/>
      <c r="H71" s="2" t="n"/>
      <c r="I71" s="2" t="n"/>
      <c r="J71" s="2" t="n"/>
      <c r="K71" s="2" t="n"/>
      <c r="L71" s="2" t="n"/>
      <c r="M71" s="2" t="n"/>
      <c r="N71" s="2" t="n"/>
      <c r="O71" s="2" t="n"/>
      <c r="P71" s="2" t="n"/>
      <c r="Q71" s="2" t="n"/>
      <c r="R71" s="2" t="n"/>
      <c r="S71" s="2" t="n"/>
      <c r="T71" s="2" t="n"/>
      <c r="U71" s="2" t="n"/>
      <c r="V71" s="2" t="n"/>
      <c r="W71" s="2" t="n"/>
      <c r="X71" s="2" t="n"/>
      <c r="Y71" s="2" t="n"/>
      <c r="Z71" s="2" t="n"/>
    </row>
    <row r="72" ht="14.25" customHeight="1" s="157">
      <c r="A72" s="73" t="n">
        <v>62</v>
      </c>
      <c r="B72" s="28" t="n"/>
      <c r="C72" s="28" t="n"/>
      <c r="D72" s="28" t="n"/>
      <c r="E72" s="83" t="n"/>
      <c r="F72" s="88" t="n"/>
      <c r="G72" s="2" t="n"/>
      <c r="H72" s="2" t="n"/>
      <c r="I72" s="2" t="n"/>
      <c r="J72" s="2" t="n"/>
      <c r="K72" s="2" t="n"/>
      <c r="L72" s="2" t="n"/>
      <c r="M72" s="2" t="n"/>
      <c r="N72" s="2" t="n"/>
      <c r="O72" s="2" t="n"/>
      <c r="P72" s="2" t="n"/>
      <c r="Q72" s="2" t="n"/>
      <c r="R72" s="2" t="n"/>
      <c r="S72" s="2" t="n"/>
      <c r="T72" s="2" t="n"/>
      <c r="U72" s="2" t="n"/>
      <c r="V72" s="2" t="n"/>
      <c r="W72" s="2" t="n"/>
      <c r="X72" s="2" t="n"/>
      <c r="Y72" s="2" t="n"/>
      <c r="Z72" s="2" t="n"/>
    </row>
    <row r="73" ht="14.25" customHeight="1" s="157">
      <c r="A73" s="73" t="n">
        <v>63</v>
      </c>
      <c r="B73" s="28" t="n"/>
      <c r="C73" s="28" t="n"/>
      <c r="D73" s="28" t="n"/>
      <c r="E73" s="83" t="n"/>
      <c r="F73" s="88" t="n"/>
      <c r="G73" s="2" t="n"/>
      <c r="H73" s="2" t="n"/>
      <c r="I73" s="2" t="n"/>
      <c r="J73" s="2" t="n"/>
      <c r="K73" s="2" t="n"/>
      <c r="L73" s="2" t="n"/>
      <c r="M73" s="2" t="n"/>
      <c r="N73" s="2" t="n"/>
      <c r="O73" s="2" t="n"/>
      <c r="P73" s="2" t="n"/>
      <c r="Q73" s="2" t="n"/>
      <c r="R73" s="2" t="n"/>
      <c r="S73" s="2" t="n"/>
      <c r="T73" s="2" t="n"/>
      <c r="U73" s="2" t="n"/>
      <c r="V73" s="2" t="n"/>
      <c r="W73" s="2" t="n"/>
      <c r="X73" s="2" t="n"/>
      <c r="Y73" s="2" t="n"/>
      <c r="Z73" s="2" t="n"/>
    </row>
    <row r="74" ht="14.25" customHeight="1" s="157">
      <c r="A74" s="73" t="n">
        <v>64</v>
      </c>
      <c r="B74" s="28" t="n"/>
      <c r="C74" s="28" t="n"/>
      <c r="D74" s="28" t="n"/>
      <c r="E74" s="83" t="n"/>
      <c r="F74" s="88" t="n"/>
      <c r="G74" s="2" t="n"/>
      <c r="H74" s="2" t="n"/>
      <c r="I74" s="2" t="n"/>
      <c r="J74" s="2" t="n"/>
      <c r="K74" s="2" t="n"/>
      <c r="L74" s="2" t="n"/>
      <c r="M74" s="2" t="n"/>
      <c r="N74" s="2" t="n"/>
      <c r="O74" s="2" t="n"/>
      <c r="P74" s="2" t="n"/>
      <c r="Q74" s="2" t="n"/>
      <c r="R74" s="2" t="n"/>
      <c r="S74" s="2" t="n"/>
      <c r="T74" s="2" t="n"/>
      <c r="U74" s="2" t="n"/>
      <c r="V74" s="2" t="n"/>
      <c r="W74" s="2" t="n"/>
      <c r="X74" s="2" t="n"/>
      <c r="Y74" s="2" t="n"/>
      <c r="Z74" s="2" t="n"/>
    </row>
    <row r="75" ht="14.25" customHeight="1" s="157">
      <c r="A75" s="73" t="n">
        <v>65</v>
      </c>
      <c r="B75" s="28" t="n"/>
      <c r="C75" s="28" t="n"/>
      <c r="D75" s="28" t="n"/>
      <c r="E75" s="83" t="n"/>
      <c r="F75" s="88" t="n"/>
      <c r="G75" s="2" t="n"/>
      <c r="H75" s="2" t="n"/>
      <c r="I75" s="2" t="n"/>
      <c r="J75" s="2" t="n"/>
      <c r="K75" s="2" t="n"/>
      <c r="L75" s="2" t="n"/>
      <c r="M75" s="2" t="n"/>
      <c r="N75" s="2" t="n"/>
      <c r="O75" s="2" t="n"/>
      <c r="P75" s="2" t="n"/>
      <c r="Q75" s="2" t="n"/>
      <c r="R75" s="2" t="n"/>
      <c r="S75" s="2" t="n"/>
      <c r="T75" s="2" t="n"/>
      <c r="U75" s="2" t="n"/>
      <c r="V75" s="2" t="n"/>
      <c r="W75" s="2" t="n"/>
      <c r="X75" s="2" t="n"/>
      <c r="Y75" s="2" t="n"/>
      <c r="Z75" s="2" t="n"/>
    </row>
    <row r="76" ht="14.25" customHeight="1" s="157">
      <c r="A76" s="73" t="n">
        <v>66</v>
      </c>
      <c r="B76" s="28" t="n"/>
      <c r="C76" s="28" t="n"/>
      <c r="D76" s="28" t="n"/>
      <c r="E76" s="83" t="n"/>
      <c r="F76" s="88" t="n"/>
      <c r="G76" s="2" t="n"/>
      <c r="H76" s="2" t="n"/>
      <c r="I76" s="2" t="n"/>
      <c r="J76" s="2" t="n"/>
      <c r="K76" s="2" t="n"/>
      <c r="L76" s="2" t="n"/>
      <c r="M76" s="2" t="n"/>
      <c r="N76" s="2" t="n"/>
      <c r="O76" s="2" t="n"/>
      <c r="P76" s="2" t="n"/>
      <c r="Q76" s="2" t="n"/>
      <c r="R76" s="2" t="n"/>
      <c r="S76" s="2" t="n"/>
      <c r="T76" s="2" t="n"/>
      <c r="U76" s="2" t="n"/>
      <c r="V76" s="2" t="n"/>
      <c r="W76" s="2" t="n"/>
      <c r="X76" s="2" t="n"/>
      <c r="Y76" s="2" t="n"/>
      <c r="Z76" s="2" t="n"/>
    </row>
    <row r="77" ht="14.25" customHeight="1" s="157">
      <c r="A77" s="73" t="n">
        <v>67</v>
      </c>
      <c r="B77" s="28" t="n"/>
      <c r="C77" s="28" t="n"/>
      <c r="D77" s="28" t="n"/>
      <c r="E77" s="83" t="n"/>
      <c r="F77" s="88" t="n"/>
      <c r="G77" s="2" t="n"/>
      <c r="H77" s="2" t="n"/>
      <c r="I77" s="2" t="n"/>
      <c r="J77" s="2" t="n"/>
      <c r="K77" s="2" t="n"/>
      <c r="L77" s="2" t="n"/>
      <c r="M77" s="2" t="n"/>
      <c r="N77" s="2" t="n"/>
      <c r="O77" s="2" t="n"/>
      <c r="P77" s="2" t="n"/>
      <c r="Q77" s="2" t="n"/>
      <c r="R77" s="2" t="n"/>
      <c r="S77" s="2" t="n"/>
      <c r="T77" s="2" t="n"/>
      <c r="U77" s="2" t="n"/>
      <c r="V77" s="2" t="n"/>
      <c r="W77" s="2" t="n"/>
      <c r="X77" s="2" t="n"/>
      <c r="Y77" s="2" t="n"/>
      <c r="Z77" s="2" t="n"/>
    </row>
    <row r="78" ht="14.25" customHeight="1" s="157">
      <c r="A78" s="73" t="n">
        <v>68</v>
      </c>
      <c r="B78" s="28" t="n"/>
      <c r="C78" s="28" t="n"/>
      <c r="D78" s="28" t="n"/>
      <c r="E78" s="83" t="n"/>
      <c r="F78" s="88" t="n"/>
      <c r="G78" s="2" t="n"/>
      <c r="H78" s="2" t="n"/>
      <c r="I78" s="2" t="n"/>
      <c r="J78" s="2" t="n"/>
      <c r="K78" s="2" t="n"/>
      <c r="L78" s="2" t="n"/>
      <c r="M78" s="2" t="n"/>
      <c r="N78" s="2" t="n"/>
      <c r="O78" s="2" t="n"/>
      <c r="P78" s="2" t="n"/>
      <c r="Q78" s="2" t="n"/>
      <c r="R78" s="2" t="n"/>
      <c r="S78" s="2" t="n"/>
      <c r="T78" s="2" t="n"/>
      <c r="U78" s="2" t="n"/>
      <c r="V78" s="2" t="n"/>
      <c r="W78" s="2" t="n"/>
      <c r="X78" s="2" t="n"/>
      <c r="Y78" s="2" t="n"/>
      <c r="Z78" s="2" t="n"/>
    </row>
    <row r="79" ht="14.25" customHeight="1" s="157">
      <c r="A79" s="73" t="n">
        <v>69</v>
      </c>
      <c r="B79" s="49" t="n"/>
      <c r="C79" s="49" t="n"/>
      <c r="D79" s="28" t="n"/>
      <c r="E79" s="83" t="n"/>
      <c r="F79" s="88" t="n"/>
      <c r="G79" s="2" t="n"/>
      <c r="H79" s="2" t="n"/>
      <c r="I79" s="2" t="n"/>
      <c r="J79" s="2" t="n"/>
      <c r="K79" s="2" t="n"/>
      <c r="L79" s="2" t="n"/>
      <c r="M79" s="2" t="n"/>
      <c r="N79" s="2" t="n"/>
      <c r="O79" s="2" t="n"/>
      <c r="P79" s="2" t="n"/>
      <c r="Q79" s="2" t="n"/>
      <c r="R79" s="2" t="n"/>
      <c r="S79" s="2" t="n"/>
      <c r="T79" s="2" t="n"/>
      <c r="U79" s="2" t="n"/>
      <c r="V79" s="2" t="n"/>
      <c r="W79" s="2" t="n"/>
      <c r="X79" s="2" t="n"/>
      <c r="Y79" s="2" t="n"/>
      <c r="Z79" s="2" t="n"/>
    </row>
    <row r="80" ht="14.25" customHeight="1" s="157">
      <c r="A80" s="89" t="n">
        <v>70</v>
      </c>
      <c r="B80" s="90" t="n"/>
      <c r="C80" s="90" t="n"/>
      <c r="D80" s="90" t="n"/>
      <c r="E80" s="91" t="n"/>
      <c r="F80" s="92" t="n"/>
      <c r="G80" s="2" t="n"/>
      <c r="H80" s="2" t="n"/>
      <c r="I80" s="2" t="n"/>
      <c r="J80" s="2" t="n"/>
      <c r="K80" s="2" t="n"/>
      <c r="L80" s="2" t="n"/>
      <c r="M80" s="2" t="n"/>
      <c r="N80" s="2" t="n"/>
      <c r="O80" s="2" t="n"/>
      <c r="P80" s="2" t="n"/>
      <c r="Q80" s="2" t="n"/>
      <c r="R80" s="2" t="n"/>
      <c r="S80" s="2" t="n"/>
      <c r="T80" s="2" t="n"/>
      <c r="U80" s="2" t="n"/>
      <c r="V80" s="2" t="n"/>
      <c r="W80" s="2" t="n"/>
      <c r="X80" s="2" t="n"/>
      <c r="Y80" s="2" t="n"/>
      <c r="Z80" s="2" t="n"/>
    </row>
    <row r="81" ht="14.25" customHeight="1" s="157">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row>
    <row r="82" ht="14.25" customHeight="1" s="157">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row>
    <row r="83" ht="14.25" customHeight="1" s="157">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row>
    <row r="84" ht="14.25" customHeight="1" s="157">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row>
    <row r="85" ht="14.25" customHeight="1" s="157">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row>
    <row r="86" ht="14.25" customHeight="1" s="157">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row>
    <row r="87" ht="14.25" customHeight="1" s="157">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row>
    <row r="88" ht="14.25" customHeight="1" s="157">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row>
    <row r="89" ht="14.25" customHeight="1" s="157">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row>
    <row r="90" ht="14.25" customHeight="1" s="157">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row>
    <row r="91" ht="14.25" customHeight="1" s="157">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ht="14.25" customHeight="1" s="157">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ht="14.25" customHeight="1" s="157">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ht="14.25" customHeight="1" s="157">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ht="14.25" customHeight="1" s="157">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ht="14.25" customHeight="1" s="157">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ht="14.25" customHeight="1" s="157">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ht="14.25" customHeight="1" s="157">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ht="14.25" customHeight="1" s="157">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ht="14.25" customHeight="1" s="157">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ht="14.25" customHeight="1" s="157">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ht="14.25" customHeight="1" s="157">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ht="14.25" customHeight="1" s="157">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ht="14.25" customHeight="1" s="157">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ht="14.25" customHeight="1" s="157">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ht="14.25" customHeight="1" s="157">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ht="14.25" customHeight="1" s="157">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ht="14.25" customHeight="1" s="157">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ht="14.25" customHeight="1" s="157">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ht="14.25" customHeight="1" s="157">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ht="14.25" customHeight="1" s="157">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ht="14.25" customHeight="1" s="157">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ht="14.25" customHeight="1" s="157">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ht="14.25" customHeight="1" s="157">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ht="14.25" customHeight="1" s="157">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ht="14.25" customHeight="1" s="157">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ht="14.25" customHeight="1" s="157">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ht="14.25" customHeight="1" s="157">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ht="14.25" customHeight="1" s="157">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ht="14.25" customHeight="1" s="157">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ht="14.25" customHeight="1" s="157">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ht="14.25" customHeight="1" s="157">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ht="14.25" customHeight="1" s="157">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ht="14.25" customHeight="1" s="157">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ht="14.25" customHeight="1" s="157">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ht="14.25" customHeight="1" s="157">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ht="14.25" customHeight="1" s="157">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ht="14.25" customHeight="1" s="157">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ht="14.25" customHeight="1" s="157">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ht="14.25" customHeight="1" s="157">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ht="14.25" customHeight="1" s="157">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ht="14.25" customHeight="1" s="157">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ht="14.25" customHeight="1" s="157">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ht="14.25" customHeight="1" s="157">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ht="14.25" customHeight="1" s="157">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ht="14.25" customHeight="1" s="157">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ht="14.25" customHeight="1" s="157">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ht="14.25" customHeight="1" s="157">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ht="14.25" customHeight="1" s="157">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ht="14.25" customHeight="1" s="157">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ht="14.25" customHeight="1" s="157">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ht="14.25" customHeight="1" s="157">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ht="14.25" customHeight="1" s="157">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ht="14.25" customHeight="1" s="157">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ht="14.25" customHeight="1" s="157">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ht="14.25" customHeight="1" s="157">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ht="14.25" customHeight="1" s="157">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ht="14.25" customHeight="1" s="157">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ht="14.25" customHeight="1" s="157">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ht="14.25" customHeight="1" s="157">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ht="14.25" customHeight="1" s="157">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ht="14.25" customHeight="1" s="157">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ht="14.25" customHeight="1" s="157">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ht="14.25" customHeight="1" s="157">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ht="14.25" customHeight="1" s="157">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ht="14.25" customHeight="1" s="157">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ht="14.25" customHeight="1" s="157">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ht="14.25" customHeight="1" s="157">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ht="14.25" customHeight="1" s="157">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ht="14.25" customHeight="1" s="157">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ht="14.25" customHeight="1" s="157">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ht="14.25" customHeight="1" s="157">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ht="14.25" customHeight="1" s="157">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ht="14.25" customHeight="1" s="157">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ht="14.25" customHeight="1" s="157">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ht="14.25" customHeight="1" s="157">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ht="14.25" customHeight="1" s="157">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ht="14.25" customHeight="1" s="157">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4.25" customHeight="1" s="157">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4.25" customHeight="1" s="157">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4.25" customHeight="1" s="157">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4.25" customHeight="1" s="157">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4.25" customHeight="1" s="157">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4.25" customHeight="1" s="157">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4.25" customHeight="1" s="157">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4.25" customHeight="1" s="157">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4.25" customHeight="1" s="157">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4.25" customHeight="1" s="157">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4.25" customHeight="1" s="157">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4.25" customHeight="1" s="157">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4.25" customHeight="1" s="157">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4.25" customHeight="1" s="157">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4.25" customHeight="1" s="157">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4.25" customHeight="1" s="157">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4.25" customHeight="1" s="157">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4.25" customHeight="1" s="157">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4.25" customHeight="1" s="157">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4.25" customHeight="1" s="157">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4.25" customHeight="1" s="157">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4.25" customHeight="1" s="157">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4.25" customHeight="1" s="157">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4.25" customHeight="1" s="157">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4.25" customHeight="1" s="157">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4.25" customHeight="1" s="157">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4.25" customHeight="1" s="157">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4.25" customHeight="1" s="157">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4.25" customHeight="1" s="157">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4.25" customHeight="1" s="157">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4.25" customHeight="1" s="157">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4.25" customHeight="1" s="157">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4.25" customHeight="1" s="157">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4.25" customHeight="1" s="157">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4.25" customHeight="1" s="157">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4.25" customHeight="1" s="157">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4.25" customHeight="1" s="157">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4.25" customHeight="1" s="157">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4.25" customHeight="1" s="157">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4.25" customHeight="1" s="157">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4.25" customHeight="1" s="157">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4.25" customHeight="1" s="157">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4.25" customHeight="1" s="157">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4.25" customHeight="1" s="157">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4.25" customHeight="1" s="157">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4.25" customHeight="1" s="157">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4.25" customHeight="1" s="157">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4.25" customHeight="1" s="157">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4.25" customHeight="1" s="157">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4.25" customHeight="1" s="157">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4.25" customHeight="1" s="157">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4.25" customHeight="1" s="157">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4.25" customHeight="1" s="157">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row>
    <row r="222" ht="14.25" customHeight="1" s="157">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row>
    <row r="223" ht="14.25" customHeight="1" s="157">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row>
    <row r="224" ht="14.25" customHeight="1" s="157">
      <c r="A224" s="2"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row>
    <row r="225" ht="14.25" customHeight="1" s="157">
      <c r="A225" s="2"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row>
    <row r="226" ht="14.25" customHeight="1" s="157">
      <c r="A226" s="2" t="n"/>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row>
    <row r="227" ht="14.25" customHeight="1" s="157">
      <c r="A227" s="2" t="n"/>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row>
    <row r="228" ht="14.25" customHeight="1" s="157">
      <c r="A228" s="2"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row>
    <row r="229" ht="14.25" customHeight="1" s="157">
      <c r="A229" s="2"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row>
    <row r="230" ht="14.25" customHeight="1" s="157">
      <c r="A230" s="2"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row>
    <row r="231" ht="14.25" customHeight="1" s="157">
      <c r="A231" s="2" t="n"/>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row>
    <row r="232" ht="14.25" customHeight="1" s="157">
      <c r="A232" s="2" t="n"/>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row>
    <row r="233" ht="14.25" customHeight="1" s="157">
      <c r="A233" s="2" t="n"/>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row>
    <row r="234" ht="14.25" customHeight="1" s="157">
      <c r="A234" s="2" t="n"/>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row>
    <row r="235" ht="14.25" customHeight="1" s="157">
      <c r="A235" s="2" t="n"/>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row>
    <row r="236" ht="14.25" customHeight="1" s="157">
      <c r="A236" s="2" t="n"/>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row>
    <row r="237" ht="14.25" customHeight="1" s="157">
      <c r="A237" s="2" t="n"/>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row>
    <row r="238" ht="14.25" customHeight="1" s="157">
      <c r="A238" s="2" t="n"/>
      <c r="B238" s="2"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row>
    <row r="239" ht="14.25" customHeight="1" s="157">
      <c r="A239" s="2" t="n"/>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row>
    <row r="240" ht="14.25" customHeight="1" s="157">
      <c r="A240" s="2" t="n"/>
      <c r="B240" s="2"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row>
    <row r="241" ht="14.25" customHeight="1" s="157">
      <c r="A241" s="2" t="n"/>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row>
    <row r="242" ht="14.25" customHeight="1" s="157">
      <c r="A242" s="2" t="n"/>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row>
    <row r="243" ht="14.25" customHeight="1" s="157">
      <c r="A243" s="2" t="n"/>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row>
    <row r="244" ht="14.25" customHeight="1" s="157">
      <c r="A244" s="2" t="n"/>
      <c r="B244" s="2"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row>
    <row r="245" ht="14.25" customHeight="1" s="157">
      <c r="A245" s="2" t="n"/>
      <c r="B245" s="2" t="n"/>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row>
    <row r="246" ht="14.25" customHeight="1" s="157">
      <c r="A246" s="2" t="n"/>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row>
    <row r="247" ht="14.25" customHeight="1" s="157">
      <c r="A247" s="2" t="n"/>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row>
    <row r="248" ht="14.25" customHeight="1" s="157">
      <c r="A248" s="2" t="n"/>
      <c r="B248" s="2" t="n"/>
      <c r="C248" s="2" t="n"/>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row>
    <row r="249" ht="14.25" customHeight="1" s="157">
      <c r="A249" s="2" t="n"/>
      <c r="B249" s="2"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row>
    <row r="250" ht="14.25" customHeight="1" s="157">
      <c r="A250" s="2" t="n"/>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row>
    <row r="251" ht="14.25" customHeight="1" s="157">
      <c r="A251" s="2" t="n"/>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row>
    <row r="252" ht="14.25" customHeight="1" s="157">
      <c r="A252" s="2" t="n"/>
      <c r="B252" s="2"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row>
    <row r="253" ht="14.25" customHeight="1" s="157">
      <c r="A253" s="2" t="n"/>
      <c r="B253" s="2" t="n"/>
      <c r="C253" s="2" t="n"/>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row>
    <row r="254" ht="14.25" customHeight="1" s="157">
      <c r="A254" s="2" t="n"/>
      <c r="B254" s="2" t="n"/>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row>
    <row r="255" ht="14.25" customHeight="1" s="157">
      <c r="A255" s="2" t="n"/>
      <c r="B255" s="2" t="n"/>
      <c r="C255" s="2" t="n"/>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row>
    <row r="256" ht="14.25" customHeight="1" s="157">
      <c r="A256" s="2" t="n"/>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row>
    <row r="257" ht="14.25" customHeight="1" s="157">
      <c r="A257" s="2" t="n"/>
      <c r="B257" s="2" t="n"/>
      <c r="C257" s="2"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row>
    <row r="258" ht="14.25" customHeight="1" s="157">
      <c r="A258" s="2" t="n"/>
      <c r="B258" s="2" t="n"/>
      <c r="C258" s="2"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row>
    <row r="259" ht="14.25" customHeight="1" s="157">
      <c r="A259" s="2" t="n"/>
      <c r="B259" s="2" t="n"/>
      <c r="C259" s="2" t="n"/>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row>
    <row r="260" ht="14.25" customHeight="1" s="157">
      <c r="A260" s="2" t="n"/>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row>
    <row r="261" ht="14.25" customHeight="1" s="157">
      <c r="A261" s="2" t="n"/>
      <c r="B261" s="2" t="n"/>
      <c r="C261" s="2" t="n"/>
      <c r="D261" s="2"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row>
    <row r="262" ht="14.25" customHeight="1" s="157">
      <c r="A262" s="2" t="n"/>
      <c r="B262" s="2"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row>
    <row r="263" ht="14.25" customHeight="1" s="157">
      <c r="A263" s="2" t="n"/>
      <c r="B263" s="2" t="n"/>
      <c r="C263" s="2" t="n"/>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row>
    <row r="264" ht="14.25" customHeight="1" s="157">
      <c r="A264" s="2" t="n"/>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row>
    <row r="265" ht="14.25" customHeight="1" s="157">
      <c r="A265" s="2" t="n"/>
      <c r="B265" s="2"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row>
    <row r="266" ht="14.25" customHeight="1" s="157">
      <c r="A266" s="2" t="n"/>
      <c r="B266" s="2" t="n"/>
      <c r="C266" s="2" t="n"/>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row>
    <row r="267" ht="14.25" customHeight="1" s="157">
      <c r="A267" s="2" t="n"/>
      <c r="B267" s="2" t="n"/>
      <c r="C267" s="2" t="n"/>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row>
    <row r="268" ht="14.25" customHeight="1" s="157">
      <c r="A268" s="2" t="n"/>
      <c r="B268" s="2" t="n"/>
      <c r="C268" s="2" t="n"/>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row>
    <row r="269" ht="14.25" customHeight="1" s="157">
      <c r="A269" s="2" t="n"/>
      <c r="B269" s="2"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row>
    <row r="270" ht="14.25" customHeight="1" s="157">
      <c r="A270" s="2" t="n"/>
      <c r="B270" s="2" t="n"/>
      <c r="C270" s="2" t="n"/>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row>
    <row r="271" ht="14.25" customHeight="1" s="157">
      <c r="A271" s="2" t="n"/>
      <c r="B271" s="2"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row>
    <row r="272" ht="14.25" customHeight="1" s="157">
      <c r="A272" s="2" t="n"/>
      <c r="B272" s="2" t="n"/>
      <c r="C272" s="2" t="n"/>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row>
    <row r="273" ht="14.25" customHeight="1" s="157">
      <c r="A273" s="2" t="n"/>
      <c r="B273" s="2" t="n"/>
      <c r="C273" s="2" t="n"/>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row>
    <row r="274" ht="14.25" customHeight="1" s="157">
      <c r="A274" s="2" t="n"/>
      <c r="B274" s="2" t="n"/>
      <c r="C274" s="2"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row>
    <row r="275" ht="14.25" customHeight="1" s="157">
      <c r="A275" s="2" t="n"/>
      <c r="B275" s="2"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row>
    <row r="276" ht="14.25" customHeight="1" s="157">
      <c r="A276" s="2" t="n"/>
      <c r="B276" s="2" t="n"/>
      <c r="C276" s="2" t="n"/>
      <c r="D276" s="2" t="n"/>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row>
    <row r="277" ht="14.25" customHeight="1" s="157">
      <c r="A277" s="2" t="n"/>
      <c r="B277" s="2" t="n"/>
      <c r="C277" s="2" t="n"/>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row>
    <row r="278" ht="14.25" customHeight="1" s="157">
      <c r="A278" s="2" t="n"/>
      <c r="B278" s="2"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row>
    <row r="279" ht="14.25" customHeight="1" s="157">
      <c r="A279" s="2" t="n"/>
      <c r="B279" s="2" t="n"/>
      <c r="C279" s="2"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row>
    <row r="280" ht="14.25" customHeight="1" s="157">
      <c r="A280" s="2" t="n"/>
      <c r="B280" s="2" t="n"/>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row>
    <row r="281" ht="15.75" customHeight="1" s="157"/>
    <row r="282" ht="15.75" customHeight="1" s="157"/>
    <row r="283" ht="15.75" customHeight="1" s="157"/>
    <row r="284" ht="15.75" customHeight="1" s="157"/>
    <row r="285" ht="15.75" customHeight="1" s="157"/>
    <row r="286" ht="15.75" customHeight="1" s="157"/>
    <row r="287" ht="15.75" customHeight="1" s="157"/>
    <row r="288" ht="15.75" customHeight="1" s="157"/>
    <row r="289" ht="15.75" customHeight="1" s="157"/>
    <row r="290" ht="15.75" customHeight="1" s="157"/>
    <row r="291" ht="15.75" customHeight="1" s="157"/>
    <row r="292" ht="15.75" customHeight="1" s="157"/>
    <row r="293" ht="15.75" customHeight="1" s="157"/>
    <row r="294" ht="15.75" customHeight="1" s="157"/>
    <row r="295" ht="15.75" customHeight="1" s="157"/>
    <row r="296" ht="15.75" customHeight="1" s="157"/>
    <row r="297" ht="15.75" customHeight="1" s="157"/>
    <row r="298" ht="15.75" customHeight="1" s="157"/>
    <row r="299" ht="15.75" customHeight="1" s="157"/>
    <row r="300" ht="15.75" customHeight="1" s="157"/>
    <row r="301" ht="15.75" customHeight="1" s="157"/>
    <row r="302" ht="15.75" customHeight="1" s="157"/>
    <row r="303" ht="15.75" customHeight="1" s="157"/>
    <row r="304" ht="15.75" customHeight="1" s="157"/>
    <row r="305" ht="15.75" customHeight="1" s="157"/>
    <row r="306" ht="15.75" customHeight="1" s="157"/>
    <row r="307" ht="15.75" customHeight="1" s="157"/>
    <row r="308" ht="15.75" customHeight="1" s="157"/>
    <row r="309" ht="15.75" customHeight="1" s="157"/>
    <row r="310" ht="15.75" customHeight="1" s="157"/>
    <row r="311" ht="15.75" customHeight="1" s="157"/>
    <row r="312" ht="15.75" customHeight="1" s="157"/>
    <row r="313" ht="15.75" customHeight="1" s="157"/>
    <row r="314" ht="15.75" customHeight="1" s="157"/>
    <row r="315" ht="15.75" customHeight="1" s="157"/>
    <row r="316" ht="15.75" customHeight="1" s="157"/>
    <row r="317" ht="15.75" customHeight="1" s="157"/>
    <row r="318" ht="15.75" customHeight="1" s="157"/>
    <row r="319" ht="15.75" customHeight="1" s="157"/>
    <row r="320" ht="15.75" customHeight="1" s="157"/>
    <row r="321" ht="15.75" customHeight="1" s="157"/>
    <row r="322" ht="15.75" customHeight="1" s="157"/>
    <row r="323" ht="15.75" customHeight="1" s="157"/>
    <row r="324" ht="15.75" customHeight="1" s="157"/>
    <row r="325" ht="15.75" customHeight="1" s="157"/>
    <row r="326" ht="15.75" customHeight="1" s="157"/>
    <row r="327" ht="15.75" customHeight="1" s="157"/>
    <row r="328" ht="15.75" customHeight="1" s="157"/>
    <row r="329" ht="15.75" customHeight="1" s="157"/>
    <row r="330" ht="15.75" customHeight="1" s="157"/>
    <row r="331" ht="15.75" customHeight="1" s="157"/>
    <row r="332" ht="15.75" customHeight="1" s="157"/>
    <row r="333" ht="15.75" customHeight="1" s="157"/>
    <row r="334" ht="15.75" customHeight="1" s="157"/>
    <row r="335" ht="15.75" customHeight="1" s="157"/>
    <row r="336" ht="15.75" customHeight="1" s="157"/>
    <row r="337" ht="15.75" customHeight="1" s="157"/>
    <row r="338" ht="15.75" customHeight="1" s="157"/>
    <row r="339" ht="15.75" customHeight="1" s="157"/>
    <row r="340" ht="15.75" customHeight="1" s="157"/>
    <row r="341" ht="15.75" customHeight="1" s="157"/>
    <row r="342" ht="15.75" customHeight="1" s="157"/>
    <row r="343" ht="15.75" customHeight="1" s="157"/>
    <row r="344" ht="15.75" customHeight="1" s="157"/>
    <row r="345" ht="15.75" customHeight="1" s="157"/>
    <row r="346" ht="15.75" customHeight="1" s="157"/>
    <row r="347" ht="15.75" customHeight="1" s="157"/>
    <row r="348" ht="15.75" customHeight="1" s="157"/>
    <row r="349" ht="15.75" customHeight="1" s="157"/>
    <row r="350" ht="15.75" customHeight="1" s="157"/>
    <row r="351" ht="15.75" customHeight="1" s="157"/>
    <row r="352" ht="15.75" customHeight="1" s="157"/>
    <row r="353" ht="15.75" customHeight="1" s="157"/>
    <row r="354" ht="15.75" customHeight="1" s="157"/>
    <row r="355" ht="15.75" customHeight="1" s="157"/>
    <row r="356" ht="15.75" customHeight="1" s="157"/>
    <row r="357" ht="15.75" customHeight="1" s="157"/>
    <row r="358" ht="15.75" customHeight="1" s="157"/>
    <row r="359" ht="15.75" customHeight="1" s="157"/>
    <row r="360" ht="15.75" customHeight="1" s="157"/>
    <row r="361" ht="15.75" customHeight="1" s="157"/>
    <row r="362" ht="15.75" customHeight="1" s="157"/>
    <row r="363" ht="15.75" customHeight="1" s="157"/>
    <row r="364" ht="15.75" customHeight="1" s="157"/>
    <row r="365" ht="15.75" customHeight="1" s="157"/>
    <row r="366" ht="15.75" customHeight="1" s="157"/>
    <row r="367" ht="15.75" customHeight="1" s="157"/>
    <row r="368" ht="15.75" customHeight="1" s="157"/>
    <row r="369" ht="15.75" customHeight="1" s="157"/>
    <row r="370" ht="15.75" customHeight="1" s="157"/>
    <row r="371" ht="15.75" customHeight="1" s="157"/>
    <row r="372" ht="15.75" customHeight="1" s="157"/>
    <row r="373" ht="15.75" customHeight="1" s="157"/>
    <row r="374" ht="15.75" customHeight="1" s="157"/>
    <row r="375" ht="15.75" customHeight="1" s="157"/>
    <row r="376" ht="15.75" customHeight="1" s="157"/>
    <row r="377" ht="15.75" customHeight="1" s="157"/>
    <row r="378" ht="15.75" customHeight="1" s="157"/>
    <row r="379" ht="15.75" customHeight="1" s="157"/>
    <row r="380" ht="15.75" customHeight="1" s="157"/>
    <row r="381" ht="15.75" customHeight="1" s="157"/>
    <row r="382" ht="15.75" customHeight="1" s="157"/>
    <row r="383" ht="15.75" customHeight="1" s="157"/>
    <row r="384" ht="15.75" customHeight="1" s="157"/>
    <row r="385" ht="15.75" customHeight="1" s="157"/>
    <row r="386" ht="15.75" customHeight="1" s="157"/>
    <row r="387" ht="15.75" customHeight="1" s="157"/>
    <row r="388" ht="15.75" customHeight="1" s="157"/>
    <row r="389" ht="15.75" customHeight="1" s="157"/>
    <row r="390" ht="15.75" customHeight="1" s="157"/>
    <row r="391" ht="15.75" customHeight="1" s="157"/>
    <row r="392" ht="15.75" customHeight="1" s="157"/>
    <row r="393" ht="15.75" customHeight="1" s="157"/>
    <row r="394" ht="15.75" customHeight="1" s="157"/>
    <row r="395" ht="15.75" customHeight="1" s="157"/>
    <row r="396" ht="15.75" customHeight="1" s="157"/>
    <row r="397" ht="15.75" customHeight="1" s="157"/>
    <row r="398" ht="15.75" customHeight="1" s="157"/>
    <row r="399" ht="15.75" customHeight="1" s="157"/>
    <row r="400" ht="15.75" customHeight="1" s="157"/>
    <row r="401" ht="15.75" customHeight="1" s="157"/>
    <row r="402" ht="15.75" customHeight="1" s="157"/>
    <row r="403" ht="15.75" customHeight="1" s="157"/>
    <row r="404" ht="15.75" customHeight="1" s="157"/>
    <row r="405" ht="15.75" customHeight="1" s="157"/>
    <row r="406" ht="15.75" customHeight="1" s="157"/>
    <row r="407" ht="15.75" customHeight="1" s="157"/>
    <row r="408" ht="15.75" customHeight="1" s="157"/>
    <row r="409" ht="15.75" customHeight="1" s="157"/>
    <row r="410" ht="15.75" customHeight="1" s="157"/>
    <row r="411" ht="15.75" customHeight="1" s="157"/>
    <row r="412" ht="15.75" customHeight="1" s="157"/>
    <row r="413" ht="15.75" customHeight="1" s="157"/>
    <row r="414" ht="15.75" customHeight="1" s="157"/>
    <row r="415" ht="15.75" customHeight="1" s="157"/>
    <row r="416" ht="15.75" customHeight="1" s="157"/>
    <row r="417" ht="15.75" customHeight="1" s="157"/>
    <row r="418" ht="15.75" customHeight="1" s="157"/>
    <row r="419" ht="15.75" customHeight="1" s="157"/>
    <row r="420" ht="15.75" customHeight="1" s="157"/>
    <row r="421" ht="15.75" customHeight="1" s="157"/>
    <row r="422" ht="15.75" customHeight="1" s="157"/>
    <row r="423" ht="15.75" customHeight="1" s="157"/>
    <row r="424" ht="15.75" customHeight="1" s="157"/>
    <row r="425" ht="15.75" customHeight="1" s="157"/>
    <row r="426" ht="15.75" customHeight="1" s="157"/>
    <row r="427" ht="15.75" customHeight="1" s="157"/>
    <row r="428" ht="15.75" customHeight="1" s="157"/>
    <row r="429" ht="15.75" customHeight="1" s="157"/>
    <row r="430" ht="15.75" customHeight="1" s="157"/>
    <row r="431" ht="15.75" customHeight="1" s="157"/>
    <row r="432" ht="15.75" customHeight="1" s="157"/>
    <row r="433" ht="15.75" customHeight="1" s="157"/>
    <row r="434" ht="15.75" customHeight="1" s="157"/>
    <row r="435" ht="15.75" customHeight="1" s="157"/>
    <row r="436" ht="15.75" customHeight="1" s="157"/>
    <row r="437" ht="15.75" customHeight="1" s="157"/>
    <row r="438" ht="15.75" customHeight="1" s="157"/>
    <row r="439" ht="15.75" customHeight="1" s="157"/>
    <row r="440" ht="15.75" customHeight="1" s="157"/>
    <row r="441" ht="15.75" customHeight="1" s="157"/>
    <row r="442" ht="15.75" customHeight="1" s="157"/>
    <row r="443" ht="15.75" customHeight="1" s="157"/>
    <row r="444" ht="15.75" customHeight="1" s="157"/>
    <row r="445" ht="15.75" customHeight="1" s="157"/>
    <row r="446" ht="15.75" customHeight="1" s="157"/>
    <row r="447" ht="15.75" customHeight="1" s="157"/>
    <row r="448" ht="15.75" customHeight="1" s="157"/>
    <row r="449" ht="15.75" customHeight="1" s="157"/>
    <row r="450" ht="15.75" customHeight="1" s="157"/>
    <row r="451" ht="15.75" customHeight="1" s="157"/>
    <row r="452" ht="15.75" customHeight="1" s="157"/>
    <row r="453" ht="15.75" customHeight="1" s="157"/>
    <row r="454" ht="15.75" customHeight="1" s="157"/>
    <row r="455" ht="15.75" customHeight="1" s="157"/>
    <row r="456" ht="15.75" customHeight="1" s="157"/>
    <row r="457" ht="15.75" customHeight="1" s="157"/>
    <row r="458" ht="15.75" customHeight="1" s="157"/>
    <row r="459" ht="15.75" customHeight="1" s="157"/>
    <row r="460" ht="15.75" customHeight="1" s="157"/>
    <row r="461" ht="15.75" customHeight="1" s="157"/>
    <row r="462" ht="15.75" customHeight="1" s="157"/>
    <row r="463" ht="15.75" customHeight="1" s="157"/>
    <row r="464" ht="15.75" customHeight="1" s="157"/>
    <row r="465" ht="15.75" customHeight="1" s="157"/>
    <row r="466" ht="15.75" customHeight="1" s="157"/>
    <row r="467" ht="15.75" customHeight="1" s="157"/>
    <row r="468" ht="15.75" customHeight="1" s="157"/>
    <row r="469" ht="15.75" customHeight="1" s="157"/>
    <row r="470" ht="15.75" customHeight="1" s="157"/>
    <row r="471" ht="15.75" customHeight="1" s="157"/>
    <row r="472" ht="15.75" customHeight="1" s="157"/>
    <row r="473" ht="15.75" customHeight="1" s="157"/>
    <row r="474" ht="15.75" customHeight="1" s="157"/>
    <row r="475" ht="15.75" customHeight="1" s="157"/>
    <row r="476" ht="15.75" customHeight="1" s="157"/>
    <row r="477" ht="15.75" customHeight="1" s="157"/>
    <row r="478" ht="15.75" customHeight="1" s="157"/>
    <row r="479" ht="15.75" customHeight="1" s="157"/>
    <row r="480" ht="15.75" customHeight="1" s="157"/>
    <row r="481" ht="15.75" customHeight="1" s="157"/>
    <row r="482" ht="15.75" customHeight="1" s="157"/>
    <row r="483" ht="15.75" customHeight="1" s="157"/>
    <row r="484" ht="15.75" customHeight="1" s="157"/>
    <row r="485" ht="15.75" customHeight="1" s="157"/>
    <row r="486" ht="15.75" customHeight="1" s="157"/>
    <row r="487" ht="15.75" customHeight="1" s="157"/>
    <row r="488" ht="15.75" customHeight="1" s="157"/>
    <row r="489" ht="15.75" customHeight="1" s="157"/>
    <row r="490" ht="15.75" customHeight="1" s="157"/>
    <row r="491" ht="15.75" customHeight="1" s="157"/>
    <row r="492" ht="15.75" customHeight="1" s="157"/>
    <row r="493" ht="15.75" customHeight="1" s="157"/>
    <row r="494" ht="15.75" customHeight="1" s="157"/>
    <row r="495" ht="15.75" customHeight="1" s="157"/>
    <row r="496" ht="15.75" customHeight="1" s="157"/>
    <row r="497" ht="15.75" customHeight="1" s="157"/>
    <row r="498" ht="15.75" customHeight="1" s="157"/>
    <row r="499" ht="15.75" customHeight="1" s="157"/>
    <row r="500" ht="15.75" customHeight="1" s="157"/>
    <row r="501" ht="15.75" customHeight="1" s="157"/>
    <row r="502" ht="15.75" customHeight="1" s="157"/>
    <row r="503" ht="15.75" customHeight="1" s="157"/>
    <row r="504" ht="15.75" customHeight="1" s="157"/>
    <row r="505" ht="15.75" customHeight="1" s="157"/>
    <row r="506" ht="15.75" customHeight="1" s="157"/>
    <row r="507" ht="15.75" customHeight="1" s="157"/>
    <row r="508" ht="15.75" customHeight="1" s="157"/>
    <row r="509" ht="15.75" customHeight="1" s="157"/>
    <row r="510" ht="15.75" customHeight="1" s="157"/>
    <row r="511" ht="15.75" customHeight="1" s="157"/>
    <row r="512" ht="15.75" customHeight="1" s="157"/>
    <row r="513" ht="15.75" customHeight="1" s="157"/>
    <row r="514" ht="15.75" customHeight="1" s="157"/>
    <row r="515" ht="15.75" customHeight="1" s="157"/>
    <row r="516" ht="15.75" customHeight="1" s="157"/>
    <row r="517" ht="15.75" customHeight="1" s="157"/>
    <row r="518" ht="15.75" customHeight="1" s="157"/>
    <row r="519" ht="15.75" customHeight="1" s="157"/>
    <row r="520" ht="15.75" customHeight="1" s="157"/>
    <row r="521" ht="15.75" customHeight="1" s="157"/>
    <row r="522" ht="15.75" customHeight="1" s="157"/>
    <row r="523" ht="15.75" customHeight="1" s="157"/>
    <row r="524" ht="15.75" customHeight="1" s="157"/>
    <row r="525" ht="15.75" customHeight="1" s="157"/>
    <row r="526" ht="15.75" customHeight="1" s="157"/>
    <row r="527" ht="15.75" customHeight="1" s="157"/>
    <row r="528" ht="15.75" customHeight="1" s="157"/>
    <row r="529" ht="15.75" customHeight="1" s="157"/>
    <row r="530" ht="15.75" customHeight="1" s="157"/>
    <row r="531" ht="15.75" customHeight="1" s="157"/>
    <row r="532" ht="15.75" customHeight="1" s="157"/>
    <row r="533" ht="15.75" customHeight="1" s="157"/>
    <row r="534" ht="15.75" customHeight="1" s="157"/>
    <row r="535" ht="15.75" customHeight="1" s="157"/>
    <row r="536" ht="15.75" customHeight="1" s="157"/>
    <row r="537" ht="15.75" customHeight="1" s="157"/>
    <row r="538" ht="15.75" customHeight="1" s="157"/>
    <row r="539" ht="15.75" customHeight="1" s="157"/>
    <row r="540" ht="15.75" customHeight="1" s="157"/>
    <row r="541" ht="15.75" customHeight="1" s="157"/>
    <row r="542" ht="15.75" customHeight="1" s="157"/>
    <row r="543" ht="15.75" customHeight="1" s="157"/>
    <row r="544" ht="15.75" customHeight="1" s="157"/>
    <row r="545" ht="15.75" customHeight="1" s="157"/>
    <row r="546" ht="15.75" customHeight="1" s="157"/>
    <row r="547" ht="15.75" customHeight="1" s="157"/>
    <row r="548" ht="15.75" customHeight="1" s="157"/>
    <row r="549" ht="15.75" customHeight="1" s="157"/>
    <row r="550" ht="15.75" customHeight="1" s="157"/>
    <row r="551" ht="15.75" customHeight="1" s="157"/>
    <row r="552" ht="15.75" customHeight="1" s="157"/>
    <row r="553" ht="15.75" customHeight="1" s="157"/>
    <row r="554" ht="15.75" customHeight="1" s="157"/>
    <row r="555" ht="15.75" customHeight="1" s="157"/>
    <row r="556" ht="15.75" customHeight="1" s="157"/>
    <row r="557" ht="15.75" customHeight="1" s="157"/>
    <row r="558" ht="15.75" customHeight="1" s="157"/>
    <row r="559" ht="15.75" customHeight="1" s="157"/>
    <row r="560" ht="15.75" customHeight="1" s="157"/>
    <row r="561" ht="15.75" customHeight="1" s="157"/>
    <row r="562" ht="15.75" customHeight="1" s="157"/>
    <row r="563" ht="15.75" customHeight="1" s="157"/>
    <row r="564" ht="15.75" customHeight="1" s="157"/>
    <row r="565" ht="15.75" customHeight="1" s="157"/>
    <row r="566" ht="15.75" customHeight="1" s="157"/>
    <row r="567" ht="15.75" customHeight="1" s="157"/>
    <row r="568" ht="15.75" customHeight="1" s="157"/>
    <row r="569" ht="15.75" customHeight="1" s="157"/>
    <row r="570" ht="15.75" customHeight="1" s="157"/>
    <row r="571" ht="15.75" customHeight="1" s="157"/>
    <row r="572" ht="15.75" customHeight="1" s="157"/>
    <row r="573" ht="15.75" customHeight="1" s="157"/>
    <row r="574" ht="15.75" customHeight="1" s="157"/>
    <row r="575" ht="15.75" customHeight="1" s="157"/>
    <row r="576" ht="15.75" customHeight="1" s="157"/>
    <row r="577" ht="15.75" customHeight="1" s="157"/>
    <row r="578" ht="15.75" customHeight="1" s="157"/>
    <row r="579" ht="15.75" customHeight="1" s="157"/>
    <row r="580" ht="15.75" customHeight="1" s="157"/>
    <row r="581" ht="15.75" customHeight="1" s="157"/>
    <row r="582" ht="15.75" customHeight="1" s="157"/>
    <row r="583" ht="15.75" customHeight="1" s="157"/>
    <row r="584" ht="15.75" customHeight="1" s="157"/>
    <row r="585" ht="15.75" customHeight="1" s="157"/>
    <row r="586" ht="15.75" customHeight="1" s="157"/>
    <row r="587" ht="15.75" customHeight="1" s="157"/>
    <row r="588" ht="15.75" customHeight="1" s="157"/>
    <row r="589" ht="15.75" customHeight="1" s="157"/>
    <row r="590" ht="15.75" customHeight="1" s="157"/>
    <row r="591" ht="15.75" customHeight="1" s="157"/>
    <row r="592" ht="15.75" customHeight="1" s="157"/>
    <row r="593" ht="15.75" customHeight="1" s="157"/>
    <row r="594" ht="15.75" customHeight="1" s="157"/>
    <row r="595" ht="15.75" customHeight="1" s="157"/>
    <row r="596" ht="15.75" customHeight="1" s="157"/>
    <row r="597" ht="15.75" customHeight="1" s="157"/>
    <row r="598" ht="15.75" customHeight="1" s="157"/>
    <row r="599" ht="15.75" customHeight="1" s="157"/>
    <row r="600" ht="15.75" customHeight="1" s="157"/>
    <row r="601" ht="15.75" customHeight="1" s="157"/>
    <row r="602" ht="15.75" customHeight="1" s="157"/>
    <row r="603" ht="15.75" customHeight="1" s="157"/>
    <row r="604" ht="15.75" customHeight="1" s="157"/>
    <row r="605" ht="15.75" customHeight="1" s="157"/>
    <row r="606" ht="15.75" customHeight="1" s="157"/>
    <row r="607" ht="15.75" customHeight="1" s="157"/>
    <row r="608" ht="15.75" customHeight="1" s="157"/>
    <row r="609" ht="15.75" customHeight="1" s="157"/>
    <row r="610" ht="15.75" customHeight="1" s="157"/>
    <row r="611" ht="15.75" customHeight="1" s="157"/>
    <row r="612" ht="15.75" customHeight="1" s="157"/>
    <row r="613" ht="15.75" customHeight="1" s="157"/>
    <row r="614" ht="15.75" customHeight="1" s="157"/>
    <row r="615" ht="15.75" customHeight="1" s="157"/>
    <row r="616" ht="15.75" customHeight="1" s="157"/>
    <row r="617" ht="15.75" customHeight="1" s="157"/>
    <row r="618" ht="15.75" customHeight="1" s="157"/>
    <row r="619" ht="15.75" customHeight="1" s="157"/>
    <row r="620" ht="15.75" customHeight="1" s="157"/>
    <row r="621" ht="15.75" customHeight="1" s="157"/>
    <row r="622" ht="15.75" customHeight="1" s="157"/>
    <row r="623" ht="15.75" customHeight="1" s="157"/>
    <row r="624" ht="15.75" customHeight="1" s="157"/>
    <row r="625" ht="15.75" customHeight="1" s="157"/>
    <row r="626" ht="15.75" customHeight="1" s="157"/>
    <row r="627" ht="15.75" customHeight="1" s="157"/>
    <row r="628" ht="15.75" customHeight="1" s="157"/>
    <row r="629" ht="15.75" customHeight="1" s="157"/>
    <row r="630" ht="15.75" customHeight="1" s="157"/>
    <row r="631" ht="15.75" customHeight="1" s="157"/>
    <row r="632" ht="15.75" customHeight="1" s="157"/>
    <row r="633" ht="15.75" customHeight="1" s="157"/>
    <row r="634" ht="15.75" customHeight="1" s="157"/>
    <row r="635" ht="15.75" customHeight="1" s="157"/>
    <row r="636" ht="15.75" customHeight="1" s="157"/>
    <row r="637" ht="15.75" customHeight="1" s="157"/>
    <row r="638" ht="15.75" customHeight="1" s="157"/>
    <row r="639" ht="15.75" customHeight="1" s="157"/>
    <row r="640" ht="15.75" customHeight="1" s="157"/>
    <row r="641" ht="15.75" customHeight="1" s="157"/>
    <row r="642" ht="15.75" customHeight="1" s="157"/>
    <row r="643" ht="15.75" customHeight="1" s="157"/>
    <row r="644" ht="15.75" customHeight="1" s="157"/>
    <row r="645" ht="15.75" customHeight="1" s="157"/>
    <row r="646" ht="15.75" customHeight="1" s="157"/>
    <row r="647" ht="15.75" customHeight="1" s="157"/>
    <row r="648" ht="15.75" customHeight="1" s="157"/>
    <row r="649" ht="15.75" customHeight="1" s="157"/>
    <row r="650" ht="15.75" customHeight="1" s="157"/>
    <row r="651" ht="15.75" customHeight="1" s="157"/>
    <row r="652" ht="15.75" customHeight="1" s="157"/>
    <row r="653" ht="15.75" customHeight="1" s="157"/>
    <row r="654" ht="15.75" customHeight="1" s="157"/>
    <row r="655" ht="15.75" customHeight="1" s="157"/>
    <row r="656" ht="15.75" customHeight="1" s="157"/>
    <row r="657" ht="15.75" customHeight="1" s="157"/>
    <row r="658" ht="15.75" customHeight="1" s="157"/>
    <row r="659" ht="15.75" customHeight="1" s="157"/>
    <row r="660" ht="15.75" customHeight="1" s="157"/>
    <row r="661" ht="15.75" customHeight="1" s="157"/>
    <row r="662" ht="15.75" customHeight="1" s="157"/>
    <row r="663" ht="15.75" customHeight="1" s="157"/>
    <row r="664" ht="15.75" customHeight="1" s="157"/>
    <row r="665" ht="15.75" customHeight="1" s="157"/>
    <row r="666" ht="15.75" customHeight="1" s="157"/>
    <row r="667" ht="15.75" customHeight="1" s="157"/>
    <row r="668" ht="15.75" customHeight="1" s="157"/>
    <row r="669" ht="15.75" customHeight="1" s="157"/>
    <row r="670" ht="15.75" customHeight="1" s="157"/>
    <row r="671" ht="15.75" customHeight="1" s="157"/>
    <row r="672" ht="15.75" customHeight="1" s="157"/>
    <row r="673" ht="15.75" customHeight="1" s="157"/>
    <row r="674" ht="15.75" customHeight="1" s="157"/>
    <row r="675" ht="15.75" customHeight="1" s="157"/>
    <row r="676" ht="15.75" customHeight="1" s="157"/>
    <row r="677" ht="15.75" customHeight="1" s="157"/>
    <row r="678" ht="15.75" customHeight="1" s="157"/>
    <row r="679" ht="15.75" customHeight="1" s="157"/>
    <row r="680" ht="15.75" customHeight="1" s="157"/>
    <row r="681" ht="15.75" customHeight="1" s="157"/>
    <row r="682" ht="15.75" customHeight="1" s="157"/>
    <row r="683" ht="15.75" customHeight="1" s="157"/>
    <row r="684" ht="15.75" customHeight="1" s="157"/>
    <row r="685" ht="15.75" customHeight="1" s="157"/>
    <row r="686" ht="15.75" customHeight="1" s="157"/>
    <row r="687" ht="15.75" customHeight="1" s="157"/>
    <row r="688" ht="15.75" customHeight="1" s="157"/>
    <row r="689" ht="15.75" customHeight="1" s="157"/>
    <row r="690" ht="15.75" customHeight="1" s="157"/>
    <row r="691" ht="15.75" customHeight="1" s="157"/>
    <row r="692" ht="15.75" customHeight="1" s="157"/>
    <row r="693" ht="15.75" customHeight="1" s="157"/>
    <row r="694" ht="15.75" customHeight="1" s="157"/>
    <row r="695" ht="15.75" customHeight="1" s="157"/>
    <row r="696" ht="15.75" customHeight="1" s="157"/>
    <row r="697" ht="15.75" customHeight="1" s="157"/>
    <row r="698" ht="15.75" customHeight="1" s="157"/>
    <row r="699" ht="15.75" customHeight="1" s="157"/>
    <row r="700" ht="15.75" customHeight="1" s="157"/>
    <row r="701" ht="15.75" customHeight="1" s="157"/>
    <row r="702" ht="15.75" customHeight="1" s="157"/>
    <row r="703" ht="15.75" customHeight="1" s="157"/>
    <row r="704" ht="15.75" customHeight="1" s="157"/>
    <row r="705" ht="15.75" customHeight="1" s="157"/>
    <row r="706" ht="15.75" customHeight="1" s="157"/>
    <row r="707" ht="15.75" customHeight="1" s="157"/>
    <row r="708" ht="15.75" customHeight="1" s="157"/>
    <row r="709" ht="15.75" customHeight="1" s="157"/>
    <row r="710" ht="15.75" customHeight="1" s="157"/>
    <row r="711" ht="15.75" customHeight="1" s="157"/>
    <row r="712" ht="15.75" customHeight="1" s="157"/>
    <row r="713" ht="15.75" customHeight="1" s="157"/>
    <row r="714" ht="15.75" customHeight="1" s="157"/>
    <row r="715" ht="15.75" customHeight="1" s="157"/>
    <row r="716" ht="15.75" customHeight="1" s="157"/>
    <row r="717" ht="15.75" customHeight="1" s="157"/>
    <row r="718" ht="15.75" customHeight="1" s="157"/>
    <row r="719" ht="15.75" customHeight="1" s="157"/>
    <row r="720" ht="15.75" customHeight="1" s="157"/>
    <row r="721" ht="15.75" customHeight="1" s="157"/>
    <row r="722" ht="15.75" customHeight="1" s="157"/>
    <row r="723" ht="15.75" customHeight="1" s="157"/>
    <row r="724" ht="15.75" customHeight="1" s="157"/>
    <row r="725" ht="15.75" customHeight="1" s="157"/>
    <row r="726" ht="15.75" customHeight="1" s="157"/>
    <row r="727" ht="15.75" customHeight="1" s="157"/>
    <row r="728" ht="15.75" customHeight="1" s="157"/>
    <row r="729" ht="15.75" customHeight="1" s="157"/>
    <row r="730" ht="15.75" customHeight="1" s="157"/>
    <row r="731" ht="15.75" customHeight="1" s="157"/>
    <row r="732" ht="15.75" customHeight="1" s="157"/>
    <row r="733" ht="15.75" customHeight="1" s="157"/>
    <row r="734" ht="15.75" customHeight="1" s="157"/>
    <row r="735" ht="15.75" customHeight="1" s="157"/>
    <row r="736" ht="15.75" customHeight="1" s="157"/>
    <row r="737" ht="15.75" customHeight="1" s="157"/>
    <row r="738" ht="15.75" customHeight="1" s="157"/>
    <row r="739" ht="15.75" customHeight="1" s="157"/>
    <row r="740" ht="15.75" customHeight="1" s="157"/>
    <row r="741" ht="15.75" customHeight="1" s="157"/>
    <row r="742" ht="15.75" customHeight="1" s="157"/>
    <row r="743" ht="15.75" customHeight="1" s="157"/>
    <row r="744" ht="15.75" customHeight="1" s="157"/>
    <row r="745" ht="15.75" customHeight="1" s="157"/>
    <row r="746" ht="15.75" customHeight="1" s="157"/>
    <row r="747" ht="15.75" customHeight="1" s="157"/>
    <row r="748" ht="15.75" customHeight="1" s="157"/>
    <row r="749" ht="15.75" customHeight="1" s="157"/>
    <row r="750" ht="15.75" customHeight="1" s="157"/>
    <row r="751" ht="15.75" customHeight="1" s="157"/>
    <row r="752" ht="15.75" customHeight="1" s="157"/>
    <row r="753" ht="15.75" customHeight="1" s="157"/>
    <row r="754" ht="15.75" customHeight="1" s="157"/>
    <row r="755" ht="15.75" customHeight="1" s="157"/>
    <row r="756" ht="15.75" customHeight="1" s="157"/>
    <row r="757" ht="15.75" customHeight="1" s="157"/>
    <row r="758" ht="15.75" customHeight="1" s="157"/>
    <row r="759" ht="15.75" customHeight="1" s="157"/>
    <row r="760" ht="15.75" customHeight="1" s="157"/>
    <row r="761" ht="15.75" customHeight="1" s="157"/>
    <row r="762" ht="15.75" customHeight="1" s="157"/>
    <row r="763" ht="15.75" customHeight="1" s="157"/>
    <row r="764" ht="15.75" customHeight="1" s="157"/>
    <row r="765" ht="15.75" customHeight="1" s="157"/>
    <row r="766" ht="15.75" customHeight="1" s="157"/>
    <row r="767" ht="15.75" customHeight="1" s="157"/>
    <row r="768" ht="15.75" customHeight="1" s="157"/>
    <row r="769" ht="15.75" customHeight="1" s="157"/>
    <row r="770" ht="15.75" customHeight="1" s="157"/>
    <row r="771" ht="15.75" customHeight="1" s="157"/>
    <row r="772" ht="15.75" customHeight="1" s="157"/>
    <row r="773" ht="15.75" customHeight="1" s="157"/>
    <row r="774" ht="15.75" customHeight="1" s="157"/>
    <row r="775" ht="15.75" customHeight="1" s="157"/>
    <row r="776" ht="15.75" customHeight="1" s="157"/>
    <row r="777" ht="15.75" customHeight="1" s="157"/>
    <row r="778" ht="15.75" customHeight="1" s="157"/>
    <row r="779" ht="15.75" customHeight="1" s="157"/>
    <row r="780" ht="15.75" customHeight="1" s="157"/>
    <row r="781" ht="15.75" customHeight="1" s="157"/>
    <row r="782" ht="15.75" customHeight="1" s="157"/>
    <row r="783" ht="15.75" customHeight="1" s="157"/>
    <row r="784" ht="15.75" customHeight="1" s="157"/>
    <row r="785" ht="15.75" customHeight="1" s="157"/>
    <row r="786" ht="15.75" customHeight="1" s="157"/>
    <row r="787" ht="15.75" customHeight="1" s="157"/>
    <row r="788" ht="15.75" customHeight="1" s="157"/>
    <row r="789" ht="15.75" customHeight="1" s="157"/>
    <row r="790" ht="15.75" customHeight="1" s="157"/>
    <row r="791" ht="15.75" customHeight="1" s="157"/>
    <row r="792" ht="15.75" customHeight="1" s="157"/>
    <row r="793" ht="15.75" customHeight="1" s="157"/>
    <row r="794" ht="15.75" customHeight="1" s="157"/>
    <row r="795" ht="15.75" customHeight="1" s="157"/>
    <row r="796" ht="15.75" customHeight="1" s="157"/>
    <row r="797" ht="15.75" customHeight="1" s="157"/>
    <row r="798" ht="15.75" customHeight="1" s="157"/>
    <row r="799" ht="15.75" customHeight="1" s="157"/>
    <row r="800" ht="15.75" customHeight="1" s="157"/>
    <row r="801" ht="15.75" customHeight="1" s="157"/>
    <row r="802" ht="15.75" customHeight="1" s="157"/>
    <row r="803" ht="15.75" customHeight="1" s="157"/>
    <row r="804" ht="15.75" customHeight="1" s="157"/>
    <row r="805" ht="15.75" customHeight="1" s="157"/>
    <row r="806" ht="15.75" customHeight="1" s="157"/>
    <row r="807" ht="15.75" customHeight="1" s="157"/>
    <row r="808" ht="15.75" customHeight="1" s="157"/>
    <row r="809" ht="15.75" customHeight="1" s="157"/>
    <row r="810" ht="15.75" customHeight="1" s="157"/>
    <row r="811" ht="15.75" customHeight="1" s="157"/>
    <row r="812" ht="15.75" customHeight="1" s="157"/>
    <row r="813" ht="15.75" customHeight="1" s="157"/>
    <row r="814" ht="15.75" customHeight="1" s="157"/>
    <row r="815" ht="15.75" customHeight="1" s="157"/>
    <row r="816" ht="15.75" customHeight="1" s="157"/>
    <row r="817" ht="15.75" customHeight="1" s="157"/>
    <row r="818" ht="15.75" customHeight="1" s="157"/>
    <row r="819" ht="15.75" customHeight="1" s="157"/>
    <row r="820" ht="15.75" customHeight="1" s="157"/>
    <row r="821" ht="15.75" customHeight="1" s="157"/>
    <row r="822" ht="15.75" customHeight="1" s="157"/>
    <row r="823" ht="15.75" customHeight="1" s="157"/>
    <row r="824" ht="15.75" customHeight="1" s="157"/>
    <row r="825" ht="15.75" customHeight="1" s="157"/>
    <row r="826" ht="15.75" customHeight="1" s="157"/>
    <row r="827" ht="15.75" customHeight="1" s="157"/>
    <row r="828" ht="15.75" customHeight="1" s="157"/>
    <row r="829" ht="15.75" customHeight="1" s="157"/>
    <row r="830" ht="15.75" customHeight="1" s="157"/>
    <row r="831" ht="15.75" customHeight="1" s="157"/>
    <row r="832" ht="15.75" customHeight="1" s="157"/>
    <row r="833" ht="15.75" customHeight="1" s="157"/>
    <row r="834" ht="15.75" customHeight="1" s="157"/>
    <row r="835" ht="15.75" customHeight="1" s="157"/>
    <row r="836" ht="15.75" customHeight="1" s="157"/>
    <row r="837" ht="15.75" customHeight="1" s="157"/>
    <row r="838" ht="15.75" customHeight="1" s="157"/>
    <row r="839" ht="15.75" customHeight="1" s="157"/>
    <row r="840" ht="15.75" customHeight="1" s="157"/>
    <row r="841" ht="15.75" customHeight="1" s="157"/>
    <row r="842" ht="15.75" customHeight="1" s="157"/>
    <row r="843" ht="15.75" customHeight="1" s="157"/>
    <row r="844" ht="15.75" customHeight="1" s="157"/>
    <row r="845" ht="15.75" customHeight="1" s="157"/>
    <row r="846" ht="15.75" customHeight="1" s="157"/>
    <row r="847" ht="15.75" customHeight="1" s="157"/>
    <row r="848" ht="15.75" customHeight="1" s="157"/>
    <row r="849" ht="15.75" customHeight="1" s="157"/>
    <row r="850" ht="15.75" customHeight="1" s="157"/>
    <row r="851" ht="15.75" customHeight="1" s="157"/>
    <row r="852" ht="15.75" customHeight="1" s="157"/>
    <row r="853" ht="15.75" customHeight="1" s="157"/>
    <row r="854" ht="15.75" customHeight="1" s="157"/>
    <row r="855" ht="15.75" customHeight="1" s="157"/>
    <row r="856" ht="15.75" customHeight="1" s="157"/>
    <row r="857" ht="15.75" customHeight="1" s="157"/>
    <row r="858" ht="15.75" customHeight="1" s="157"/>
    <row r="859" ht="15.75" customHeight="1" s="157"/>
    <row r="860" ht="15.75" customHeight="1" s="157"/>
    <row r="861" ht="15.75" customHeight="1" s="157"/>
    <row r="862" ht="15.75" customHeight="1" s="157"/>
    <row r="863" ht="15.75" customHeight="1" s="157"/>
    <row r="864" ht="15.75" customHeight="1" s="157"/>
    <row r="865" ht="15.75" customHeight="1" s="157"/>
    <row r="866" ht="15.75" customHeight="1" s="157"/>
    <row r="867" ht="15.75" customHeight="1" s="157"/>
    <row r="868" ht="15.75" customHeight="1" s="157"/>
    <row r="869" ht="15.75" customHeight="1" s="157"/>
    <row r="870" ht="15.75" customHeight="1" s="157"/>
    <row r="871" ht="15.75" customHeight="1" s="157"/>
    <row r="872" ht="15.75" customHeight="1" s="157"/>
    <row r="873" ht="15.75" customHeight="1" s="157"/>
    <row r="874" ht="15.75" customHeight="1" s="157"/>
    <row r="875" ht="15.75" customHeight="1" s="157"/>
    <row r="876" ht="15.75" customHeight="1" s="157"/>
    <row r="877" ht="15.75" customHeight="1" s="157"/>
    <row r="878" ht="15.75" customHeight="1" s="157"/>
    <row r="879" ht="15.75" customHeight="1" s="157"/>
    <row r="880" ht="15.75" customHeight="1" s="157"/>
    <row r="881" ht="15.75" customHeight="1" s="157"/>
    <row r="882" ht="15.75" customHeight="1" s="157"/>
    <row r="883" ht="15.75" customHeight="1" s="157"/>
    <row r="884" ht="15.75" customHeight="1" s="157"/>
    <row r="885" ht="15.75" customHeight="1" s="157"/>
    <row r="886" ht="15.75" customHeight="1" s="157"/>
    <row r="887" ht="15.75" customHeight="1" s="157"/>
    <row r="888" ht="15.75" customHeight="1" s="157"/>
    <row r="889" ht="15.75" customHeight="1" s="157"/>
    <row r="890" ht="15.75" customHeight="1" s="157"/>
    <row r="891" ht="15.75" customHeight="1" s="157"/>
    <row r="892" ht="15.75" customHeight="1" s="157"/>
    <row r="893" ht="15.75" customHeight="1" s="157"/>
    <row r="894" ht="15.75" customHeight="1" s="157"/>
    <row r="895" ht="15.75" customHeight="1" s="157"/>
    <row r="896" ht="15.75" customHeight="1" s="157"/>
    <row r="897" ht="15.75" customHeight="1" s="157"/>
    <row r="898" ht="15.75" customHeight="1" s="157"/>
    <row r="899" ht="15.75" customHeight="1" s="157"/>
    <row r="900" ht="15.75" customHeight="1" s="157"/>
    <row r="901" ht="15.75" customHeight="1" s="157"/>
    <row r="902" ht="15.75" customHeight="1" s="157"/>
    <row r="903" ht="15.75" customHeight="1" s="157"/>
    <row r="904" ht="15.75" customHeight="1" s="157"/>
    <row r="905" ht="15.75" customHeight="1" s="157"/>
    <row r="906" ht="15.75" customHeight="1" s="157"/>
    <row r="907" ht="15.75" customHeight="1" s="157"/>
    <row r="908" ht="15.75" customHeight="1" s="157"/>
    <row r="909" ht="15.75" customHeight="1" s="157"/>
    <row r="910" ht="15.75" customHeight="1" s="157"/>
    <row r="911" ht="15.75" customHeight="1" s="157"/>
    <row r="912" ht="15.75" customHeight="1" s="157"/>
    <row r="913" ht="15.75" customHeight="1" s="157"/>
    <row r="914" ht="15.75" customHeight="1" s="157"/>
    <row r="915" ht="15.75" customHeight="1" s="157"/>
    <row r="916" ht="15.75" customHeight="1" s="157"/>
    <row r="917" ht="15.75" customHeight="1" s="157"/>
    <row r="918" ht="15.75" customHeight="1" s="157"/>
    <row r="919" ht="15.75" customHeight="1" s="157"/>
    <row r="920" ht="15.75" customHeight="1" s="157"/>
    <row r="921" ht="15.75" customHeight="1" s="157"/>
    <row r="922" ht="15.75" customHeight="1" s="157"/>
    <row r="923" ht="15.75" customHeight="1" s="157"/>
    <row r="924" ht="15.75" customHeight="1" s="157"/>
    <row r="925" ht="15.75" customHeight="1" s="157"/>
    <row r="926" ht="15.75" customHeight="1" s="157"/>
    <row r="927" ht="15.75" customHeight="1" s="157"/>
    <row r="928" ht="15.75" customHeight="1" s="157"/>
    <row r="929" ht="15.75" customHeight="1" s="157"/>
    <row r="930" ht="15.75" customHeight="1" s="157"/>
    <row r="931" ht="15.75" customHeight="1" s="157"/>
    <row r="932" ht="15.75" customHeight="1" s="157"/>
    <row r="933" ht="15.75" customHeight="1" s="157"/>
    <row r="934" ht="15.75" customHeight="1" s="157"/>
    <row r="935" ht="15.75" customHeight="1" s="157"/>
    <row r="936" ht="15.75" customHeight="1" s="157"/>
    <row r="937" ht="15.75" customHeight="1" s="157"/>
    <row r="938" ht="15.75" customHeight="1" s="157"/>
    <row r="939" ht="15.75" customHeight="1" s="157"/>
    <row r="940" ht="15.75" customHeight="1" s="157"/>
    <row r="941" ht="15.75" customHeight="1" s="157"/>
    <row r="942" ht="15.75" customHeight="1" s="157"/>
    <row r="943" ht="15.75" customHeight="1" s="157"/>
    <row r="944" ht="15.75" customHeight="1" s="157"/>
    <row r="945" ht="15.75" customHeight="1" s="157"/>
    <row r="946" ht="15.75" customHeight="1" s="157"/>
    <row r="947" ht="15.75" customHeight="1" s="157"/>
    <row r="948" ht="15.75" customHeight="1" s="157"/>
    <row r="949" ht="15.75" customHeight="1" s="157"/>
    <row r="950" ht="15.75" customHeight="1" s="157"/>
    <row r="951" ht="15.75" customHeight="1" s="157"/>
    <row r="952" ht="15.75" customHeight="1" s="157"/>
    <row r="953" ht="15.75" customHeight="1" s="157"/>
    <row r="954" ht="15.75" customHeight="1" s="157"/>
    <row r="955" ht="15.75" customHeight="1" s="157"/>
    <row r="956" ht="15.75" customHeight="1" s="157"/>
    <row r="957" ht="15.75" customHeight="1" s="157"/>
    <row r="958" ht="15.75" customHeight="1" s="157"/>
    <row r="959" ht="15.75" customHeight="1" s="157"/>
    <row r="960" ht="15.75" customHeight="1" s="157"/>
    <row r="961" ht="15.75" customHeight="1" s="157"/>
    <row r="962" ht="15.75" customHeight="1" s="157"/>
    <row r="963" ht="15.75" customHeight="1" s="157"/>
    <row r="964" ht="15.75" customHeight="1" s="157"/>
    <row r="965" ht="15.75" customHeight="1" s="157"/>
    <row r="966" ht="15.75" customHeight="1" s="157"/>
    <row r="967" ht="15.75" customHeight="1" s="157"/>
    <row r="968" ht="15.75" customHeight="1" s="157"/>
    <row r="969" ht="15.75" customHeight="1" s="157"/>
    <row r="970" ht="15.75" customHeight="1" s="157"/>
    <row r="971" ht="15.75" customHeight="1" s="157"/>
    <row r="972" ht="15.75" customHeight="1" s="157"/>
    <row r="973" ht="15.75" customHeight="1" s="157"/>
    <row r="974" ht="15.75" customHeight="1" s="157"/>
    <row r="975" ht="15.75" customHeight="1" s="157"/>
    <row r="976" ht="15.75" customHeight="1" s="157"/>
    <row r="977" ht="15.75" customHeight="1" s="157"/>
    <row r="978" ht="15.75" customHeight="1" s="157"/>
    <row r="979" ht="15.75" customHeight="1" s="157"/>
    <row r="980" ht="15.75" customHeight="1" s="157"/>
    <row r="981" ht="15.75" customHeight="1" s="157"/>
    <row r="982" ht="15.75" customHeight="1" s="157"/>
    <row r="983" ht="15.75" customHeight="1" s="157"/>
    <row r="984" ht="15.75" customHeight="1" s="157"/>
    <row r="985" ht="15.75" customHeight="1" s="157"/>
    <row r="986" ht="15.75" customHeight="1" s="157"/>
    <row r="987" ht="15.75" customHeight="1" s="157"/>
    <row r="988" ht="15.75" customHeight="1" s="157"/>
    <row r="989" ht="15.75" customHeight="1" s="157"/>
    <row r="990" ht="15.75" customHeight="1" s="157"/>
    <row r="991" ht="15.75" customHeight="1" s="157"/>
    <row r="992" ht="15.75" customHeight="1" s="157"/>
    <row r="993" ht="15.75" customHeight="1" s="157"/>
    <row r="994" ht="15.75" customHeight="1" s="157"/>
    <row r="995" ht="15.75" customHeight="1" s="157"/>
    <row r="996" ht="15.75" customHeight="1" s="157"/>
    <row r="997" ht="15.75" customHeight="1" s="157"/>
    <row r="998" ht="15.75" customHeight="1" s="157"/>
  </sheetData>
  <mergeCells count="5">
    <mergeCell ref="A11:F11"/>
    <mergeCell ref="A2:B5"/>
    <mergeCell ref="F3:F4"/>
    <mergeCell ref="C2:E5"/>
    <mergeCell ref="B6:J6"/>
  </mergeCells>
  <dataValidations count="1">
    <dataValidation sqref="E13:F13 E14 E18:F80" showDropDown="0" showInputMessage="1" showErrorMessage="1" allowBlank="1" prompt="Sólo se admiten números" type="decimal">
      <formula1>0</formula1>
      <formula2>1E+21</formula2>
    </dataValidation>
  </dataValidations>
  <pageMargins left="0.078740157480315" right="0.7086614173228351" top="1.37795275590551" bottom="1.18110236220472" header="0" footer="0"/>
  <pageSetup orientation="landscape" fitToHeight="0"/>
  <headerFooter>
    <oddHeader/>
    <oddFooter>&amp;LF-DE-012 V3&amp;R 15/07/2024</oddFooter>
    <evenHeader/>
    <evenFooter/>
    <firstHeader/>
    <firstFooter/>
  </headerFooter>
  <drawing xmlns:r="http://schemas.openxmlformats.org/officeDocument/2006/relationships" r:id="rId1"/>
</worksheet>
</file>

<file path=xl/worksheets/sheet5.xml><?xml version="1.0" encoding="utf-8"?>
<worksheet xmlns="http://schemas.openxmlformats.org/spreadsheetml/2006/main">
  <sheetPr>
    <outlinePr summaryBelow="0" summaryRight="0"/>
    <pageSetUpPr/>
  </sheetPr>
  <dimension ref="A1:B1"/>
  <sheetViews>
    <sheetView workbookViewId="0">
      <selection activeCell="A1" sqref="A1"/>
    </sheetView>
  </sheetViews>
  <sheetFormatPr baseColWidth="8" defaultColWidth="14.453125" defaultRowHeight="15" customHeight="1"/>
  <cols>
    <col width="22" customWidth="1" style="157" min="1" max="1"/>
  </cols>
  <sheetData>
    <row r="1" ht="15" customHeight="1" s="157">
      <c r="A1" s="93" t="inlineStr">
        <is>
          <t>Nombre de proyecto</t>
        </is>
      </c>
      <c r="B1" s="93" t="inlineStr">
        <is>
          <t xml:space="preserve">Capacidad Instalada </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B4:V44"/>
  <sheetViews>
    <sheetView workbookViewId="0">
      <selection activeCell="A1" sqref="A1"/>
    </sheetView>
  </sheetViews>
  <sheetFormatPr baseColWidth="8" defaultColWidth="14.453125" defaultRowHeight="15" customHeight="1"/>
  <cols>
    <col width="15.54296875" customWidth="1" style="157" min="1" max="1"/>
    <col width="31.54296875" customWidth="1" style="157" min="2" max="2"/>
    <col width="12.54296875" customWidth="1" style="157" min="3" max="3"/>
    <col width="45.54296875" customWidth="1" style="157" min="4" max="4"/>
    <col width="11.54296875" customWidth="1" style="157" min="5" max="5"/>
    <col width="45.54296875" customWidth="1" style="157" min="6" max="6"/>
    <col width="11.54296875" customWidth="1" style="157" min="7" max="7"/>
    <col width="32.54296875" customWidth="1" style="157" min="8" max="8"/>
    <col width="26.453125" customWidth="1" style="157" min="9" max="9"/>
    <col width="59.54296875" customWidth="1" style="157" min="10" max="10"/>
    <col width="11.54296875" customWidth="1" style="157" min="11" max="22"/>
  </cols>
  <sheetData>
    <row r="4" ht="14.5" customHeight="1" s="157">
      <c r="B4" s="94" t="inlineStr">
        <is>
          <t>Rol Solicitante principal</t>
        </is>
      </c>
      <c r="D4" s="94" t="inlineStr">
        <is>
          <t>Rol Solicitante secundario</t>
        </is>
      </c>
      <c r="F4" s="94" t="inlineStr">
        <is>
          <t xml:space="preserve">Recurso Energético - Tipo de FNCE Biomasa </t>
        </is>
      </c>
      <c r="H4" s="94" t="inlineStr">
        <is>
          <t xml:space="preserve">Tecnología - Tipo de FNCE Biomasa </t>
        </is>
      </c>
      <c r="J4" s="94" t="inlineStr">
        <is>
          <t>Departamentos</t>
        </is>
      </c>
    </row>
    <row r="5" ht="14.5" customHeight="1" s="157">
      <c r="B5" s="95" t="inlineStr">
        <is>
          <t>Dueño del proyecto</t>
        </is>
      </c>
      <c r="D5" s="95" t="inlineStr">
        <is>
          <t>Entidad Bancaria</t>
        </is>
      </c>
      <c r="F5" s="95" t="inlineStr">
        <is>
          <t>Bagazo</t>
        </is>
      </c>
      <c r="H5" s="95" t="inlineStr">
        <is>
          <t>Biogás</t>
        </is>
      </c>
      <c r="J5" s="96" t="n"/>
    </row>
    <row r="6" ht="14.5" customHeight="1" s="157">
      <c r="D6" s="95" t="inlineStr">
        <is>
          <t>Instalador</t>
        </is>
      </c>
      <c r="F6" s="95" t="inlineStr">
        <is>
          <t>Biogás</t>
        </is>
      </c>
      <c r="H6" s="95" t="inlineStr">
        <is>
          <t>Gasificación</t>
        </is>
      </c>
      <c r="J6" s="95" t="inlineStr">
        <is>
          <t>AMAZONAS</t>
        </is>
      </c>
    </row>
    <row r="7" ht="14.5" customHeight="1" s="157">
      <c r="D7" s="95" t="inlineStr">
        <is>
          <t>Importador</t>
        </is>
      </c>
      <c r="F7" s="95" t="inlineStr">
        <is>
          <t>Calor Residual</t>
        </is>
      </c>
      <c r="H7" s="95" t="inlineStr">
        <is>
          <t>Pirolización</t>
        </is>
      </c>
      <c r="J7" s="95" t="inlineStr">
        <is>
          <t>ANTIOQUIA</t>
        </is>
      </c>
    </row>
    <row r="8" ht="14.5" customHeight="1" s="157">
      <c r="D8" s="95" t="inlineStr">
        <is>
          <t>Otro</t>
        </is>
      </c>
      <c r="F8" s="95" t="inlineStr">
        <is>
          <t>Repoblaciones Residuales Energéticas</t>
        </is>
      </c>
      <c r="H8" s="95" t="inlineStr">
        <is>
          <t>Cultivos_energéticos</t>
        </is>
      </c>
      <c r="J8" s="95" t="inlineStr">
        <is>
          <t>ARAUCA</t>
        </is>
      </c>
    </row>
    <row r="9" ht="14.5" customHeight="1" s="157">
      <c r="F9" s="95" t="inlineStr">
        <is>
          <t>Residuos Agrícolas (desechos de los cultivos)</t>
        </is>
      </c>
      <c r="H9" s="95" t="inlineStr">
        <is>
          <t>Generación_cogeneración</t>
        </is>
      </c>
      <c r="J9" s="95" t="inlineStr">
        <is>
          <t>ARCHIPIELAGO DE SAN ANDRES PROVIDENCIA Y SANTA CATALINA</t>
        </is>
      </c>
    </row>
    <row r="10" ht="14.5" customHeight="1" s="157">
      <c r="B10" s="94" t="inlineStr">
        <is>
          <t>Tipo de Generador</t>
        </is>
      </c>
      <c r="F10" s="95" t="inlineStr">
        <is>
          <t>Residuos Pecuarios (excremento de los animales)</t>
        </is>
      </c>
      <c r="J10" s="95" t="inlineStr">
        <is>
          <t>ATLANTICO</t>
        </is>
      </c>
    </row>
    <row r="11" ht="14.5" customHeight="1" s="157">
      <c r="B11" s="95" t="inlineStr">
        <is>
          <t>Autogenerador</t>
        </is>
      </c>
      <c r="D11" s="94" t="inlineStr">
        <is>
          <t>Niveles de tensión</t>
        </is>
      </c>
      <c r="F11" s="95" t="inlineStr">
        <is>
          <t>Residuos Sólidos Urbanos (orgánicos)</t>
        </is>
      </c>
      <c r="H11" s="97" t="n"/>
      <c r="J11" s="95" t="inlineStr">
        <is>
          <t>BOGOTA D.C.</t>
        </is>
      </c>
    </row>
    <row r="12" ht="14.5" customHeight="1" s="157">
      <c r="B12" s="95" t="inlineStr">
        <is>
          <t>Cogenerador</t>
        </is>
      </c>
      <c r="D12" s="98" t="inlineStr">
        <is>
          <t>Mayor o igual a 220 kV.</t>
        </is>
      </c>
      <c r="F12" s="95" t="inlineStr">
        <is>
          <t>Sistemas de Acopio de Biomasa</t>
        </is>
      </c>
      <c r="H12" s="94" t="n"/>
      <c r="J12" s="95" t="inlineStr">
        <is>
          <t>BOLÍVAR</t>
        </is>
      </c>
    </row>
    <row r="13" ht="14.5" customHeight="1" s="157">
      <c r="B13" s="95" t="inlineStr">
        <is>
          <t>Generador</t>
        </is>
      </c>
      <c r="D13" s="31" t="inlineStr">
        <is>
          <t>Nivel 4: mayor o igual a 57.5 kV y menor a 220 kV.</t>
        </is>
      </c>
      <c r="F13" s="95" t="inlineStr">
        <is>
          <t>Otro</t>
        </is>
      </c>
      <c r="H13" s="95" t="n"/>
      <c r="J13" s="95" t="inlineStr">
        <is>
          <t>BOYACÁ</t>
        </is>
      </c>
    </row>
    <row r="14" ht="14.5" customHeight="1" s="157">
      <c r="D14" s="31" t="inlineStr">
        <is>
          <t>Nivel 3: mayor o igual a 30 kV y menor a 57.5 kV.</t>
        </is>
      </c>
      <c r="F14" s="97" t="n"/>
      <c r="J14" s="95" t="inlineStr">
        <is>
          <t>CALDAS</t>
        </is>
      </c>
    </row>
    <row r="15" ht="14.5" customHeight="1" s="157">
      <c r="B15" s="97" t="n"/>
      <c r="D15" s="31" t="inlineStr">
        <is>
          <t>Nivel 2: mayor o igual a 1 kV y menor a 30 kV.</t>
        </is>
      </c>
      <c r="F15" s="94" t="n"/>
      <c r="H15" s="97" t="n"/>
      <c r="J15" s="95" t="inlineStr">
        <is>
          <t>CAQUETÁ</t>
        </is>
      </c>
    </row>
    <row r="16" ht="14.5" customHeight="1" s="157">
      <c r="D16" s="31" t="inlineStr">
        <is>
          <t>Nivel 1: menor a 1 kV.</t>
        </is>
      </c>
      <c r="F16" s="95" t="n"/>
      <c r="H16" s="94" t="inlineStr">
        <is>
          <t>Tecnología - Tipo de FNCE Eólica</t>
        </is>
      </c>
      <c r="J16" s="95" t="inlineStr">
        <is>
          <t>CASANARE</t>
        </is>
      </c>
    </row>
    <row r="17" ht="14.5" customHeight="1" s="157">
      <c r="H17" s="95" t="inlineStr">
        <is>
          <t>Eólica</t>
        </is>
      </c>
      <c r="J17" s="95" t="inlineStr">
        <is>
          <t>CAUCA</t>
        </is>
      </c>
    </row>
    <row r="18" ht="14.5" customHeight="1" s="157">
      <c r="B18" s="94" t="inlineStr">
        <is>
          <t>Tipo de FNCE (Ley 1715 de 2014)</t>
        </is>
      </c>
      <c r="F18" s="97" t="n"/>
      <c r="H18" s="95" t="n"/>
      <c r="J18" s="95" t="inlineStr">
        <is>
          <t>CESAR</t>
        </is>
      </c>
    </row>
    <row r="19" ht="14.5" customHeight="1" s="157">
      <c r="B19" s="95" t="inlineStr">
        <is>
          <t>Biomasa</t>
        </is>
      </c>
      <c r="D19" s="94" t="inlineStr">
        <is>
          <t>Tipo de FNCE</t>
        </is>
      </c>
      <c r="F19" s="94" t="inlineStr">
        <is>
          <t>Recurso Energético - Tipo de FNCE Eólica</t>
        </is>
      </c>
      <c r="J19" s="95" t="inlineStr">
        <is>
          <t>CHOCÓ</t>
        </is>
      </c>
    </row>
    <row r="20" ht="14.5" customHeight="1" s="157">
      <c r="B20" s="95" t="inlineStr">
        <is>
          <t>Eólica</t>
        </is>
      </c>
      <c r="D20" s="95" t="inlineStr">
        <is>
          <t>Biomasa</t>
        </is>
      </c>
      <c r="F20" s="95" t="inlineStr">
        <is>
          <t>Viento</t>
        </is>
      </c>
      <c r="H20" s="97" t="n"/>
      <c r="J20" s="95" t="inlineStr">
        <is>
          <t>CÓRDOBA</t>
        </is>
      </c>
    </row>
    <row r="21" ht="15.75" customHeight="1" s="157">
      <c r="B21" s="95" t="inlineStr">
        <is>
          <t>Geotérmica</t>
        </is>
      </c>
      <c r="D21" s="95" t="inlineStr">
        <is>
          <t>Eólica</t>
        </is>
      </c>
      <c r="H21" s="94" t="inlineStr">
        <is>
          <t>Tecnología - Tipo de FNCE Geotérmica</t>
        </is>
      </c>
      <c r="J21" s="95" t="inlineStr">
        <is>
          <t>CUNDINAMARCA</t>
        </is>
      </c>
    </row>
    <row r="22" ht="15.75" customHeight="1" s="157">
      <c r="B22" s="95" t="inlineStr">
        <is>
          <t>PCH</t>
        </is>
      </c>
      <c r="D22" s="95" t="inlineStr">
        <is>
          <t>Geotérmica</t>
        </is>
      </c>
      <c r="F22" s="97" t="n"/>
      <c r="H22" s="95" t="inlineStr">
        <is>
          <t>Central_de_vapor_seco</t>
        </is>
      </c>
      <c r="J22" s="95" t="inlineStr">
        <is>
          <t>GUAINÍA</t>
        </is>
      </c>
    </row>
    <row r="23" ht="15.75" customHeight="1" s="157">
      <c r="B23" s="95" t="inlineStr">
        <is>
          <t>Solar</t>
        </is>
      </c>
      <c r="D23" s="95" t="inlineStr">
        <is>
          <t>PCH</t>
        </is>
      </c>
      <c r="F23" s="94" t="inlineStr">
        <is>
          <t>Recurso Energético - Tipo de FNCE Geotérmica</t>
        </is>
      </c>
      <c r="H23" s="95" t="inlineStr">
        <is>
          <t>Central_flash</t>
        </is>
      </c>
      <c r="J23" s="95" t="inlineStr">
        <is>
          <t>GUAVIARE</t>
        </is>
      </c>
    </row>
    <row r="24" ht="15.75" customHeight="1" s="157">
      <c r="D24" s="95" t="inlineStr">
        <is>
          <t>Solar</t>
        </is>
      </c>
      <c r="F24" s="95" t="inlineStr">
        <is>
          <t>Vapor</t>
        </is>
      </c>
      <c r="H24" s="95" t="inlineStr">
        <is>
          <t>Central_de_ciclo_binario</t>
        </is>
      </c>
      <c r="J24" s="95" t="inlineStr">
        <is>
          <t>HUILA</t>
        </is>
      </c>
    </row>
    <row r="25" ht="15.75" customHeight="1" s="157">
      <c r="H25" s="95" t="n"/>
      <c r="J25" s="95" t="inlineStr">
        <is>
          <t>LA GUAJIRA</t>
        </is>
      </c>
    </row>
    <row r="26" ht="15.75" customHeight="1" s="157">
      <c r="B26" s="99">
        <f>CONCATENATE("TEC_",'FORMATO 2'!$F$20)</f>
        <v/>
      </c>
      <c r="F26" s="97" t="n"/>
      <c r="J26" s="95" t="inlineStr">
        <is>
          <t>MAGDALENA</t>
        </is>
      </c>
    </row>
    <row r="27" ht="15.75" customHeight="1" s="157">
      <c r="B27" s="99">
        <f>CONCATENATE("REC_",'FORMATO 2'!$F$20)</f>
        <v/>
      </c>
      <c r="F27" s="94" t="inlineStr">
        <is>
          <t>Recurso Energético - Tipo de FNCE PCH</t>
        </is>
      </c>
      <c r="H27" s="97" t="n"/>
      <c r="J27" s="95" t="inlineStr">
        <is>
          <t>META</t>
        </is>
      </c>
    </row>
    <row r="28" ht="15.75" customHeight="1" s="157">
      <c r="D28" s="94" t="inlineStr">
        <is>
          <t>Sector</t>
        </is>
      </c>
      <c r="F28" s="95" t="inlineStr">
        <is>
          <t xml:space="preserve">Agua </t>
        </is>
      </c>
      <c r="H28" s="94" t="inlineStr">
        <is>
          <t>Tecnología - Tipo de FNCE PCH</t>
        </is>
      </c>
      <c r="J28" s="95" t="inlineStr">
        <is>
          <t>NARIÑO</t>
        </is>
      </c>
    </row>
    <row r="29" ht="15.75" customHeight="1" s="157">
      <c r="D29" s="100" t="inlineStr">
        <is>
          <t>Residencial</t>
        </is>
      </c>
      <c r="H29" s="95" t="inlineStr">
        <is>
          <t>Hidráulica</t>
        </is>
      </c>
      <c r="J29" s="95" t="inlineStr">
        <is>
          <t>NORTE DE SANTANDER</t>
        </is>
      </c>
    </row>
    <row r="30" ht="15.75" customHeight="1" s="157">
      <c r="D30" s="100" t="inlineStr">
        <is>
          <t>Industrial</t>
        </is>
      </c>
      <c r="F30" s="97" t="n"/>
      <c r="H30" s="95" t="inlineStr">
        <is>
          <t>Hidrocinética</t>
        </is>
      </c>
      <c r="J30" s="95" t="inlineStr">
        <is>
          <t>PUTUMAYO</t>
        </is>
      </c>
    </row>
    <row r="31" ht="15.75" customHeight="1" s="157">
      <c r="D31" s="100" t="inlineStr">
        <is>
          <t>Transporte</t>
        </is>
      </c>
      <c r="F31" s="94" t="inlineStr">
        <is>
          <t>Recurso Energético - Tipo de FNCE Solar</t>
        </is>
      </c>
      <c r="H31" s="95" t="n"/>
      <c r="J31" s="95" t="inlineStr">
        <is>
          <t>QUINDIO</t>
        </is>
      </c>
    </row>
    <row r="32" ht="15.75" customHeight="1" s="157">
      <c r="D32" s="100" t="inlineStr">
        <is>
          <t>Terciario (comercial, público y de servicios)</t>
        </is>
      </c>
      <c r="F32" s="95" t="inlineStr">
        <is>
          <t>Sol</t>
        </is>
      </c>
      <c r="J32" s="95" t="inlineStr">
        <is>
          <t>RISARALDA</t>
        </is>
      </c>
    </row>
    <row r="33" ht="15.75" customHeight="1" s="157">
      <c r="D33" s="100" t="inlineStr">
        <is>
          <t>Generación eléctrica</t>
        </is>
      </c>
      <c r="H33" s="97" t="n"/>
      <c r="J33" s="95" t="inlineStr">
        <is>
          <t>SANTANDER</t>
        </is>
      </c>
    </row>
    <row r="34" ht="15.75" customHeight="1" s="157">
      <c r="H34" s="94" t="inlineStr">
        <is>
          <t>Tecnología - Tipo de FNCE Solar</t>
        </is>
      </c>
      <c r="J34" s="95" t="inlineStr">
        <is>
          <t>SUCRE</t>
        </is>
      </c>
    </row>
    <row r="35" ht="15.75" customHeight="1" s="157">
      <c r="F35" s="94" t="inlineStr">
        <is>
          <t>Selección</t>
        </is>
      </c>
      <c r="H35" s="95" t="inlineStr">
        <is>
          <t>Fotovoltaica</t>
        </is>
      </c>
      <c r="J35" s="95" t="inlineStr">
        <is>
          <t>TOLIMA</t>
        </is>
      </c>
    </row>
    <row r="36" ht="15.75" customHeight="1" s="157">
      <c r="D36" s="94" t="inlineStr">
        <is>
          <t>Unidad de Medida</t>
        </is>
      </c>
      <c r="F36" s="95" t="n"/>
      <c r="J36" s="95" t="inlineStr">
        <is>
          <t>VALLE DEL CAUCA</t>
        </is>
      </c>
    </row>
    <row r="37" ht="15.75" customHeight="1" s="157">
      <c r="D37" s="95" t="n"/>
      <c r="F37" s="95" t="inlineStr">
        <is>
          <t>X</t>
        </is>
      </c>
      <c r="J37" s="95" t="inlineStr">
        <is>
          <t>VAUPÉS</t>
        </is>
      </c>
    </row>
    <row r="38" ht="15.75" customHeight="1" s="157">
      <c r="D38" s="100" t="inlineStr">
        <is>
          <t>metros</t>
        </is>
      </c>
      <c r="J38" s="95" t="inlineStr">
        <is>
          <t>VICHADA</t>
        </is>
      </c>
    </row>
    <row r="39" ht="15.75" customHeight="1" s="157">
      <c r="D39" s="100" t="inlineStr">
        <is>
          <t>unidad</t>
        </is>
      </c>
      <c r="F39" s="99">
        <f t="array" ref="F39:V39">'FORMATO 2'!F20:V20</f>
        <v/>
      </c>
      <c r="G39" s="99" t="n">
        <v>0</v>
      </c>
      <c r="H39" s="99" t="n">
        <v>0</v>
      </c>
      <c r="I39" s="99" t="n">
        <v>0</v>
      </c>
      <c r="J39" s="99" t="n">
        <v>0</v>
      </c>
      <c r="K39" s="99" t="n">
        <v>0</v>
      </c>
      <c r="L39" s="99" t="n">
        <v>0</v>
      </c>
      <c r="M39" s="99" t="n">
        <v>0</v>
      </c>
      <c r="N39" s="99" t="n">
        <v>0</v>
      </c>
      <c r="O39" s="99" t="n">
        <v>0</v>
      </c>
      <c r="P39" s="99" t="n">
        <v>0</v>
      </c>
      <c r="Q39" s="99" t="n">
        <v>0</v>
      </c>
      <c r="R39" s="99" t="n">
        <v>0</v>
      </c>
      <c r="S39" s="99" t="n">
        <v>0</v>
      </c>
      <c r="T39" s="99" t="n">
        <v>0</v>
      </c>
      <c r="U39" s="99" t="n">
        <v>0</v>
      </c>
      <c r="V39" s="99" t="n">
        <v>0</v>
      </c>
    </row>
    <row r="40" ht="15.75" customHeight="1" s="157">
      <c r="D40" s="100" t="inlineStr">
        <is>
          <t>unidades</t>
        </is>
      </c>
    </row>
    <row r="41" ht="15.75" customHeight="1" s="157">
      <c r="D41" s="100" t="inlineStr">
        <is>
          <t>Kilogramos</t>
        </is>
      </c>
    </row>
    <row r="42" ht="15.75" customHeight="1" s="157">
      <c r="D42" s="100" t="n"/>
    </row>
    <row r="43" ht="15.75" customHeight="1" s="157"/>
    <row r="44" ht="15.75" customHeight="1" s="157">
      <c r="F44" s="99">
        <f t="array" ref="F44">IF(G12=Listas!$B$20,tecbio,IF(G12=Listas!$B$21,Listas!H$13:H$14,IF(G12=Listas!$B$22,teceol,IF(G12=Listas!$B$23,tecgeo,IF(G12=Listas!$B$24,tecpch,IF(G12=Listas!$B$25,tecsol,"Seleccionar tipo de tecnología"))))))</f>
        <v/>
      </c>
    </row>
    <row r="45" ht="15.75" customHeight="1" s="157"/>
    <row r="46" ht="15.75" customHeight="1" s="157"/>
    <row r="47" ht="15.75" customHeight="1" s="157"/>
    <row r="48" ht="15.75" customHeight="1" s="157"/>
    <row r="49" ht="15.75" customHeight="1" s="157"/>
    <row r="50" ht="15.75" customHeight="1" s="157"/>
    <row r="51" ht="15.75" customHeight="1" s="157"/>
    <row r="52" ht="15.75" customHeight="1" s="157"/>
    <row r="53" ht="15.75" customHeight="1" s="157"/>
    <row r="54" ht="15.75" customHeight="1" s="157"/>
    <row r="55" ht="15.75" customHeight="1" s="157"/>
    <row r="56" ht="15.75" customHeight="1" s="157"/>
    <row r="57" ht="15.75" customHeight="1" s="157"/>
    <row r="58" ht="15.75" customHeight="1" s="157"/>
    <row r="59" ht="15.75" customHeight="1" s="157"/>
    <row r="60" ht="15.75" customHeight="1" s="157"/>
    <row r="61" ht="15.75" customHeight="1" s="157"/>
    <row r="62" ht="15.75" customHeight="1" s="157"/>
    <row r="63" ht="15.75" customHeight="1" s="157"/>
    <row r="64" ht="15.75" customHeight="1" s="157"/>
    <row r="65" ht="15.75" customHeight="1" s="157"/>
    <row r="66" ht="15.75" customHeight="1" s="157"/>
    <row r="67" ht="15.75" customHeight="1" s="157"/>
    <row r="68" ht="15.75" customHeight="1" s="157"/>
    <row r="69" ht="15.75" customHeight="1" s="157"/>
    <row r="70" ht="15.75" customHeight="1" s="157"/>
    <row r="71" ht="15.75" customHeight="1" s="157"/>
    <row r="72" ht="15.75" customHeight="1" s="157"/>
    <row r="73" ht="15.75" customHeight="1" s="157"/>
    <row r="74" ht="15.75" customHeight="1" s="157"/>
    <row r="75" ht="15.75" customHeight="1" s="157"/>
    <row r="76" ht="15.75" customHeight="1" s="157"/>
    <row r="77" ht="15.75" customHeight="1" s="157"/>
    <row r="78" ht="15.75" customHeight="1" s="157"/>
    <row r="79" ht="15.75" customHeight="1" s="157"/>
    <row r="80" ht="15.75" customHeight="1" s="157"/>
    <row r="81" ht="15.75" customHeight="1" s="157"/>
    <row r="82" ht="15.75" customHeight="1" s="157"/>
    <row r="83" ht="15.75" customHeight="1" s="157"/>
    <row r="84" ht="15.75" customHeight="1" s="157"/>
    <row r="85" ht="15.75" customHeight="1" s="157"/>
    <row r="86" ht="15.75" customHeight="1" s="157"/>
    <row r="87" ht="15.75" customHeight="1" s="157"/>
    <row r="88" ht="15.75" customHeight="1" s="157"/>
    <row r="89" ht="15.75" customHeight="1" s="157"/>
    <row r="90" ht="15.75" customHeight="1" s="157"/>
    <row r="91" ht="15.75" customHeight="1" s="157"/>
    <row r="92" ht="15.75" customHeight="1" s="157"/>
    <row r="93" ht="15.75" customHeight="1" s="157"/>
    <row r="94" ht="15.75" customHeight="1" s="157"/>
    <row r="95" ht="15.75" customHeight="1" s="157"/>
    <row r="96" ht="15.75" customHeight="1" s="157"/>
    <row r="97" ht="15.75" customHeight="1" s="157"/>
    <row r="98" ht="15.75" customHeight="1" s="157"/>
    <row r="99" ht="15.75" customHeight="1" s="157"/>
    <row r="100" ht="15.75" customHeight="1" s="157"/>
    <row r="101" ht="15.75" customHeight="1" s="157"/>
    <row r="102" ht="15.75" customHeight="1" s="157"/>
    <row r="103" ht="15.75" customHeight="1" s="157"/>
    <row r="104" ht="15.75" customHeight="1" s="157"/>
    <row r="105" ht="15.75" customHeight="1" s="157"/>
    <row r="106" ht="15.75" customHeight="1" s="157"/>
    <row r="107" ht="15.75" customHeight="1" s="157"/>
    <row r="108" ht="15.75" customHeight="1" s="157"/>
    <row r="109" ht="15.75" customHeight="1" s="157"/>
    <row r="110" ht="15.75" customHeight="1" s="157"/>
    <row r="111" ht="15.75" customHeight="1" s="157"/>
    <row r="112" ht="15.75" customHeight="1" s="157"/>
    <row r="113" ht="15.75" customHeight="1" s="157"/>
    <row r="114" ht="15.75" customHeight="1" s="157"/>
    <row r="115" ht="15.75" customHeight="1" s="157"/>
    <row r="116" ht="15.75" customHeight="1" s="157"/>
    <row r="117" ht="15.75" customHeight="1" s="157"/>
    <row r="118" ht="15.75" customHeight="1" s="157"/>
    <row r="119" ht="15.75" customHeight="1" s="157"/>
    <row r="120" ht="15.75" customHeight="1" s="157"/>
    <row r="121" ht="15.75" customHeight="1" s="157"/>
    <row r="122" ht="15.75" customHeight="1" s="157"/>
    <row r="123" ht="15.75" customHeight="1" s="157"/>
    <row r="124" ht="15.75" customHeight="1" s="157"/>
    <row r="125" ht="15.75" customHeight="1" s="157"/>
    <row r="126" ht="15.75" customHeight="1" s="157"/>
    <row r="127" ht="15.75" customHeight="1" s="157"/>
    <row r="128" ht="15.75" customHeight="1" s="157"/>
    <row r="129" ht="15.75" customHeight="1" s="157"/>
    <row r="130" ht="15.75" customHeight="1" s="157"/>
    <row r="131" ht="15.75" customHeight="1" s="157"/>
    <row r="132" ht="15.75" customHeight="1" s="157"/>
    <row r="133" ht="15.75" customHeight="1" s="157"/>
    <row r="134" ht="15.75" customHeight="1" s="157"/>
    <row r="135" ht="15.75" customHeight="1" s="157"/>
    <row r="136" ht="15.75" customHeight="1" s="157"/>
    <row r="137" ht="15.75" customHeight="1" s="157"/>
    <row r="138" ht="15.75" customHeight="1" s="157"/>
    <row r="139" ht="15.75" customHeight="1" s="157"/>
    <row r="140" ht="15.75" customHeight="1" s="157"/>
    <row r="141" ht="15.75" customHeight="1" s="157"/>
    <row r="142" ht="15.75" customHeight="1" s="157"/>
    <row r="143" ht="15.75" customHeight="1" s="157"/>
    <row r="144" ht="15.75" customHeight="1" s="157"/>
    <row r="145" ht="15.75" customHeight="1" s="157"/>
    <row r="146" ht="15.75" customHeight="1" s="157"/>
    <row r="147" ht="15.75" customHeight="1" s="157"/>
    <row r="148" ht="15.75" customHeight="1" s="157"/>
    <row r="149" ht="15.75" customHeight="1" s="157"/>
    <row r="150" ht="15.75" customHeight="1" s="157"/>
    <row r="151" ht="15.75" customHeight="1" s="157"/>
    <row r="152" ht="15.75" customHeight="1" s="157"/>
    <row r="153" ht="15.75" customHeight="1" s="157"/>
    <row r="154" ht="15.75" customHeight="1" s="157"/>
    <row r="155" ht="15.75" customHeight="1" s="157"/>
    <row r="156" ht="15.75" customHeight="1" s="157"/>
    <row r="157" ht="15.75" customHeight="1" s="157"/>
    <row r="158" ht="15.75" customHeight="1" s="157"/>
    <row r="159" ht="15.75" customHeight="1" s="157"/>
    <row r="160" ht="15.75" customHeight="1" s="157"/>
    <row r="161" ht="15.75" customHeight="1" s="157"/>
    <row r="162" ht="15.75" customHeight="1" s="157"/>
    <row r="163" ht="15.75" customHeight="1" s="157"/>
    <row r="164" ht="15.75" customHeight="1" s="157"/>
    <row r="165" ht="15.75" customHeight="1" s="157"/>
    <row r="166" ht="15.75" customHeight="1" s="157"/>
    <row r="167" ht="15.75" customHeight="1" s="157"/>
    <row r="168" ht="15.75" customHeight="1" s="157"/>
    <row r="169" ht="15.75" customHeight="1" s="157"/>
    <row r="170" ht="15.75" customHeight="1" s="157"/>
    <row r="171" ht="15.75" customHeight="1" s="157"/>
    <row r="172" ht="15.75" customHeight="1" s="157"/>
    <row r="173" ht="15.75" customHeight="1" s="157"/>
    <row r="174" ht="15.75" customHeight="1" s="157"/>
    <row r="175" ht="15.75" customHeight="1" s="157"/>
    <row r="176" ht="15.75" customHeight="1" s="157"/>
    <row r="177" ht="15.75" customHeight="1" s="157"/>
    <row r="178" ht="15.75" customHeight="1" s="157"/>
    <row r="179" ht="15.75" customHeight="1" s="157"/>
    <row r="180" ht="15.75" customHeight="1" s="157"/>
    <row r="181" ht="15.75" customHeight="1" s="157"/>
    <row r="182" ht="15.75" customHeight="1" s="157"/>
    <row r="183" ht="15.75" customHeight="1" s="157"/>
    <row r="184" ht="15.75" customHeight="1" s="157"/>
    <row r="185" ht="15.75" customHeight="1" s="157"/>
    <row r="186" ht="15.75" customHeight="1" s="157"/>
    <row r="187" ht="15.75" customHeight="1" s="157"/>
    <row r="188" ht="15.75" customHeight="1" s="157"/>
    <row r="189" ht="15.75" customHeight="1" s="157"/>
    <row r="190" ht="15.75" customHeight="1" s="157"/>
    <row r="191" ht="15.75" customHeight="1" s="157"/>
    <row r="192" ht="15.75" customHeight="1" s="157"/>
    <row r="193" ht="15.75" customHeight="1" s="157"/>
    <row r="194" ht="15.75" customHeight="1" s="157"/>
    <row r="195" ht="15.75" customHeight="1" s="157"/>
    <row r="196" ht="15.75" customHeight="1" s="157"/>
    <row r="197" ht="15.75" customHeight="1" s="157"/>
    <row r="198" ht="15.75" customHeight="1" s="157"/>
    <row r="199" ht="15.75" customHeight="1" s="157"/>
    <row r="200" ht="15.75" customHeight="1" s="157"/>
    <row r="201" ht="15.75" customHeight="1" s="157"/>
    <row r="202" ht="15.75" customHeight="1" s="157"/>
    <row r="203" ht="15.75" customHeight="1" s="157"/>
    <row r="204" ht="15.75" customHeight="1" s="157"/>
    <row r="205" ht="15.75" customHeight="1" s="157"/>
    <row r="206" ht="15.75" customHeight="1" s="157"/>
    <row r="207" ht="15.75" customHeight="1" s="157"/>
    <row r="208" ht="15.75" customHeight="1" s="157"/>
    <row r="209" ht="15.75" customHeight="1" s="157"/>
    <row r="210" ht="15.75" customHeight="1" s="157"/>
    <row r="211" ht="15.75" customHeight="1" s="157"/>
    <row r="212" ht="15.75" customHeight="1" s="157"/>
    <row r="213" ht="15.75" customHeight="1" s="157"/>
    <row r="214" ht="15.75" customHeight="1" s="157"/>
    <row r="215" ht="15.75" customHeight="1" s="157"/>
    <row r="216" ht="15.75" customHeight="1" s="157"/>
    <row r="217" ht="15.75" customHeight="1" s="157"/>
    <row r="218" ht="15.75" customHeight="1" s="157"/>
    <row r="219" ht="15.75" customHeight="1" s="157"/>
    <row r="220" ht="15.75" customHeight="1" s="157"/>
    <row r="221" ht="15.75" customHeight="1" s="157"/>
    <row r="222" ht="15.75" customHeight="1" s="157"/>
    <row r="223" ht="15.75" customHeight="1" s="157"/>
    <row r="224" ht="15.75" customHeight="1" s="157"/>
    <row r="225" ht="15.75" customHeight="1" s="157"/>
    <row r="226" ht="15.75" customHeight="1" s="157"/>
    <row r="227" ht="15.75" customHeight="1" s="157"/>
    <row r="228" ht="15.75" customHeight="1" s="157"/>
    <row r="229" ht="15.75" customHeight="1" s="157"/>
    <row r="230" ht="15.75" customHeight="1" s="157"/>
    <row r="231" ht="15.75" customHeight="1" s="157"/>
    <row r="232" ht="15.75" customHeight="1" s="157"/>
    <row r="233" ht="15.75" customHeight="1" s="157"/>
    <row r="234" ht="15.75" customHeight="1" s="157"/>
    <row r="235" ht="15.75" customHeight="1" s="157"/>
    <row r="236" ht="15.75" customHeight="1" s="157"/>
    <row r="237" ht="15.75" customHeight="1" s="157"/>
    <row r="238" ht="15.75" customHeight="1" s="157"/>
    <row r="239" ht="15.75" customHeight="1" s="157"/>
    <row r="240" ht="15.75" customHeight="1" s="157"/>
    <row r="241" ht="15.75" customHeight="1" s="157"/>
    <row r="242" ht="15.75" customHeight="1" s="157"/>
    <row r="243" ht="15.75" customHeight="1" s="157"/>
    <row r="244" ht="15.75" customHeight="1" s="157"/>
    <row r="245" ht="15.75" customHeight="1" s="157"/>
    <row r="246" ht="15.75" customHeight="1" s="157"/>
    <row r="247" ht="15.75" customHeight="1" s="157"/>
    <row r="248" ht="15.75" customHeight="1" s="157"/>
    <row r="249" ht="15.75" customHeight="1" s="157"/>
    <row r="250" ht="15.75" customHeight="1" s="157"/>
    <row r="251" ht="15.75" customHeight="1" s="157"/>
    <row r="252" ht="15.75" customHeight="1" s="157"/>
    <row r="253" ht="15.75" customHeight="1" s="157"/>
    <row r="254" ht="15.75" customHeight="1" s="157"/>
    <row r="255" ht="15.75" customHeight="1" s="157"/>
    <row r="256" ht="15.75" customHeight="1" s="157"/>
    <row r="257" ht="15.75" customHeight="1" s="157"/>
    <row r="258" ht="15.75" customHeight="1" s="157"/>
    <row r="259" ht="15.75" customHeight="1" s="157"/>
    <row r="260" ht="15.75" customHeight="1" s="157"/>
    <row r="261" ht="15.75" customHeight="1" s="157"/>
    <row r="262" ht="15.75" customHeight="1" s="157"/>
    <row r="263" ht="15.75" customHeight="1" s="157"/>
    <row r="264" ht="15.75" customHeight="1" s="157"/>
    <row r="265" ht="15.75" customHeight="1" s="157"/>
    <row r="266" ht="15.75" customHeight="1" s="157"/>
    <row r="267" ht="15.75" customHeight="1" s="157"/>
    <row r="268" ht="15.75" customHeight="1" s="157"/>
    <row r="269" ht="15.75" customHeight="1" s="157"/>
    <row r="270" ht="15.75" customHeight="1" s="157"/>
    <row r="271" ht="15.75" customHeight="1" s="157"/>
    <row r="272" ht="15.75" customHeight="1" s="157"/>
    <row r="273" ht="15.75" customHeight="1" s="157"/>
    <row r="274" ht="15.75" customHeight="1" s="157"/>
    <row r="275" ht="15.75" customHeight="1" s="157"/>
    <row r="276" ht="15.75" customHeight="1" s="157"/>
    <row r="277" ht="15.75" customHeight="1" s="157"/>
    <row r="278" ht="15.75" customHeight="1" s="157"/>
    <row r="279" ht="15.75" customHeight="1" s="157"/>
    <row r="280" ht="15.75" customHeight="1" s="157"/>
    <row r="281" ht="15.75" customHeight="1" s="157"/>
    <row r="282" ht="15.75" customHeight="1" s="157"/>
    <row r="283" ht="15.75" customHeight="1" s="157"/>
    <row r="284" ht="15.75" customHeight="1" s="157"/>
    <row r="285" ht="15.75" customHeight="1" s="157"/>
    <row r="286" ht="15.75" customHeight="1" s="157"/>
    <row r="287" ht="15.75" customHeight="1" s="157"/>
    <row r="288" ht="15.75" customHeight="1" s="157"/>
    <row r="289" ht="15.75" customHeight="1" s="157"/>
    <row r="290" ht="15.75" customHeight="1" s="157"/>
    <row r="291" ht="15.75" customHeight="1" s="157"/>
    <row r="292" ht="15.75" customHeight="1" s="157"/>
    <row r="293" ht="15.75" customHeight="1" s="157"/>
    <row r="294" ht="15.75" customHeight="1" s="157"/>
    <row r="295" ht="15.75" customHeight="1" s="157"/>
    <row r="296" ht="15.75" customHeight="1" s="157"/>
    <row r="297" ht="15.75" customHeight="1" s="157"/>
    <row r="298" ht="15.75" customHeight="1" s="157"/>
    <row r="299" ht="15.75" customHeight="1" s="157"/>
    <row r="300" ht="15.75" customHeight="1" s="157"/>
    <row r="301" ht="15.75" customHeight="1" s="157"/>
    <row r="302" ht="15.75" customHeight="1" s="157"/>
    <row r="303" ht="15.75" customHeight="1" s="157"/>
    <row r="304" ht="15.75" customHeight="1" s="157"/>
    <row r="305" ht="15.75" customHeight="1" s="157"/>
    <row r="306" ht="15.75" customHeight="1" s="157"/>
    <row r="307" ht="15.75" customHeight="1" s="157"/>
    <row r="308" ht="15.75" customHeight="1" s="157"/>
    <row r="309" ht="15.75" customHeight="1" s="157"/>
    <row r="310" ht="15.75" customHeight="1" s="157"/>
    <row r="311" ht="15.75" customHeight="1" s="157"/>
    <row r="312" ht="15.75" customHeight="1" s="157"/>
    <row r="313" ht="15.75" customHeight="1" s="157"/>
    <row r="314" ht="15.75" customHeight="1" s="157"/>
    <row r="315" ht="15.75" customHeight="1" s="157"/>
    <row r="316" ht="15.75" customHeight="1" s="157"/>
    <row r="317" ht="15.75" customHeight="1" s="157"/>
    <row r="318" ht="15.75" customHeight="1" s="157"/>
    <row r="319" ht="15.75" customHeight="1" s="157"/>
    <row r="320" ht="15.75" customHeight="1" s="157"/>
    <row r="321" ht="15.75" customHeight="1" s="157"/>
    <row r="322" ht="15.75" customHeight="1" s="157"/>
    <row r="323" ht="15.75" customHeight="1" s="157"/>
    <row r="324" ht="15.75" customHeight="1" s="157"/>
    <row r="325" ht="15.75" customHeight="1" s="157"/>
    <row r="326" ht="15.75" customHeight="1" s="157"/>
    <row r="327" ht="15.75" customHeight="1" s="157"/>
    <row r="328" ht="15.75" customHeight="1" s="157"/>
    <row r="329" ht="15.75" customHeight="1" s="157"/>
    <row r="330" ht="15.75" customHeight="1" s="157"/>
    <row r="331" ht="15.75" customHeight="1" s="157"/>
    <row r="332" ht="15.75" customHeight="1" s="157"/>
    <row r="333" ht="15.75" customHeight="1" s="157"/>
    <row r="334" ht="15.75" customHeight="1" s="157"/>
    <row r="335" ht="15.75" customHeight="1" s="157"/>
    <row r="336" ht="15.75" customHeight="1" s="157"/>
    <row r="337" ht="15.75" customHeight="1" s="157"/>
    <row r="338" ht="15.75" customHeight="1" s="157"/>
    <row r="339" ht="15.75" customHeight="1" s="157"/>
    <row r="340" ht="15.75" customHeight="1" s="157"/>
    <row r="341" ht="15.75" customHeight="1" s="157"/>
    <row r="342" ht="15.75" customHeight="1" s="157"/>
    <row r="343" ht="15.75" customHeight="1" s="157"/>
    <row r="344" ht="15.75" customHeight="1" s="157"/>
    <row r="345" ht="15.75" customHeight="1" s="157"/>
    <row r="346" ht="15.75" customHeight="1" s="157"/>
    <row r="347" ht="15.75" customHeight="1" s="157"/>
    <row r="348" ht="15.75" customHeight="1" s="157"/>
    <row r="349" ht="15.75" customHeight="1" s="157"/>
    <row r="350" ht="15.75" customHeight="1" s="157"/>
    <row r="351" ht="15.75" customHeight="1" s="157"/>
    <row r="352" ht="15.75" customHeight="1" s="157"/>
    <row r="353" ht="15.75" customHeight="1" s="157"/>
    <row r="354" ht="15.75" customHeight="1" s="157"/>
    <row r="355" ht="15.75" customHeight="1" s="157"/>
    <row r="356" ht="15.75" customHeight="1" s="157"/>
    <row r="357" ht="15.75" customHeight="1" s="157"/>
    <row r="358" ht="15.75" customHeight="1" s="157"/>
    <row r="359" ht="15.75" customHeight="1" s="157"/>
    <row r="360" ht="15.75" customHeight="1" s="157"/>
    <row r="361" ht="15.75" customHeight="1" s="157"/>
    <row r="362" ht="15.75" customHeight="1" s="157"/>
    <row r="363" ht="15.75" customHeight="1" s="157"/>
    <row r="364" ht="15.75" customHeight="1" s="157"/>
    <row r="365" ht="15.75" customHeight="1" s="157"/>
    <row r="366" ht="15.75" customHeight="1" s="157"/>
    <row r="367" ht="15.75" customHeight="1" s="157"/>
    <row r="368" ht="15.75" customHeight="1" s="157"/>
    <row r="369" ht="15.75" customHeight="1" s="157"/>
    <row r="370" ht="15.75" customHeight="1" s="157"/>
    <row r="371" ht="15.75" customHeight="1" s="157"/>
    <row r="372" ht="15.75" customHeight="1" s="157"/>
    <row r="373" ht="15.75" customHeight="1" s="157"/>
    <row r="374" ht="15.75" customHeight="1" s="157"/>
    <row r="375" ht="15.75" customHeight="1" s="157"/>
    <row r="376" ht="15.75" customHeight="1" s="157"/>
    <row r="377" ht="15.75" customHeight="1" s="157"/>
    <row r="378" ht="15.75" customHeight="1" s="157"/>
    <row r="379" ht="15.75" customHeight="1" s="157"/>
    <row r="380" ht="15.75" customHeight="1" s="157"/>
    <row r="381" ht="15.75" customHeight="1" s="157"/>
    <row r="382" ht="15.75" customHeight="1" s="157"/>
    <row r="383" ht="15.75" customHeight="1" s="157"/>
    <row r="384" ht="15.75" customHeight="1" s="157"/>
    <row r="385" ht="15.75" customHeight="1" s="157"/>
    <row r="386" ht="15.75" customHeight="1" s="157"/>
    <row r="387" ht="15.75" customHeight="1" s="157"/>
    <row r="388" ht="15.75" customHeight="1" s="157"/>
    <row r="389" ht="15.75" customHeight="1" s="157"/>
    <row r="390" ht="15.75" customHeight="1" s="157"/>
    <row r="391" ht="15.75" customHeight="1" s="157"/>
    <row r="392" ht="15.75" customHeight="1" s="157"/>
    <row r="393" ht="15.75" customHeight="1" s="157"/>
    <row r="394" ht="15.75" customHeight="1" s="157"/>
    <row r="395" ht="15.75" customHeight="1" s="157"/>
    <row r="396" ht="15.75" customHeight="1" s="157"/>
    <row r="397" ht="15.75" customHeight="1" s="157"/>
    <row r="398" ht="15.75" customHeight="1" s="157"/>
    <row r="399" ht="15.75" customHeight="1" s="157"/>
    <row r="400" ht="15.75" customHeight="1" s="157"/>
    <row r="401" ht="15.75" customHeight="1" s="157"/>
    <row r="402" ht="15.75" customHeight="1" s="157"/>
    <row r="403" ht="15.75" customHeight="1" s="157"/>
    <row r="404" ht="15.75" customHeight="1" s="157"/>
    <row r="405" ht="15.75" customHeight="1" s="157"/>
    <row r="406" ht="15.75" customHeight="1" s="157"/>
    <row r="407" ht="15.75" customHeight="1" s="157"/>
    <row r="408" ht="15.75" customHeight="1" s="157"/>
    <row r="409" ht="15.75" customHeight="1" s="157"/>
    <row r="410" ht="15.75" customHeight="1" s="157"/>
    <row r="411" ht="15.75" customHeight="1" s="157"/>
    <row r="412" ht="15.75" customHeight="1" s="157"/>
    <row r="413" ht="15.75" customHeight="1" s="157"/>
    <row r="414" ht="15.75" customHeight="1" s="157"/>
    <row r="415" ht="15.75" customHeight="1" s="157"/>
    <row r="416" ht="15.75" customHeight="1" s="157"/>
    <row r="417" ht="15.75" customHeight="1" s="157"/>
    <row r="418" ht="15.75" customHeight="1" s="157"/>
    <row r="419" ht="15.75" customHeight="1" s="157"/>
    <row r="420" ht="15.75" customHeight="1" s="157"/>
    <row r="421" ht="15.75" customHeight="1" s="157"/>
    <row r="422" ht="15.75" customHeight="1" s="157"/>
    <row r="423" ht="15.75" customHeight="1" s="157"/>
    <row r="424" ht="15.75" customHeight="1" s="157"/>
    <row r="425" ht="15.75" customHeight="1" s="157"/>
    <row r="426" ht="15.75" customHeight="1" s="157"/>
    <row r="427" ht="15.75" customHeight="1" s="157"/>
    <row r="428" ht="15.75" customHeight="1" s="157"/>
    <row r="429" ht="15.75" customHeight="1" s="157"/>
    <row r="430" ht="15.75" customHeight="1" s="157"/>
    <row r="431" ht="15.75" customHeight="1" s="157"/>
    <row r="432" ht="15.75" customHeight="1" s="157"/>
    <row r="433" ht="15.75" customHeight="1" s="157"/>
    <row r="434" ht="15.75" customHeight="1" s="157"/>
    <row r="435" ht="15.75" customHeight="1" s="157"/>
    <row r="436" ht="15.75" customHeight="1" s="157"/>
    <row r="437" ht="15.75" customHeight="1" s="157"/>
    <row r="438" ht="15.75" customHeight="1" s="157"/>
    <row r="439" ht="15.75" customHeight="1" s="157"/>
    <row r="440" ht="15.75" customHeight="1" s="157"/>
    <row r="441" ht="15.75" customHeight="1" s="157"/>
    <row r="442" ht="15.75" customHeight="1" s="157"/>
    <row r="443" ht="15.75" customHeight="1" s="157"/>
    <row r="444" ht="15.75" customHeight="1" s="157"/>
    <row r="445" ht="15.75" customHeight="1" s="157"/>
    <row r="446" ht="15.75" customHeight="1" s="157"/>
    <row r="447" ht="15.75" customHeight="1" s="157"/>
    <row r="448" ht="15.75" customHeight="1" s="157"/>
    <row r="449" ht="15.75" customHeight="1" s="157"/>
    <row r="450" ht="15.75" customHeight="1" s="157"/>
    <row r="451" ht="15.75" customHeight="1" s="157"/>
    <row r="452" ht="15.75" customHeight="1" s="157"/>
    <row r="453" ht="15.75" customHeight="1" s="157"/>
    <row r="454" ht="15.75" customHeight="1" s="157"/>
    <row r="455" ht="15.75" customHeight="1" s="157"/>
    <row r="456" ht="15.75" customHeight="1" s="157"/>
    <row r="457" ht="15.75" customHeight="1" s="157"/>
    <row r="458" ht="15.75" customHeight="1" s="157"/>
    <row r="459" ht="15.75" customHeight="1" s="157"/>
    <row r="460" ht="15.75" customHeight="1" s="157"/>
    <row r="461" ht="15.75" customHeight="1" s="157"/>
    <row r="462" ht="15.75" customHeight="1" s="157"/>
    <row r="463" ht="15.75" customHeight="1" s="157"/>
    <row r="464" ht="15.75" customHeight="1" s="157"/>
    <row r="465" ht="15.75" customHeight="1" s="157"/>
    <row r="466" ht="15.75" customHeight="1" s="157"/>
    <row r="467" ht="15.75" customHeight="1" s="157"/>
    <row r="468" ht="15.75" customHeight="1" s="157"/>
    <row r="469" ht="15.75" customHeight="1" s="157"/>
    <row r="470" ht="15.75" customHeight="1" s="157"/>
    <row r="471" ht="15.75" customHeight="1" s="157"/>
    <row r="472" ht="15.75" customHeight="1" s="157"/>
    <row r="473" ht="15.75" customHeight="1" s="157"/>
    <row r="474" ht="15.75" customHeight="1" s="157"/>
    <row r="475" ht="15.75" customHeight="1" s="157"/>
    <row r="476" ht="15.75" customHeight="1" s="157"/>
    <row r="477" ht="15.75" customHeight="1" s="157"/>
    <row r="478" ht="15.75" customHeight="1" s="157"/>
    <row r="479" ht="15.75" customHeight="1" s="157"/>
    <row r="480" ht="15.75" customHeight="1" s="157"/>
    <row r="481" ht="15.75" customHeight="1" s="157"/>
    <row r="482" ht="15.75" customHeight="1" s="157"/>
    <row r="483" ht="15.75" customHeight="1" s="157"/>
    <row r="484" ht="15.75" customHeight="1" s="157"/>
    <row r="485" ht="15.75" customHeight="1" s="157"/>
    <row r="486" ht="15.75" customHeight="1" s="157"/>
    <row r="487" ht="15.75" customHeight="1" s="157"/>
    <row r="488" ht="15.75" customHeight="1" s="157"/>
    <row r="489" ht="15.75" customHeight="1" s="157"/>
    <row r="490" ht="15.75" customHeight="1" s="157"/>
    <row r="491" ht="15.75" customHeight="1" s="157"/>
    <row r="492" ht="15.75" customHeight="1" s="157"/>
    <row r="493" ht="15.75" customHeight="1" s="157"/>
    <row r="494" ht="15.75" customHeight="1" s="157"/>
    <row r="495" ht="15.75" customHeight="1" s="157"/>
    <row r="496" ht="15.75" customHeight="1" s="157"/>
    <row r="497" ht="15.75" customHeight="1" s="157"/>
    <row r="498" ht="15.75" customHeight="1" s="157"/>
    <row r="499" ht="15.75" customHeight="1" s="157"/>
    <row r="500" ht="15.75" customHeight="1" s="157"/>
    <row r="501" ht="15.75" customHeight="1" s="157"/>
    <row r="502" ht="15.75" customHeight="1" s="157"/>
    <row r="503" ht="15.75" customHeight="1" s="157"/>
    <row r="504" ht="15.75" customHeight="1" s="157"/>
    <row r="505" ht="15.75" customHeight="1" s="157"/>
    <row r="506" ht="15.75" customHeight="1" s="157"/>
    <row r="507" ht="15.75" customHeight="1" s="157"/>
    <row r="508" ht="15.75" customHeight="1" s="157"/>
    <row r="509" ht="15.75" customHeight="1" s="157"/>
    <row r="510" ht="15.75" customHeight="1" s="157"/>
    <row r="511" ht="15.75" customHeight="1" s="157"/>
    <row r="512" ht="15.75" customHeight="1" s="157"/>
    <row r="513" ht="15.75" customHeight="1" s="157"/>
    <row r="514" ht="15.75" customHeight="1" s="157"/>
    <row r="515" ht="15.75" customHeight="1" s="157"/>
    <row r="516" ht="15.75" customHeight="1" s="157"/>
    <row r="517" ht="15.75" customHeight="1" s="157"/>
    <row r="518" ht="15.75" customHeight="1" s="157"/>
    <row r="519" ht="15.75" customHeight="1" s="157"/>
    <row r="520" ht="15.75" customHeight="1" s="157"/>
    <row r="521" ht="15.75" customHeight="1" s="157"/>
    <row r="522" ht="15.75" customHeight="1" s="157"/>
    <row r="523" ht="15.75" customHeight="1" s="157"/>
    <row r="524" ht="15.75" customHeight="1" s="157"/>
    <row r="525" ht="15.75" customHeight="1" s="157"/>
    <row r="526" ht="15.75" customHeight="1" s="157"/>
    <row r="527" ht="15.75" customHeight="1" s="157"/>
    <row r="528" ht="15.75" customHeight="1" s="157"/>
    <row r="529" ht="15.75" customHeight="1" s="157"/>
    <row r="530" ht="15.75" customHeight="1" s="157"/>
    <row r="531" ht="15.75" customHeight="1" s="157"/>
    <row r="532" ht="15.75" customHeight="1" s="157"/>
    <row r="533" ht="15.75" customHeight="1" s="157"/>
    <row r="534" ht="15.75" customHeight="1" s="157"/>
    <row r="535" ht="15.75" customHeight="1" s="157"/>
    <row r="536" ht="15.75" customHeight="1" s="157"/>
    <row r="537" ht="15.75" customHeight="1" s="157"/>
    <row r="538" ht="15.75" customHeight="1" s="157"/>
    <row r="539" ht="15.75" customHeight="1" s="157"/>
    <row r="540" ht="15.75" customHeight="1" s="157"/>
    <row r="541" ht="15.75" customHeight="1" s="157"/>
    <row r="542" ht="15.75" customHeight="1" s="157"/>
    <row r="543" ht="15.75" customHeight="1" s="157"/>
    <row r="544" ht="15.75" customHeight="1" s="157"/>
    <row r="545" ht="15.75" customHeight="1" s="157"/>
    <row r="546" ht="15.75" customHeight="1" s="157"/>
    <row r="547" ht="15.75" customHeight="1" s="157"/>
    <row r="548" ht="15.75" customHeight="1" s="157"/>
    <row r="549" ht="15.75" customHeight="1" s="157"/>
    <row r="550" ht="15.75" customHeight="1" s="157"/>
    <row r="551" ht="15.75" customHeight="1" s="157"/>
    <row r="552" ht="15.75" customHeight="1" s="157"/>
    <row r="553" ht="15.75" customHeight="1" s="157"/>
    <row r="554" ht="15.75" customHeight="1" s="157"/>
    <row r="555" ht="15.75" customHeight="1" s="157"/>
    <row r="556" ht="15.75" customHeight="1" s="157"/>
    <row r="557" ht="15.75" customHeight="1" s="157"/>
    <row r="558" ht="15.75" customHeight="1" s="157"/>
    <row r="559" ht="15.75" customHeight="1" s="157"/>
    <row r="560" ht="15.75" customHeight="1" s="157"/>
    <row r="561" ht="15.75" customHeight="1" s="157"/>
    <row r="562" ht="15.75" customHeight="1" s="157"/>
    <row r="563" ht="15.75" customHeight="1" s="157"/>
    <row r="564" ht="15.75" customHeight="1" s="157"/>
    <row r="565" ht="15.75" customHeight="1" s="157"/>
    <row r="566" ht="15.75" customHeight="1" s="157"/>
    <row r="567" ht="15.75" customHeight="1" s="157"/>
    <row r="568" ht="15.75" customHeight="1" s="157"/>
    <row r="569" ht="15.75" customHeight="1" s="157"/>
    <row r="570" ht="15.75" customHeight="1" s="157"/>
    <row r="571" ht="15.75" customHeight="1" s="157"/>
    <row r="572" ht="15.75" customHeight="1" s="157"/>
    <row r="573" ht="15.75" customHeight="1" s="157"/>
    <row r="574" ht="15.75" customHeight="1" s="157"/>
    <row r="575" ht="15.75" customHeight="1" s="157"/>
    <row r="576" ht="15.75" customHeight="1" s="157"/>
    <row r="577" ht="15.75" customHeight="1" s="157"/>
    <row r="578" ht="15.75" customHeight="1" s="157"/>
    <row r="579" ht="15.75" customHeight="1" s="157"/>
    <row r="580" ht="15.75" customHeight="1" s="157"/>
    <row r="581" ht="15.75" customHeight="1" s="157"/>
    <row r="582" ht="15.75" customHeight="1" s="157"/>
    <row r="583" ht="15.75" customHeight="1" s="157"/>
    <row r="584" ht="15.75" customHeight="1" s="157"/>
    <row r="585" ht="15.75" customHeight="1" s="157"/>
    <row r="586" ht="15.75" customHeight="1" s="157"/>
    <row r="587" ht="15.75" customHeight="1" s="157"/>
    <row r="588" ht="15.75" customHeight="1" s="157"/>
    <row r="589" ht="15.75" customHeight="1" s="157"/>
    <row r="590" ht="15.75" customHeight="1" s="157"/>
    <row r="591" ht="15.75" customHeight="1" s="157"/>
    <row r="592" ht="15.75" customHeight="1" s="157"/>
    <row r="593" ht="15.75" customHeight="1" s="157"/>
    <row r="594" ht="15.75" customHeight="1" s="157"/>
    <row r="595" ht="15.75" customHeight="1" s="157"/>
    <row r="596" ht="15.75" customHeight="1" s="157"/>
    <row r="597" ht="15.75" customHeight="1" s="157"/>
    <row r="598" ht="15.75" customHeight="1" s="157"/>
    <row r="599" ht="15.75" customHeight="1" s="157"/>
    <row r="600" ht="15.75" customHeight="1" s="157"/>
    <row r="601" ht="15.75" customHeight="1" s="157"/>
    <row r="602" ht="15.75" customHeight="1" s="157"/>
    <row r="603" ht="15.75" customHeight="1" s="157"/>
    <row r="604" ht="15.75" customHeight="1" s="157"/>
    <row r="605" ht="15.75" customHeight="1" s="157"/>
    <row r="606" ht="15.75" customHeight="1" s="157"/>
    <row r="607" ht="15.75" customHeight="1" s="157"/>
    <row r="608" ht="15.75" customHeight="1" s="157"/>
    <row r="609" ht="15.75" customHeight="1" s="157"/>
    <row r="610" ht="15.75" customHeight="1" s="157"/>
    <row r="611" ht="15.75" customHeight="1" s="157"/>
    <row r="612" ht="15.75" customHeight="1" s="157"/>
    <row r="613" ht="15.75" customHeight="1" s="157"/>
    <row r="614" ht="15.75" customHeight="1" s="157"/>
    <row r="615" ht="15.75" customHeight="1" s="157"/>
    <row r="616" ht="15.75" customHeight="1" s="157"/>
    <row r="617" ht="15.75" customHeight="1" s="157"/>
    <row r="618" ht="15.75" customHeight="1" s="157"/>
    <row r="619" ht="15.75" customHeight="1" s="157"/>
    <row r="620" ht="15.75" customHeight="1" s="157"/>
    <row r="621" ht="15.75" customHeight="1" s="157"/>
    <row r="622" ht="15.75" customHeight="1" s="157"/>
    <row r="623" ht="15.75" customHeight="1" s="157"/>
    <row r="624" ht="15.75" customHeight="1" s="157"/>
    <row r="625" ht="15.75" customHeight="1" s="157"/>
    <row r="626" ht="15.75" customHeight="1" s="157"/>
    <row r="627" ht="15.75" customHeight="1" s="157"/>
    <row r="628" ht="15.75" customHeight="1" s="157"/>
    <row r="629" ht="15.75" customHeight="1" s="157"/>
    <row r="630" ht="15.75" customHeight="1" s="157"/>
    <row r="631" ht="15.75" customHeight="1" s="157"/>
    <row r="632" ht="15.75" customHeight="1" s="157"/>
    <row r="633" ht="15.75" customHeight="1" s="157"/>
    <row r="634" ht="15.75" customHeight="1" s="157"/>
    <row r="635" ht="15.75" customHeight="1" s="157"/>
    <row r="636" ht="15.75" customHeight="1" s="157"/>
    <row r="637" ht="15.75" customHeight="1" s="157"/>
    <row r="638" ht="15.75" customHeight="1" s="157"/>
    <row r="639" ht="15.75" customHeight="1" s="157"/>
    <row r="640" ht="15.75" customHeight="1" s="157"/>
    <row r="641" ht="15.75" customHeight="1" s="157"/>
    <row r="642" ht="15.75" customHeight="1" s="157"/>
    <row r="643" ht="15.75" customHeight="1" s="157"/>
    <row r="644" ht="15.75" customHeight="1" s="157"/>
    <row r="645" ht="15.75" customHeight="1" s="157"/>
    <row r="646" ht="15.75" customHeight="1" s="157"/>
    <row r="647" ht="15.75" customHeight="1" s="157"/>
    <row r="648" ht="15.75" customHeight="1" s="157"/>
    <row r="649" ht="15.75" customHeight="1" s="157"/>
    <row r="650" ht="15.75" customHeight="1" s="157"/>
    <row r="651" ht="15.75" customHeight="1" s="157"/>
    <row r="652" ht="15.75" customHeight="1" s="157"/>
    <row r="653" ht="15.75" customHeight="1" s="157"/>
    <row r="654" ht="15.75" customHeight="1" s="157"/>
    <row r="655" ht="15.75" customHeight="1" s="157"/>
    <row r="656" ht="15.75" customHeight="1" s="157"/>
    <row r="657" ht="15.75" customHeight="1" s="157"/>
    <row r="658" ht="15.75" customHeight="1" s="157"/>
    <row r="659" ht="15.75" customHeight="1" s="157"/>
    <row r="660" ht="15.75" customHeight="1" s="157"/>
    <row r="661" ht="15.75" customHeight="1" s="157"/>
    <row r="662" ht="15.75" customHeight="1" s="157"/>
    <row r="663" ht="15.75" customHeight="1" s="157"/>
    <row r="664" ht="15.75" customHeight="1" s="157"/>
    <row r="665" ht="15.75" customHeight="1" s="157"/>
    <row r="666" ht="15.75" customHeight="1" s="157"/>
    <row r="667" ht="15.75" customHeight="1" s="157"/>
    <row r="668" ht="15.75" customHeight="1" s="157"/>
    <row r="669" ht="15.75" customHeight="1" s="157"/>
    <row r="670" ht="15.75" customHeight="1" s="157"/>
    <row r="671" ht="15.75" customHeight="1" s="157"/>
    <row r="672" ht="15.75" customHeight="1" s="157"/>
    <row r="673" ht="15.75" customHeight="1" s="157"/>
    <row r="674" ht="15.75" customHeight="1" s="157"/>
    <row r="675" ht="15.75" customHeight="1" s="157"/>
    <row r="676" ht="15.75" customHeight="1" s="157"/>
    <row r="677" ht="15.75" customHeight="1" s="157"/>
    <row r="678" ht="15.75" customHeight="1" s="157"/>
    <row r="679" ht="15.75" customHeight="1" s="157"/>
    <row r="680" ht="15.75" customHeight="1" s="157"/>
    <row r="681" ht="15.75" customHeight="1" s="157"/>
    <row r="682" ht="15.75" customHeight="1" s="157"/>
    <row r="683" ht="15.75" customHeight="1" s="157"/>
    <row r="684" ht="15.75" customHeight="1" s="157"/>
    <row r="685" ht="15.75" customHeight="1" s="157"/>
    <row r="686" ht="15.75" customHeight="1" s="157"/>
    <row r="687" ht="15.75" customHeight="1" s="157"/>
    <row r="688" ht="15.75" customHeight="1" s="157"/>
    <row r="689" ht="15.75" customHeight="1" s="157"/>
    <row r="690" ht="15.75" customHeight="1" s="157"/>
    <row r="691" ht="15.75" customHeight="1" s="157"/>
    <row r="692" ht="15.75" customHeight="1" s="157"/>
    <row r="693" ht="15.75" customHeight="1" s="157"/>
    <row r="694" ht="15.75" customHeight="1" s="157"/>
    <row r="695" ht="15.75" customHeight="1" s="157"/>
    <row r="696" ht="15.75" customHeight="1" s="157"/>
    <row r="697" ht="15.75" customHeight="1" s="157"/>
    <row r="698" ht="15.75" customHeight="1" s="157"/>
    <row r="699" ht="15.75" customHeight="1" s="157"/>
    <row r="700" ht="15.75" customHeight="1" s="157"/>
    <row r="701" ht="15.75" customHeight="1" s="157"/>
    <row r="702" ht="15.75" customHeight="1" s="157"/>
    <row r="703" ht="15.75" customHeight="1" s="157"/>
    <row r="704" ht="15.75" customHeight="1" s="157"/>
    <row r="705" ht="15.75" customHeight="1" s="157"/>
    <row r="706" ht="15.75" customHeight="1" s="157"/>
    <row r="707" ht="15.75" customHeight="1" s="157"/>
    <row r="708" ht="15.75" customHeight="1" s="157"/>
    <row r="709" ht="15.75" customHeight="1" s="157"/>
    <row r="710" ht="15.75" customHeight="1" s="157"/>
    <row r="711" ht="15.75" customHeight="1" s="157"/>
    <row r="712" ht="15.75" customHeight="1" s="157"/>
    <row r="713" ht="15.75" customHeight="1" s="157"/>
    <row r="714" ht="15.75" customHeight="1" s="157"/>
    <row r="715" ht="15.75" customHeight="1" s="157"/>
    <row r="716" ht="15.75" customHeight="1" s="157"/>
    <row r="717" ht="15.75" customHeight="1" s="157"/>
    <row r="718" ht="15.75" customHeight="1" s="157"/>
    <row r="719" ht="15.75" customHeight="1" s="157"/>
    <row r="720" ht="15.75" customHeight="1" s="157"/>
    <row r="721" ht="15.75" customHeight="1" s="157"/>
    <row r="722" ht="15.75" customHeight="1" s="157"/>
    <row r="723" ht="15.75" customHeight="1" s="157"/>
    <row r="724" ht="15.75" customHeight="1" s="157"/>
    <row r="725" ht="15.75" customHeight="1" s="157"/>
    <row r="726" ht="15.75" customHeight="1" s="157"/>
    <row r="727" ht="15.75" customHeight="1" s="157"/>
    <row r="728" ht="15.75" customHeight="1" s="157"/>
    <row r="729" ht="15.75" customHeight="1" s="157"/>
    <row r="730" ht="15.75" customHeight="1" s="157"/>
    <row r="731" ht="15.75" customHeight="1" s="157"/>
    <row r="732" ht="15.75" customHeight="1" s="157"/>
    <row r="733" ht="15.75" customHeight="1" s="157"/>
    <row r="734" ht="15.75" customHeight="1" s="157"/>
    <row r="735" ht="15.75" customHeight="1" s="157"/>
    <row r="736" ht="15.75" customHeight="1" s="157"/>
    <row r="737" ht="15.75" customHeight="1" s="157"/>
    <row r="738" ht="15.75" customHeight="1" s="157"/>
    <row r="739" ht="15.75" customHeight="1" s="157"/>
    <row r="740" ht="15.75" customHeight="1" s="157"/>
    <row r="741" ht="15.75" customHeight="1" s="157"/>
    <row r="742" ht="15.75" customHeight="1" s="157"/>
    <row r="743" ht="15.75" customHeight="1" s="157"/>
    <row r="744" ht="15.75" customHeight="1" s="157"/>
    <row r="745" ht="15.75" customHeight="1" s="157"/>
    <row r="746" ht="15.75" customHeight="1" s="157"/>
    <row r="747" ht="15.75" customHeight="1" s="157"/>
    <row r="748" ht="15.75" customHeight="1" s="157"/>
    <row r="749" ht="15.75" customHeight="1" s="157"/>
    <row r="750" ht="15.75" customHeight="1" s="157"/>
    <row r="751" ht="15.75" customHeight="1" s="157"/>
    <row r="752" ht="15.75" customHeight="1" s="157"/>
    <row r="753" ht="15.75" customHeight="1" s="157"/>
    <row r="754" ht="15.75" customHeight="1" s="157"/>
    <row r="755" ht="15.75" customHeight="1" s="157"/>
    <row r="756" ht="15.75" customHeight="1" s="157"/>
    <row r="757" ht="15.75" customHeight="1" s="157"/>
    <row r="758" ht="15.75" customHeight="1" s="157"/>
    <row r="759" ht="15.75" customHeight="1" s="157"/>
    <row r="760" ht="15.75" customHeight="1" s="157"/>
    <row r="761" ht="15.75" customHeight="1" s="157"/>
    <row r="762" ht="15.75" customHeight="1" s="157"/>
    <row r="763" ht="15.75" customHeight="1" s="157"/>
    <row r="764" ht="15.75" customHeight="1" s="157"/>
    <row r="765" ht="15.75" customHeight="1" s="157"/>
    <row r="766" ht="15.75" customHeight="1" s="157"/>
    <row r="767" ht="15.75" customHeight="1" s="157"/>
    <row r="768" ht="15.75" customHeight="1" s="157"/>
    <row r="769" ht="15.75" customHeight="1" s="157"/>
    <row r="770" ht="15.75" customHeight="1" s="157"/>
    <row r="771" ht="15.75" customHeight="1" s="157"/>
    <row r="772" ht="15.75" customHeight="1" s="157"/>
    <row r="773" ht="15.75" customHeight="1" s="157"/>
    <row r="774" ht="15.75" customHeight="1" s="157"/>
    <row r="775" ht="15.75" customHeight="1" s="157"/>
    <row r="776" ht="15.75" customHeight="1" s="157"/>
    <row r="777" ht="15.75" customHeight="1" s="157"/>
    <row r="778" ht="15.75" customHeight="1" s="157"/>
    <row r="779" ht="15.75" customHeight="1" s="157"/>
    <row r="780" ht="15.75" customHeight="1" s="157"/>
    <row r="781" ht="15.75" customHeight="1" s="157"/>
    <row r="782" ht="15.75" customHeight="1" s="157"/>
    <row r="783" ht="15.75" customHeight="1" s="157"/>
    <row r="784" ht="15.75" customHeight="1" s="157"/>
    <row r="785" ht="15.75" customHeight="1" s="157"/>
    <row r="786" ht="15.75" customHeight="1" s="157"/>
    <row r="787" ht="15.75" customHeight="1" s="157"/>
    <row r="788" ht="15.75" customHeight="1" s="157"/>
    <row r="789" ht="15.75" customHeight="1" s="157"/>
    <row r="790" ht="15.75" customHeight="1" s="157"/>
    <row r="791" ht="15.75" customHeight="1" s="157"/>
    <row r="792" ht="15.75" customHeight="1" s="157"/>
    <row r="793" ht="15.75" customHeight="1" s="157"/>
    <row r="794" ht="15.75" customHeight="1" s="157"/>
    <row r="795" ht="15.75" customHeight="1" s="157"/>
    <row r="796" ht="15.75" customHeight="1" s="157"/>
    <row r="797" ht="15.75" customHeight="1" s="157"/>
    <row r="798" ht="15.75" customHeight="1" s="157"/>
    <row r="799" ht="15.75" customHeight="1" s="157"/>
    <row r="800" ht="15.75" customHeight="1" s="157"/>
    <row r="801" ht="15.75" customHeight="1" s="157"/>
    <row r="802" ht="15.75" customHeight="1" s="157"/>
    <row r="803" ht="15.75" customHeight="1" s="157"/>
    <row r="804" ht="15.75" customHeight="1" s="157"/>
    <row r="805" ht="15.75" customHeight="1" s="157"/>
    <row r="806" ht="15.75" customHeight="1" s="157"/>
    <row r="807" ht="15.75" customHeight="1" s="157"/>
    <row r="808" ht="15.75" customHeight="1" s="157"/>
    <row r="809" ht="15.75" customHeight="1" s="157"/>
    <row r="810" ht="15.75" customHeight="1" s="157"/>
    <row r="811" ht="15.75" customHeight="1" s="157"/>
    <row r="812" ht="15.75" customHeight="1" s="157"/>
    <row r="813" ht="15.75" customHeight="1" s="157"/>
    <row r="814" ht="15.75" customHeight="1" s="157"/>
    <row r="815" ht="15.75" customHeight="1" s="157"/>
    <row r="816" ht="15.75" customHeight="1" s="157"/>
    <row r="817" ht="15.75" customHeight="1" s="157"/>
    <row r="818" ht="15.75" customHeight="1" s="157"/>
    <row r="819" ht="15.75" customHeight="1" s="157"/>
    <row r="820" ht="15.75" customHeight="1" s="157"/>
    <row r="821" ht="15.75" customHeight="1" s="157"/>
    <row r="822" ht="15.75" customHeight="1" s="157"/>
    <row r="823" ht="15.75" customHeight="1" s="157"/>
    <row r="824" ht="15.75" customHeight="1" s="157"/>
    <row r="825" ht="15.75" customHeight="1" s="157"/>
    <row r="826" ht="15.75" customHeight="1" s="157"/>
    <row r="827" ht="15.75" customHeight="1" s="157"/>
    <row r="828" ht="15.75" customHeight="1" s="157"/>
    <row r="829" ht="15.75" customHeight="1" s="157"/>
    <row r="830" ht="15.75" customHeight="1" s="157"/>
    <row r="831" ht="15.75" customHeight="1" s="157"/>
    <row r="832" ht="15.75" customHeight="1" s="157"/>
    <row r="833" ht="15.75" customHeight="1" s="157"/>
    <row r="834" ht="15.75" customHeight="1" s="157"/>
    <row r="835" ht="15.75" customHeight="1" s="157"/>
    <row r="836" ht="15.75" customHeight="1" s="157"/>
    <row r="837" ht="15.75" customHeight="1" s="157"/>
    <row r="838" ht="15.75" customHeight="1" s="157"/>
    <row r="839" ht="15.75" customHeight="1" s="157"/>
    <row r="840" ht="15.75" customHeight="1" s="157"/>
    <row r="841" ht="15.75" customHeight="1" s="157"/>
    <row r="842" ht="15.75" customHeight="1" s="157"/>
    <row r="843" ht="15.75" customHeight="1" s="157"/>
    <row r="844" ht="15.75" customHeight="1" s="157"/>
    <row r="845" ht="15.75" customHeight="1" s="157"/>
    <row r="846" ht="15.75" customHeight="1" s="157"/>
    <row r="847" ht="15.75" customHeight="1" s="157"/>
    <row r="848" ht="15.75" customHeight="1" s="157"/>
    <row r="849" ht="15.75" customHeight="1" s="157"/>
    <row r="850" ht="15.75" customHeight="1" s="157"/>
    <row r="851" ht="15.75" customHeight="1" s="157"/>
    <row r="852" ht="15.75" customHeight="1" s="157"/>
    <row r="853" ht="15.75" customHeight="1" s="157"/>
    <row r="854" ht="15.75" customHeight="1" s="157"/>
    <row r="855" ht="15.75" customHeight="1" s="157"/>
    <row r="856" ht="15.75" customHeight="1" s="157"/>
    <row r="857" ht="15.75" customHeight="1" s="157"/>
    <row r="858" ht="15.75" customHeight="1" s="157"/>
    <row r="859" ht="15.75" customHeight="1" s="157"/>
    <row r="860" ht="15.75" customHeight="1" s="157"/>
    <row r="861" ht="15.75" customHeight="1" s="157"/>
    <row r="862" ht="15.75" customHeight="1" s="157"/>
    <row r="863" ht="15.75" customHeight="1" s="157"/>
    <row r="864" ht="15.75" customHeight="1" s="157"/>
    <row r="865" ht="15.75" customHeight="1" s="157"/>
    <row r="866" ht="15.75" customHeight="1" s="157"/>
    <row r="867" ht="15.75" customHeight="1" s="157"/>
    <row r="868" ht="15.75" customHeight="1" s="157"/>
    <row r="869" ht="15.75" customHeight="1" s="157"/>
    <row r="870" ht="15.75" customHeight="1" s="157"/>
    <row r="871" ht="15.75" customHeight="1" s="157"/>
    <row r="872" ht="15.75" customHeight="1" s="157"/>
    <row r="873" ht="15.75" customHeight="1" s="157"/>
    <row r="874" ht="15.75" customHeight="1" s="157"/>
    <row r="875" ht="15.75" customHeight="1" s="157"/>
    <row r="876" ht="15.75" customHeight="1" s="157"/>
    <row r="877" ht="15.75" customHeight="1" s="157"/>
    <row r="878" ht="15.75" customHeight="1" s="157"/>
    <row r="879" ht="15.75" customHeight="1" s="157"/>
    <row r="880" ht="15.75" customHeight="1" s="157"/>
    <row r="881" ht="15.75" customHeight="1" s="157"/>
    <row r="882" ht="15.75" customHeight="1" s="157"/>
    <row r="883" ht="15.75" customHeight="1" s="157"/>
    <row r="884" ht="15.75" customHeight="1" s="157"/>
    <row r="885" ht="15.75" customHeight="1" s="157"/>
    <row r="886" ht="15.75" customHeight="1" s="157"/>
    <row r="887" ht="15.75" customHeight="1" s="157"/>
    <row r="888" ht="15.75" customHeight="1" s="157"/>
    <row r="889" ht="15.75" customHeight="1" s="157"/>
    <row r="890" ht="15.75" customHeight="1" s="157"/>
    <row r="891" ht="15.75" customHeight="1" s="157"/>
    <row r="892" ht="15.75" customHeight="1" s="157"/>
    <row r="893" ht="15.75" customHeight="1" s="157"/>
    <row r="894" ht="15.75" customHeight="1" s="157"/>
    <row r="895" ht="15.75" customHeight="1" s="157"/>
    <row r="896" ht="15.75" customHeight="1" s="157"/>
    <row r="897" ht="15.75" customHeight="1" s="157"/>
    <row r="898" ht="15.75" customHeight="1" s="157"/>
    <row r="899" ht="15.75" customHeight="1" s="157"/>
    <row r="900" ht="15.75" customHeight="1" s="157"/>
    <row r="901" ht="15.75" customHeight="1" s="157"/>
    <row r="902" ht="15.75" customHeight="1" s="157"/>
    <row r="903" ht="15.75" customHeight="1" s="157"/>
    <row r="904" ht="15.75" customHeight="1" s="157"/>
    <row r="905" ht="15.75" customHeight="1" s="157"/>
    <row r="906" ht="15.75" customHeight="1" s="157"/>
    <row r="907" ht="15.75" customHeight="1" s="157"/>
    <row r="908" ht="15.75" customHeight="1" s="157"/>
    <row r="909" ht="15.75" customHeight="1" s="157"/>
    <row r="910" ht="15.75" customHeight="1" s="157"/>
    <row r="911" ht="15.75" customHeight="1" s="157"/>
    <row r="912" ht="15.75" customHeight="1" s="157"/>
    <row r="913" ht="15.75" customHeight="1" s="157"/>
    <row r="914" ht="15.75" customHeight="1" s="157"/>
    <row r="915" ht="15.75" customHeight="1" s="157"/>
    <row r="916" ht="15.75" customHeight="1" s="157"/>
    <row r="917" ht="15.75" customHeight="1" s="157"/>
    <row r="918" ht="15.75" customHeight="1" s="157"/>
    <row r="919" ht="15.75" customHeight="1" s="157"/>
    <row r="920" ht="15.75" customHeight="1" s="157"/>
    <row r="921" ht="15.75" customHeight="1" s="157"/>
    <row r="922" ht="15.75" customHeight="1" s="157"/>
    <row r="923" ht="15.75" customHeight="1" s="157"/>
    <row r="924" ht="15.75" customHeight="1" s="157"/>
    <row r="925" ht="15.75" customHeight="1" s="157"/>
    <row r="926" ht="15.75" customHeight="1" s="157"/>
    <row r="927" ht="15.75" customHeight="1" s="157"/>
    <row r="928" ht="15.75" customHeight="1" s="157"/>
    <row r="929" ht="15.75" customHeight="1" s="157"/>
    <row r="930" ht="15.75" customHeight="1" s="157"/>
    <row r="931" ht="15.75" customHeight="1" s="157"/>
    <row r="932" ht="15.75" customHeight="1" s="157"/>
    <row r="933" ht="15.75" customHeight="1" s="157"/>
    <row r="934" ht="15.75" customHeight="1" s="157"/>
    <row r="935" ht="15.75" customHeight="1" s="157"/>
    <row r="936" ht="15.75" customHeight="1" s="157"/>
    <row r="937" ht="15.75" customHeight="1" s="157"/>
    <row r="938" ht="15.75" customHeight="1" s="157"/>
    <row r="939" ht="15.75" customHeight="1" s="157"/>
    <row r="940" ht="15.75" customHeight="1" s="157"/>
    <row r="941" ht="15.75" customHeight="1" s="157"/>
    <row r="942" ht="15.75" customHeight="1" s="157"/>
    <row r="943" ht="15.75" customHeight="1" s="157"/>
    <row r="944" ht="15.75" customHeight="1" s="157"/>
    <row r="945" ht="15.75" customHeight="1" s="157"/>
    <row r="946" ht="15.75" customHeight="1" s="157"/>
    <row r="947" ht="15.75" customHeight="1" s="157"/>
    <row r="948" ht="15.75" customHeight="1" s="157"/>
    <row r="949" ht="15.75" customHeight="1" s="157"/>
    <row r="950" ht="15.75" customHeight="1" s="157"/>
    <row r="951" ht="15.75" customHeight="1" s="157"/>
    <row r="952" ht="15.75" customHeight="1" s="157"/>
    <row r="953" ht="15.75" customHeight="1" s="157"/>
    <row r="954" ht="15.75" customHeight="1" s="157"/>
    <row r="955" ht="15.75" customHeight="1" s="157"/>
    <row r="956" ht="15.75" customHeight="1" s="157"/>
    <row r="957" ht="15.75" customHeight="1" s="157"/>
    <row r="958" ht="15.75" customHeight="1" s="157"/>
    <row r="959" ht="15.75" customHeight="1" s="157"/>
    <row r="960" ht="15.75" customHeight="1" s="157"/>
    <row r="961" ht="15.75" customHeight="1" s="157"/>
    <row r="962" ht="15.75" customHeight="1" s="157"/>
    <row r="963" ht="15.75" customHeight="1" s="157"/>
    <row r="964" ht="15.75" customHeight="1" s="157"/>
    <row r="965" ht="15.75" customHeight="1" s="157"/>
    <row r="966" ht="15.75" customHeight="1" s="157"/>
    <row r="967" ht="15.75" customHeight="1" s="157"/>
    <row r="968" ht="15.75" customHeight="1" s="157"/>
    <row r="969" ht="15.75" customHeight="1" s="157"/>
    <row r="970" ht="15.75" customHeight="1" s="157"/>
    <row r="971" ht="15.75" customHeight="1" s="157"/>
    <row r="972" ht="15.75" customHeight="1" s="157"/>
    <row r="973" ht="15.75" customHeight="1" s="157"/>
    <row r="974" ht="15.75" customHeight="1" s="157"/>
    <row r="975" ht="15.75" customHeight="1" s="157"/>
    <row r="976" ht="15.75" customHeight="1" s="157"/>
    <row r="977" ht="15.75" customHeight="1" s="157"/>
    <row r="978" ht="15.75" customHeight="1" s="157"/>
    <row r="979" ht="15.75" customHeight="1" s="157"/>
    <row r="980" ht="15.75" customHeight="1" s="157"/>
    <row r="981" ht="15.75" customHeight="1" s="157"/>
    <row r="982" ht="15.75" customHeight="1" s="157"/>
    <row r="983" ht="15.75" customHeight="1" s="157"/>
    <row r="984" ht="15.75" customHeight="1" s="157"/>
    <row r="985" ht="15.75" customHeight="1" s="157"/>
    <row r="986" ht="15.75" customHeight="1" s="157"/>
    <row r="987" ht="15.75" customHeight="1" s="157"/>
    <row r="988" ht="15.75" customHeight="1" s="157"/>
    <row r="989" ht="15.75" customHeight="1" s="157"/>
    <row r="990" ht="15.75" customHeight="1" s="157"/>
    <row r="991" ht="15.75" customHeight="1" s="157"/>
    <row r="992" ht="15.75" customHeight="1" s="157"/>
    <row r="993" ht="15.75" customHeight="1" s="157"/>
    <row r="994" ht="15.75" customHeight="1" s="157"/>
    <row r="995" ht="15.75" customHeight="1" s="157"/>
    <row r="996" ht="15.75" customHeight="1" s="157"/>
    <row r="997" ht="15.75" customHeight="1" s="157"/>
    <row r="998" ht="15.75" customHeight="1" s="157"/>
    <row r="999" ht="15.75" customHeight="1" s="157"/>
    <row r="1000" ht="15.75" customHeight="1" s="157"/>
  </sheetData>
  <pageMargins left="0.7" right="0.7" top="0.75" bottom="0.75" header="0" footer="0"/>
  <pageSetup orientation="landscape"/>
</worksheet>
</file>

<file path=xl/worksheets/sheet7.xml><?xml version="1.0" encoding="utf-8"?>
<worksheet xmlns="http://schemas.openxmlformats.org/spreadsheetml/2006/main">
  <sheetPr>
    <outlinePr summaryBelow="1" summaryRight="1"/>
    <pageSetUpPr/>
  </sheetPr>
  <dimension ref="B2:L483"/>
  <sheetViews>
    <sheetView workbookViewId="0">
      <selection activeCell="A1" sqref="A1"/>
    </sheetView>
  </sheetViews>
  <sheetFormatPr baseColWidth="8" defaultColWidth="14.453125" defaultRowHeight="15" customHeight="1"/>
  <cols>
    <col width="11.54296875" customWidth="1" style="157" min="1" max="1"/>
    <col width="30.54296875" customWidth="1" style="157" min="2" max="2"/>
    <col width="11.54296875" customWidth="1" style="157" min="3" max="6"/>
    <col width="58.453125" customWidth="1" style="157" min="7" max="7"/>
    <col width="11.54296875" customWidth="1" style="157" min="8" max="12"/>
  </cols>
  <sheetData>
    <row r="2" ht="14.5" customHeight="1" s="157">
      <c r="G2" s="101" t="inlineStr">
        <is>
          <t>Codigos CIIU</t>
        </is>
      </c>
    </row>
    <row r="3" ht="14.5" customHeight="1" s="157">
      <c r="B3" s="102" t="inlineStr">
        <is>
          <t>Cumple</t>
        </is>
      </c>
      <c r="G3" s="103" t="inlineStr">
        <is>
          <t>0010 - Asalariado</t>
        </is>
      </c>
    </row>
    <row r="4" ht="14.5" customHeight="1" s="157">
      <c r="B4" s="95" t="n"/>
      <c r="D4" s="99" t="inlineStr">
        <is>
          <t>Preinversión</t>
        </is>
      </c>
      <c r="G4" s="104" t="inlineStr">
        <is>
          <t>0141 - Cria de ganado bovino y bufalino</t>
        </is>
      </c>
    </row>
    <row r="5" ht="14.5" customHeight="1" s="157">
      <c r="B5" s="95" t="inlineStr">
        <is>
          <t>Cumple</t>
        </is>
      </c>
      <c r="D5" s="99" t="inlineStr">
        <is>
          <t>Inversión</t>
        </is>
      </c>
      <c r="G5" s="104" t="inlineStr">
        <is>
          <t xml:space="preserve">0142- Cría de caballos y otros equinos </t>
        </is>
      </c>
    </row>
    <row r="6" ht="14.5" customHeight="1" s="157">
      <c r="B6" s="95" t="inlineStr">
        <is>
          <t>No cumple</t>
        </is>
      </c>
      <c r="D6" s="99" t="inlineStr">
        <is>
          <t>Operación</t>
        </is>
      </c>
      <c r="G6" s="104" t="inlineStr">
        <is>
          <t xml:space="preserve">0143- Cría de ovejas y cabras </t>
        </is>
      </c>
    </row>
    <row r="7" ht="14.5" customHeight="1" s="157">
      <c r="B7" s="95" t="inlineStr">
        <is>
          <t>No aplica</t>
        </is>
      </c>
      <c r="G7" s="104" t="inlineStr">
        <is>
          <t>0144 -Cría de ganado porcino</t>
        </is>
      </c>
    </row>
    <row r="8" ht="14.5" customHeight="1" s="157">
      <c r="G8" s="104" t="inlineStr">
        <is>
          <t>0145 -Cría de aves de corra</t>
        </is>
      </c>
    </row>
    <row r="9" ht="14.5" customHeight="1" s="157">
      <c r="B9" s="102" t="inlineStr">
        <is>
          <t>Resultado</t>
        </is>
      </c>
      <c r="G9" s="104" t="inlineStr">
        <is>
          <t>0149 -Cría de otros animales n.c.p.</t>
        </is>
      </c>
    </row>
    <row r="10" ht="14.5" customHeight="1" s="157">
      <c r="B10" s="95" t="n"/>
      <c r="D10" s="99" t="inlineStr">
        <is>
          <t>SIN</t>
        </is>
      </c>
      <c r="G10" s="104" t="inlineStr">
        <is>
          <t>0150 -Explotación mixta (agrícola y pecuaria)</t>
        </is>
      </c>
    </row>
    <row r="11" ht="14.5" customHeight="1" s="157">
      <c r="B11" s="95" t="inlineStr">
        <is>
          <t>Favorable</t>
        </is>
      </c>
      <c r="D11" s="99" t="inlineStr">
        <is>
          <t>ZNI</t>
        </is>
      </c>
      <c r="G11" s="104" t="inlineStr">
        <is>
          <t>0161 -Actividades de apoyo a la agricultura</t>
        </is>
      </c>
    </row>
    <row r="12" ht="14.5" customHeight="1" s="157">
      <c r="B12" s="95" t="inlineStr">
        <is>
          <t>Desfavorable</t>
        </is>
      </c>
      <c r="G12" s="104" t="inlineStr">
        <is>
          <t>0162 -Actividades de apoyo a la ganadería</t>
        </is>
      </c>
    </row>
    <row r="13" ht="14.5" customHeight="1" s="157">
      <c r="B13" s="95" t="inlineStr">
        <is>
          <t>Requiere de información aclaratoria</t>
        </is>
      </c>
      <c r="D13" s="99" t="inlineStr">
        <is>
          <t>Si</t>
        </is>
      </c>
      <c r="G13" s="104" t="inlineStr">
        <is>
          <t>0163 -Actividades posteriores a la cosecha</t>
        </is>
      </c>
    </row>
    <row r="14" ht="14.5" customHeight="1" s="157">
      <c r="D14" s="99" t="inlineStr">
        <is>
          <t>No</t>
        </is>
      </c>
      <c r="G14" s="104" t="inlineStr">
        <is>
          <t>0164 -Tratamiento de semillas para propagación</t>
        </is>
      </c>
    </row>
    <row r="15" ht="14.5" customHeight="1" s="157">
      <c r="B15" s="102" t="inlineStr">
        <is>
          <t>Cumple</t>
        </is>
      </c>
      <c r="G15" s="104" t="inlineStr">
        <is>
          <t>0170 -Caza ordinaria y mediante trampas y actividades de servicios conexas</t>
        </is>
      </c>
    </row>
    <row r="16" ht="14.5" customHeight="1" s="157">
      <c r="B16" s="95" t="n"/>
      <c r="G16" s="104" t="inlineStr">
        <is>
          <t>0210 -Silvicultura y otras actividades forestales</t>
        </is>
      </c>
    </row>
    <row r="17" ht="14.5" customHeight="1" s="157">
      <c r="B17" s="95" t="inlineStr">
        <is>
          <t>Si</t>
        </is>
      </c>
      <c r="G17" s="104" t="inlineStr">
        <is>
          <t>0220- Extracción de madera</t>
        </is>
      </c>
    </row>
    <row r="18" ht="14.5" customHeight="1" s="157">
      <c r="B18" s="95" t="inlineStr">
        <is>
          <t>No</t>
        </is>
      </c>
      <c r="G18" s="104" t="inlineStr">
        <is>
          <t>0230- Recolección de productos forestales diferentes a la madera</t>
        </is>
      </c>
    </row>
    <row r="19" ht="14.5" customHeight="1" s="157">
      <c r="B19" s="95" t="inlineStr">
        <is>
          <t>No aplica</t>
        </is>
      </c>
      <c r="G19" s="104" t="inlineStr">
        <is>
          <t>0240- Servicios de apoyo a la silvicultura</t>
        </is>
      </c>
    </row>
    <row r="20" ht="14.5" customHeight="1" s="157">
      <c r="G20" s="104" t="inlineStr">
        <is>
          <t>0311- Pesca marítima</t>
        </is>
      </c>
    </row>
    <row r="21" ht="15.75" customHeight="1" s="157">
      <c r="G21" s="104" t="inlineStr">
        <is>
          <t>0312- Pesca de agua dulce</t>
        </is>
      </c>
    </row>
    <row r="22" ht="15.75" customHeight="1" s="157">
      <c r="G22" s="104" t="inlineStr">
        <is>
          <t>0321- Acuicultura marítima</t>
        </is>
      </c>
    </row>
    <row r="23" ht="15.75" customHeight="1" s="157">
      <c r="G23" s="104" t="inlineStr">
        <is>
          <t>0322- Acuicultura de agua dulce</t>
        </is>
      </c>
    </row>
    <row r="24" ht="15.75" customHeight="1" s="157">
      <c r="G24" s="104" t="inlineStr">
        <is>
          <t>0510- Extracción de hulla (carbón de piedra)</t>
        </is>
      </c>
    </row>
    <row r="25" ht="15.75" customHeight="1" s="157">
      <c r="G25" s="104" t="inlineStr">
        <is>
          <t>0520- Extracción de carbón lignito</t>
        </is>
      </c>
    </row>
    <row r="26" ht="15.75" customHeight="1" s="157">
      <c r="G26" s="104" t="inlineStr">
        <is>
          <t>0610- Extracción de petróleo crudo</t>
        </is>
      </c>
    </row>
    <row r="27" ht="15.75" customHeight="1" s="157">
      <c r="G27" s="104" t="inlineStr">
        <is>
          <t>0620- Extracción de gas natural</t>
        </is>
      </c>
    </row>
    <row r="28" ht="15.75" customHeight="1" s="157">
      <c r="G28" s="104" t="inlineStr">
        <is>
          <t>0710- Extracción de minerales de hierro</t>
        </is>
      </c>
    </row>
    <row r="29" ht="15.75" customHeight="1" s="157">
      <c r="G29" s="104" t="inlineStr">
        <is>
          <t>0721- Extracción de minerales de uranio y de torio</t>
        </is>
      </c>
    </row>
    <row r="30" ht="15.75" customHeight="1" s="157">
      <c r="G30" s="104" t="inlineStr">
        <is>
          <t>0722- Extracción de oro y otros metales preciosos</t>
        </is>
      </c>
    </row>
    <row r="31" ht="15.75" customHeight="1" s="157">
      <c r="G31" s="104" t="inlineStr">
        <is>
          <t>0723- Extracción de minerales de níque</t>
        </is>
      </c>
    </row>
    <row r="32" ht="15.75" customHeight="1" s="157">
      <c r="G32" s="104" t="inlineStr">
        <is>
          <t>0729- Extracción de otros minerales metalíferos no ferrosos n.c.p.</t>
        </is>
      </c>
    </row>
    <row r="33" ht="15.75" customHeight="1" s="157">
      <c r="G33" s="104" t="inlineStr">
        <is>
          <t>0811- Extracción de piedra, arena, arcillas comunes, yeso y anhidrita</t>
        </is>
      </c>
    </row>
    <row r="34" ht="15.75" customHeight="1" s="157">
      <c r="G34" s="104" t="inlineStr">
        <is>
          <t>0812- Extracción de arcillas de uso industrial, caliza, caolín y bentonitas</t>
        </is>
      </c>
    </row>
    <row r="35" ht="15.75" customHeight="1" s="157">
      <c r="G35" s="104" t="inlineStr">
        <is>
          <t>0820- Extracción de esmeraldas, piedras preciosas y semipreciosas</t>
        </is>
      </c>
    </row>
    <row r="36" ht="15.75" customHeight="1" s="157">
      <c r="G36" s="104" t="inlineStr">
        <is>
          <t>0891- Extracción de minerales para la fabricación de abonos y productos químicos</t>
        </is>
      </c>
    </row>
    <row r="37" ht="15.75" customHeight="1" s="157">
      <c r="G37" s="104" t="inlineStr">
        <is>
          <t>0892- Extracción de halita (sal)</t>
        </is>
      </c>
    </row>
    <row r="38" ht="15.75" customHeight="1" s="157">
      <c r="G38" s="104" t="inlineStr">
        <is>
          <t>0899- Extracción de otros minerales no metálicos n.c.p.</t>
        </is>
      </c>
      <c r="H38" s="105" t="n"/>
      <c r="I38" s="105" t="n"/>
      <c r="J38" s="105" t="n"/>
      <c r="K38" s="105" t="n"/>
      <c r="L38" s="105" t="n"/>
    </row>
    <row r="39" ht="15.75" customHeight="1" s="157">
      <c r="G39" s="104" t="inlineStr">
        <is>
          <t>0910- Actividades de apoyo para la extracción de petróleo y de gas natura</t>
        </is>
      </c>
    </row>
    <row r="40" ht="15.75" customHeight="1" s="157">
      <c r="G40" s="104" t="inlineStr">
        <is>
          <t>0990- Actividades de apoyo para otras actividades de explotación de minas y canteras</t>
        </is>
      </c>
    </row>
    <row r="41" ht="15.75" customHeight="1" s="157">
      <c r="G41" s="104" t="inlineStr">
        <is>
          <t>1011 - Procesamiento y conservación de carne y productos cárnicos</t>
        </is>
      </c>
    </row>
    <row r="42" ht="15.75" customHeight="1" s="157">
      <c r="G42" s="104" t="inlineStr">
        <is>
          <t>1012 - Procesamiento y conservación de pescados, crustáceos y moluscos</t>
        </is>
      </c>
    </row>
    <row r="43" ht="15.75" customHeight="1" s="157">
      <c r="G43" s="104" t="inlineStr">
        <is>
          <t>1020 - Procesamiento y conservación de frutas, legumbres, hortalizas y tubérculos</t>
        </is>
      </c>
    </row>
    <row r="44" ht="15.75" customHeight="1" s="157">
      <c r="G44" s="104" t="inlineStr">
        <is>
          <t>1030 - Elaboración de aceites y grasas de origen vegetal y animal</t>
        </is>
      </c>
    </row>
    <row r="45" ht="15.75" customHeight="1" s="157">
      <c r="G45" s="104" t="inlineStr">
        <is>
          <t>1040 - Elaboración de productos lácteos</t>
        </is>
      </c>
    </row>
    <row r="46" ht="15.75" customHeight="1" s="157">
      <c r="G46" s="104" t="inlineStr">
        <is>
          <t>1051 - Elaboración de productos de molinería</t>
        </is>
      </c>
    </row>
    <row r="47" ht="15.75" customHeight="1" s="157">
      <c r="G47" s="104" t="inlineStr">
        <is>
          <t>1052 - Elaboración de almidones y productos derivados del almidón</t>
        </is>
      </c>
    </row>
    <row r="48" ht="15.75" customHeight="1" s="157">
      <c r="G48" s="104" t="inlineStr">
        <is>
          <t>1061 - Trilla de café</t>
        </is>
      </c>
    </row>
    <row r="49" ht="15.75" customHeight="1" s="157">
      <c r="G49" s="104" t="inlineStr">
        <is>
          <t>1062 - Descafeinado, tostión y molienda del café</t>
        </is>
      </c>
    </row>
    <row r="50" ht="15.75" customHeight="1" s="157">
      <c r="G50" s="104" t="inlineStr">
        <is>
          <t>1063 - Otros derivados del café</t>
        </is>
      </c>
    </row>
    <row r="51" ht="15.75" customHeight="1" s="157">
      <c r="G51" s="104" t="inlineStr">
        <is>
          <t>1071 - Elaboración y refinación de azúcar</t>
        </is>
      </c>
    </row>
    <row r="52" ht="15.75" customHeight="1" s="157">
      <c r="G52" s="104" t="inlineStr">
        <is>
          <t>1072 - Elaboración de panela</t>
        </is>
      </c>
    </row>
    <row r="53" ht="15.75" customHeight="1" s="157">
      <c r="G53" s="104" t="inlineStr">
        <is>
          <t>1081 - Elaboración de productos de panadería</t>
        </is>
      </c>
    </row>
    <row r="54" ht="15.75" customHeight="1" s="157">
      <c r="G54" s="104" t="inlineStr">
        <is>
          <t>1082 - Elaboración de cacao, chocolate y productos de confitería</t>
        </is>
      </c>
    </row>
    <row r="55" ht="15.75" customHeight="1" s="157">
      <c r="G55" s="104" t="inlineStr">
        <is>
          <t>1083 - Elaboración de macarrones, fideos, alcuzcuz y productos farináceos similares</t>
        </is>
      </c>
    </row>
    <row r="56" ht="15.75" customHeight="1" s="157">
      <c r="G56" s="104" t="inlineStr">
        <is>
          <t>1084 - Elaboración de comidas y platos preparados</t>
        </is>
      </c>
    </row>
    <row r="57" ht="15.75" customHeight="1" s="157">
      <c r="G57" s="104" t="inlineStr">
        <is>
          <t>1089 - Elaboración de otros productos alimenticios n.c.p.</t>
        </is>
      </c>
    </row>
    <row r="58" ht="15.75" customHeight="1" s="157">
      <c r="G58" s="104" t="inlineStr">
        <is>
          <t>1090 - Elaboración de alimentos preparados para animales</t>
        </is>
      </c>
    </row>
    <row r="59" ht="15.75" customHeight="1" s="157">
      <c r="G59" s="104" t="inlineStr">
        <is>
          <t>1101 - Destilación, rectificación y mezcla de bebidas alcohólicas</t>
        </is>
      </c>
    </row>
    <row r="60" ht="15.75" customHeight="1" s="157">
      <c r="G60" s="104" t="inlineStr">
        <is>
          <t>1102 - Elaboración de bebidas fermentadas no destiladas</t>
        </is>
      </c>
    </row>
    <row r="61" ht="15.75" customHeight="1" s="157">
      <c r="G61" s="104" t="inlineStr">
        <is>
          <t>1103 - Producción de malta, elaboración de cervezas y otras bebidas malteadas</t>
        </is>
      </c>
    </row>
    <row r="62" ht="15.75" customHeight="1" s="157">
      <c r="G62" s="104" t="inlineStr">
        <is>
          <t>1104 - Elaboración de bebidas no alcohólicas, producción de aguas minerales y de otras aguas embotelladas</t>
        </is>
      </c>
    </row>
    <row r="63" ht="15.75" customHeight="1" s="157">
      <c r="G63" s="104" t="inlineStr">
        <is>
          <t>1200 - Elaboración de productos de tabaco</t>
        </is>
      </c>
    </row>
    <row r="64" ht="15.75" customHeight="1" s="157">
      <c r="G64" s="104" t="inlineStr">
        <is>
          <t>1311 - Preparación e hilatura de fibras textiles</t>
        </is>
      </c>
    </row>
    <row r="65" ht="15.75" customHeight="1" s="157">
      <c r="G65" s="104" t="inlineStr">
        <is>
          <t>1312 - Tejeduría de productos textiles</t>
        </is>
      </c>
    </row>
    <row r="66" ht="15.75" customHeight="1" s="157">
      <c r="G66" s="104" t="inlineStr">
        <is>
          <t>1313 - Acabado de productos textiles</t>
        </is>
      </c>
    </row>
    <row r="67" ht="15.75" customHeight="1" s="157">
      <c r="G67" s="104" t="inlineStr">
        <is>
          <t>1391 - Fabricación de tejidos de punto y ganchillo</t>
        </is>
      </c>
    </row>
    <row r="68" ht="15.75" customHeight="1" s="157">
      <c r="G68" s="104" t="inlineStr">
        <is>
          <t>1392 - Confección de artículos con materiales textiles, excepto prendas de vestir</t>
        </is>
      </c>
    </row>
    <row r="69" ht="15.75" customHeight="1" s="157">
      <c r="G69" s="104" t="inlineStr">
        <is>
          <t>1393 - Fabricación de tapetes y alfombras para pisos</t>
        </is>
      </c>
    </row>
    <row r="70" ht="15.75" customHeight="1" s="157">
      <c r="G70" s="104" t="inlineStr">
        <is>
          <t>1394 - Fabricación de cuerdas, cordeles, cables, bramantes y redes</t>
        </is>
      </c>
    </row>
    <row r="71" ht="15.75" customHeight="1" s="157">
      <c r="G71" s="104" t="inlineStr">
        <is>
          <t>1399 - Fabricación de otros artículos textiles n.c.p.</t>
        </is>
      </c>
    </row>
    <row r="72" ht="15.75" customHeight="1" s="157">
      <c r="G72" s="104" t="inlineStr">
        <is>
          <t>1410 - Confección de prendas de vestir, excepto prendas de piel</t>
        </is>
      </c>
    </row>
    <row r="73" ht="15.75" customHeight="1" s="157">
      <c r="G73" s="104" t="inlineStr">
        <is>
          <t>1420 - Fabricación de artículos de piel</t>
        </is>
      </c>
    </row>
    <row r="74" ht="15.75" customHeight="1" s="157">
      <c r="G74" s="104" t="inlineStr">
        <is>
          <t>1430 - Fabricación de artículos de punto y ganchillo</t>
        </is>
      </c>
    </row>
    <row r="75" ht="15.75" customHeight="1" s="157">
      <c r="G75" s="104" t="inlineStr">
        <is>
          <t>1511 - Curtido y recurtido de cueros; recurtido y teñido de pieles</t>
        </is>
      </c>
    </row>
    <row r="76" ht="15.75" customHeight="1" s="157">
      <c r="G76" s="104" t="inlineStr">
        <is>
          <t>1512 - Fabricación de artículos de viaje, bolsos de mano y artículos similares elaborados en cuero, y fabricación de artículos de talabartería y guarnicionería</t>
        </is>
      </c>
    </row>
    <row r="77" ht="15.75" customHeight="1" s="157">
      <c r="G77" s="104" t="inlineStr">
        <is>
          <t>1513 - Fabricación de artículos de viaje, bolsos de mano y artículos similares; artículos de talabartería y guarnicionería elaborados en otros materiales</t>
        </is>
      </c>
    </row>
    <row r="78" ht="15.75" customHeight="1" s="157">
      <c r="G78" s="104" t="inlineStr">
        <is>
          <t>1521 - Fabricación de calzado de cuero y piel, con cualquier tipo de suela</t>
        </is>
      </c>
    </row>
    <row r="79" ht="15.75" customHeight="1" s="157">
      <c r="G79" s="104" t="inlineStr">
        <is>
          <t>1522 - Fabricación de otros tipos de calzado, excepto calzado de cuero y piel</t>
        </is>
      </c>
    </row>
    <row r="80" ht="15.75" customHeight="1" s="157">
      <c r="G80" s="104" t="inlineStr">
        <is>
          <t>1523 - Fabricación de partes del calzado</t>
        </is>
      </c>
    </row>
    <row r="81" ht="15.75" customHeight="1" s="157">
      <c r="G81" s="104" t="inlineStr">
        <is>
          <t>1610 - Aserrado, acepillado e impregnación de la madera</t>
        </is>
      </c>
    </row>
    <row r="82" ht="15.75" customHeight="1" s="157">
      <c r="G82" s="104" t="inlineStr">
        <is>
          <t>1620 - Fabricación de hojas de madera para enchapado; fabricación de tableros contrachapados, tableros laminados, tableros de partículas y otros tableros y paneles</t>
        </is>
      </c>
    </row>
    <row r="83" ht="15.75" customHeight="1" s="157">
      <c r="G83" s="104" t="inlineStr">
        <is>
          <t>1630 - Fabricación de partes y piezas de madera, de carpintería y ebanistería para la construcción</t>
        </is>
      </c>
    </row>
    <row r="84" ht="15.75" customHeight="1" s="157">
      <c r="G84" s="104" t="inlineStr">
        <is>
          <t>1640 - Fabricación de recipientes de madera</t>
        </is>
      </c>
    </row>
    <row r="85" ht="15.75" customHeight="1" s="157">
      <c r="G85" s="104" t="inlineStr">
        <is>
          <t>1690 - Fabricación de otros productos de madera; fabricación de artículos de corcho, cestería y espartería</t>
        </is>
      </c>
    </row>
    <row r="86" ht="15.75" customHeight="1" s="157">
      <c r="G86" s="104" t="inlineStr">
        <is>
          <t>1701 - Fabricación de pulpas (pastas) celulósicas; papel y cartón</t>
        </is>
      </c>
    </row>
    <row r="87" ht="15.75" customHeight="1" s="157">
      <c r="G87" s="104" t="inlineStr">
        <is>
          <t>1702 - Fabricación de papel y cartón ondulado (corrugado); fabricación de envases, empaques y de embalajes de papel y cartón.</t>
        </is>
      </c>
    </row>
    <row r="88" ht="15.75" customHeight="1" s="157">
      <c r="G88" s="104" t="inlineStr">
        <is>
          <t>1709 - Fabricación de otros artículos de papel y cartón</t>
        </is>
      </c>
    </row>
    <row r="89" ht="15.75" customHeight="1" s="157">
      <c r="G89" s="104" t="inlineStr">
        <is>
          <t>1811 - Actividades de impresión</t>
        </is>
      </c>
    </row>
    <row r="90" ht="15.75" customHeight="1" s="157">
      <c r="G90" s="104" t="inlineStr">
        <is>
          <t>1812 - Actividades de servicios relacionados con la impresión</t>
        </is>
      </c>
    </row>
    <row r="91" ht="15.75" customHeight="1" s="157">
      <c r="G91" s="104" t="inlineStr">
        <is>
          <t xml:space="preserve">1820 - Producción de copias a partir de grabaciones originales </t>
        </is>
      </c>
    </row>
    <row r="92" ht="15.75" customHeight="1" s="157">
      <c r="G92" s="104" t="inlineStr">
        <is>
          <t>1910 - Fabricación de productos de hornos de coque</t>
        </is>
      </c>
    </row>
    <row r="93" ht="15.75" customHeight="1" s="157">
      <c r="G93" s="104" t="inlineStr">
        <is>
          <t>1921 - Fabricación de productos de la refinación del petróleo</t>
        </is>
      </c>
    </row>
    <row r="94" ht="15.75" customHeight="1" s="157">
      <c r="G94" s="104" t="inlineStr">
        <is>
          <t>1922 - Actividad de mezcla de combustibles</t>
        </is>
      </c>
    </row>
    <row r="95" ht="15.75" customHeight="1" s="157">
      <c r="G95" s="104" t="inlineStr">
        <is>
          <t>2011 - Fabricación de sustancias y productos químicos básicos</t>
        </is>
      </c>
    </row>
    <row r="96" ht="15.75" customHeight="1" s="157">
      <c r="G96" s="104" t="inlineStr">
        <is>
          <t>2012 - Fabricación de abonos y compuestos inorgánicos nitrogenados</t>
        </is>
      </c>
    </row>
    <row r="97" ht="15.75" customHeight="1" s="157">
      <c r="G97" s="104" t="inlineStr">
        <is>
          <t>2013 - Fabricación de plásticos en formas primarias</t>
        </is>
      </c>
    </row>
    <row r="98" ht="15.75" customHeight="1" s="157">
      <c r="G98" s="104" t="inlineStr">
        <is>
          <t>2014 - Fabricación de caucho sintético en formas primarias</t>
        </is>
      </c>
    </row>
    <row r="99" ht="15.75" customHeight="1" s="157">
      <c r="G99" s="104" t="inlineStr">
        <is>
          <t>2021 - Fabricación de plaguicidas y otros productos químicos de uso agropecuario</t>
        </is>
      </c>
    </row>
    <row r="100" ht="15.75" customHeight="1" s="157">
      <c r="G100" s="104" t="inlineStr">
        <is>
          <t>2022 - Fabricación de pinturas, barnices y revestimientos similares, tintas para impresión y masillas</t>
        </is>
      </c>
    </row>
    <row r="101" ht="15.75" customHeight="1" s="157">
      <c r="G101" s="104" t="inlineStr">
        <is>
          <t>2023 - Fabricación de jabones y detergentes, preparados para limpiar y pulir; perfumes y preparados de tocador</t>
        </is>
      </c>
    </row>
    <row r="102" ht="15.75" customHeight="1" s="157">
      <c r="G102" s="104" t="inlineStr">
        <is>
          <t>2029 - Fabricación de otros productos químicos n.c.p.</t>
        </is>
      </c>
    </row>
    <row r="103" ht="15.75" customHeight="1" s="157">
      <c r="G103" s="104" t="inlineStr">
        <is>
          <t>2030 - Fabricación de fibras sintéticas y artificiales</t>
        </is>
      </c>
    </row>
    <row r="104" ht="15.75" customHeight="1" s="157">
      <c r="G104" s="104" t="inlineStr">
        <is>
          <t>2211 - Fabricación de llantas y neumáticos de caucho</t>
        </is>
      </c>
    </row>
    <row r="105" ht="15.75" customHeight="1" s="157">
      <c r="G105" s="104" t="inlineStr">
        <is>
          <t>2212 - Reencauche de llantas usadas</t>
        </is>
      </c>
    </row>
    <row r="106" ht="15.75" customHeight="1" s="157">
      <c r="G106" s="104" t="inlineStr">
        <is>
          <t>2219 - Fabricación de formas básicas de caucho y otros productos de caucho n.c.p.</t>
        </is>
      </c>
    </row>
    <row r="107" ht="15.75" customHeight="1" s="157">
      <c r="G107" s="104" t="inlineStr">
        <is>
          <t>2221 - Fabricación de formas básicas de plástico</t>
        </is>
      </c>
    </row>
    <row r="108" ht="15.75" customHeight="1" s="157">
      <c r="G108" s="104" t="inlineStr">
        <is>
          <t>2229 - Fabricación de artículos de plástico n.c.p.</t>
        </is>
      </c>
    </row>
    <row r="109" ht="15.75" customHeight="1" s="157">
      <c r="G109" s="104" t="inlineStr">
        <is>
          <t>2310 - Fabricación de vidrio y productos de vidrio</t>
        </is>
      </c>
    </row>
    <row r="110" ht="15.75" customHeight="1" s="157">
      <c r="G110" s="104" t="inlineStr">
        <is>
          <t>2391 - Fabricación de productos refractarios</t>
        </is>
      </c>
    </row>
    <row r="111" ht="15.75" customHeight="1" s="157">
      <c r="G111" s="104" t="inlineStr">
        <is>
          <t>2392 - Fabricación de materiales de arcilla para la construcción</t>
        </is>
      </c>
    </row>
    <row r="112" ht="15.75" customHeight="1" s="157">
      <c r="G112" s="104" t="inlineStr">
        <is>
          <t>2393 - Fabricación de otros productos de cerámica y porcelana</t>
        </is>
      </c>
    </row>
    <row r="113" ht="15.75" customHeight="1" s="157">
      <c r="G113" s="104" t="inlineStr">
        <is>
          <t>2394 - Fabricación de cemento, cal y yeso</t>
        </is>
      </c>
    </row>
    <row r="114" ht="15.75" customHeight="1" s="157">
      <c r="G114" s="104" t="n"/>
    </row>
    <row r="115" ht="15.75" customHeight="1" s="157">
      <c r="G115" s="104" t="inlineStr">
        <is>
          <t>2395 - Fabricación de artículos de hormigón, cemento y yeso</t>
        </is>
      </c>
    </row>
    <row r="116" ht="15.75" customHeight="1" s="157">
      <c r="G116" s="104" t="inlineStr">
        <is>
          <t>2396 - Corte, tallado y acabado de la piedra</t>
        </is>
      </c>
    </row>
    <row r="117" ht="15.75" customHeight="1" s="157">
      <c r="G117" s="104" t="inlineStr">
        <is>
          <t>2399 - Fabricación de otros productos minerales no metálicos n.c.p.</t>
        </is>
      </c>
    </row>
    <row r="118" ht="15.75" customHeight="1" s="157">
      <c r="G118" s="104" t="inlineStr">
        <is>
          <t>2410 - Industrias básicas de hierro y de acero</t>
        </is>
      </c>
    </row>
    <row r="119" ht="15.75" customHeight="1" s="157">
      <c r="G119" s="104" t="inlineStr">
        <is>
          <t>2421 - Industrias básicas de metales preciosos</t>
        </is>
      </c>
    </row>
    <row r="120" ht="15.75" customHeight="1" s="157">
      <c r="G120" s="104" t="inlineStr">
        <is>
          <t>2429 - Industrias básicas de otros metales no ferrosos</t>
        </is>
      </c>
    </row>
    <row r="121" ht="15.75" customHeight="1" s="157">
      <c r="G121" s="104" t="inlineStr">
        <is>
          <t>2431 - Fundición de hierro y de acero</t>
        </is>
      </c>
    </row>
    <row r="122" ht="15.75" customHeight="1" s="157">
      <c r="G122" s="104" t="inlineStr">
        <is>
          <t xml:space="preserve">2432 - Fundición de metales no ferrosos </t>
        </is>
      </c>
    </row>
    <row r="123" ht="15.75" customHeight="1" s="157">
      <c r="G123" s="104" t="inlineStr">
        <is>
          <t>2511 - Fabricación de productos metálicos para uso estructural</t>
        </is>
      </c>
    </row>
    <row r="124" ht="15.75" customHeight="1" s="157">
      <c r="G124" s="104" t="inlineStr">
        <is>
          <t>2512 - Fabricación de tanques, depósitos y recipientes de metal, excepto los utilizados para el envase o transporte de mercancías</t>
        </is>
      </c>
    </row>
    <row r="125" ht="15.75" customHeight="1" s="157">
      <c r="G125" s="104" t="inlineStr">
        <is>
          <t>2513 - Fabricación de generadores de vapor, excepto calderas de agua caliente para calefacción central</t>
        </is>
      </c>
    </row>
    <row r="126" ht="15.75" customHeight="1" s="157">
      <c r="G126" s="104" t="inlineStr">
        <is>
          <t>2520 - Fabricación de armas y municiones</t>
        </is>
      </c>
    </row>
    <row r="127" ht="15.75" customHeight="1" s="157">
      <c r="G127" s="104" t="inlineStr">
        <is>
          <t>2591 - Forja, prensado, estampado y laminado de metal; pulvimetalurgia</t>
        </is>
      </c>
    </row>
    <row r="128" ht="15.75" customHeight="1" s="157">
      <c r="G128" s="104" t="inlineStr">
        <is>
          <t>2592 - Tratamiento y revestimiento de metales; mecanizado</t>
        </is>
      </c>
    </row>
    <row r="129" ht="15.75" customHeight="1" s="157">
      <c r="G129" s="104" t="inlineStr">
        <is>
          <t>2593 - Fabricación de artículos de cuchillería, herramientas de mano y artículos de ferretería</t>
        </is>
      </c>
    </row>
    <row r="130" ht="15.75" customHeight="1" s="157">
      <c r="G130" s="104" t="inlineStr">
        <is>
          <t>2599 - Fabricación de otros productos elaborados de metal n.c.p.</t>
        </is>
      </c>
    </row>
    <row r="131" ht="15.75" customHeight="1" s="157">
      <c r="G131" s="104" t="inlineStr">
        <is>
          <t>2610 - Fabricación de componentes y tableros electrónicos</t>
        </is>
      </c>
    </row>
    <row r="132" ht="15.75" customHeight="1" s="157">
      <c r="G132" s="104" t="inlineStr">
        <is>
          <t>2620 - Fabricación de computadoras y de equipo periférico</t>
        </is>
      </c>
    </row>
    <row r="133" ht="15.75" customHeight="1" s="157">
      <c r="G133" s="104" t="inlineStr">
        <is>
          <t>2630 - Fabricación de equipos de comunicación</t>
        </is>
      </c>
    </row>
    <row r="134" ht="15.75" customHeight="1" s="157">
      <c r="G134" s="104" t="inlineStr">
        <is>
          <t>2640 - Fabricación de aparatos electrónicos de consumo</t>
        </is>
      </c>
    </row>
    <row r="135" ht="15.75" customHeight="1" s="157">
      <c r="G135" s="104" t="inlineStr">
        <is>
          <t>2651 - Fabricación de equipo de medición, prueba, navegación y control</t>
        </is>
      </c>
    </row>
    <row r="136" ht="15.75" customHeight="1" s="157">
      <c r="G136" s="104" t="inlineStr">
        <is>
          <t>2652 - Fabricación de relojes</t>
        </is>
      </c>
    </row>
    <row r="137" ht="15.75" customHeight="1" s="157">
      <c r="G137" s="104" t="inlineStr">
        <is>
          <t>2660 - Fabricación de equipo de irradiación y equipo electrónico de uso médico y terapéutico</t>
        </is>
      </c>
    </row>
    <row r="138" ht="15.75" customHeight="1" s="157">
      <c r="G138" s="104" t="inlineStr">
        <is>
          <t>2670 - Fabricación de instrumentos ópticos y equipo fotográfico</t>
        </is>
      </c>
    </row>
    <row r="139" ht="15.75" customHeight="1" s="157">
      <c r="G139" s="104" t="inlineStr">
        <is>
          <t>2680 - Fabricación de medios magnéticos y ópticos para almacenamiento de datos</t>
        </is>
      </c>
    </row>
    <row r="140" ht="15.75" customHeight="1" s="157">
      <c r="G140" s="104" t="inlineStr">
        <is>
          <t>2711 - Fabricación de motores, generadores y transformadores eléctricos</t>
        </is>
      </c>
    </row>
    <row r="141" ht="15.75" customHeight="1" s="157">
      <c r="G141" s="104" t="inlineStr">
        <is>
          <t>2712 - Fabricación de aparatos de distribución y control de la energía eléctrica</t>
        </is>
      </c>
    </row>
    <row r="142" ht="15.75" customHeight="1" s="157">
      <c r="G142" s="104" t="inlineStr">
        <is>
          <t>2720 - Fabricación de pilas, baterías y acumuladores eléctricos</t>
        </is>
      </c>
    </row>
    <row r="143" ht="15.75" customHeight="1" s="157">
      <c r="G143" s="104" t="inlineStr">
        <is>
          <t>2731 - Fabricación de hilos y cables eléctricos y de fibra óptica</t>
        </is>
      </c>
    </row>
    <row r="144" ht="15.75" customHeight="1" s="157">
      <c r="G144" s="104" t="inlineStr">
        <is>
          <t>2732 - Fabricación de dispositivos de cableado</t>
        </is>
      </c>
    </row>
    <row r="145" ht="15.75" customHeight="1" s="157">
      <c r="G145" s="104" t="inlineStr">
        <is>
          <t>2740 - Fabricación de equipos eléctricos de iluminación</t>
        </is>
      </c>
    </row>
    <row r="146" ht="15.75" customHeight="1" s="157">
      <c r="G146" s="104" t="inlineStr">
        <is>
          <t>2750 - Fabricación de aparatos de uso doméstico</t>
        </is>
      </c>
    </row>
    <row r="147" ht="15.75" customHeight="1" s="157">
      <c r="G147" s="104" t="inlineStr">
        <is>
          <t>2790 - Fabricación de otros tipos de equipo eléctrico n.c.p.</t>
        </is>
      </c>
    </row>
    <row r="148" ht="15.75" customHeight="1" s="157">
      <c r="G148" s="104" t="inlineStr">
        <is>
          <t>2812 - Fabricación de equipos de potencia hidráulica y neumática</t>
        </is>
      </c>
    </row>
    <row r="149" ht="15.75" customHeight="1" s="157">
      <c r="G149" s="104" t="n"/>
    </row>
    <row r="150" ht="15.75" customHeight="1" s="157">
      <c r="G150" s="104" t="inlineStr">
        <is>
          <t>2813 - Fabricación de otras bombas, compresores, grifos y válvulas</t>
        </is>
      </c>
    </row>
    <row r="151" ht="15.75" customHeight="1" s="157">
      <c r="G151" s="104" t="inlineStr">
        <is>
          <t>2814 - Fabricación de cojinetes, engranajes, trenes de engranajes y piezas de transmisión</t>
        </is>
      </c>
    </row>
    <row r="152" ht="15.75" customHeight="1" s="157">
      <c r="G152" s="104" t="inlineStr">
        <is>
          <t>2815 - Fabricación de hornos, hogares y quemadores industriales</t>
        </is>
      </c>
    </row>
    <row r="153" ht="15.75" customHeight="1" s="157">
      <c r="G153" s="104" t="inlineStr">
        <is>
          <t>2816 - Fabricación de equipo de elevación y manipulación</t>
        </is>
      </c>
    </row>
    <row r="154" ht="15.75" customHeight="1" s="157">
      <c r="G154" s="104" t="inlineStr">
        <is>
          <t>2817 - Fabricación de maquinaria y equipo de oficina (excepto computadoras y equipo periférico)</t>
        </is>
      </c>
    </row>
    <row r="155" ht="15.75" customHeight="1" s="157">
      <c r="G155" s="104" t="n"/>
    </row>
    <row r="156" ht="15.75" customHeight="1" s="157">
      <c r="G156" s="104" t="inlineStr">
        <is>
          <t>2818 - Fabricación de herramientas manuales con motor</t>
        </is>
      </c>
    </row>
    <row r="157" ht="15.75" customHeight="1" s="157">
      <c r="G157" s="104" t="inlineStr">
        <is>
          <t>2819 - Fabricación de otros tipos de maquinaria y equipo de uso general n.c.p.</t>
        </is>
      </c>
    </row>
    <row r="158" ht="15.75" customHeight="1" s="157">
      <c r="G158" s="104" t="inlineStr">
        <is>
          <t>2821 - Fabricación de maquinaria agropecuaria y forestal</t>
        </is>
      </c>
    </row>
    <row r="159" ht="15.75" customHeight="1" s="157">
      <c r="G159" s="104" t="inlineStr">
        <is>
          <t>2822 - Fabricación de máquinas formadoras de metal y de máquinas herramienta</t>
        </is>
      </c>
    </row>
    <row r="160" ht="15.75" customHeight="1" s="157">
      <c r="G160" s="104" t="inlineStr">
        <is>
          <t>2823 - Fabricación de maquinaria para la metalurgia</t>
        </is>
      </c>
    </row>
    <row r="161" ht="15.75" customHeight="1" s="157">
      <c r="G161" s="104" t="inlineStr">
        <is>
          <t>2824 - Fabricación de maquinaria para explotación de minas y canteras y para obras de construcción</t>
        </is>
      </c>
    </row>
    <row r="162" ht="15.75" customHeight="1" s="157">
      <c r="G162" s="104" t="inlineStr">
        <is>
          <t>2825 - Fabricación de maquinaria para la elaboración de alimentos, bebidas y tabaco</t>
        </is>
      </c>
    </row>
    <row r="163" ht="15.75" customHeight="1" s="157">
      <c r="G163" s="104" t="inlineStr">
        <is>
          <t>2826 - Fabricación de maquinaria para la elaboración de productos textiles, prendas de vestir y cueros</t>
        </is>
      </c>
    </row>
    <row r="164" ht="15.75" customHeight="1" s="157">
      <c r="G164" s="104" t="n"/>
    </row>
    <row r="165" ht="15.75" customHeight="1" s="157">
      <c r="G165" s="104" t="inlineStr">
        <is>
          <t>2829 - Fabricación de otros tipos de maquinaria y equipo de uso especial n.c.p.</t>
        </is>
      </c>
    </row>
    <row r="166" ht="15.75" customHeight="1" s="157">
      <c r="G166" s="104" t="inlineStr">
        <is>
          <t>2910 - Fabricación de vehículos automotores y sus motores</t>
        </is>
      </c>
    </row>
    <row r="167" ht="15.75" customHeight="1" s="157">
      <c r="G167" s="104" t="inlineStr">
        <is>
          <t xml:space="preserve">2920 - Fabricación de carrocerías para vehículos automotores; fabricación de remolques y semirremolques </t>
        </is>
      </c>
    </row>
    <row r="168" ht="15.75" customHeight="1" s="157">
      <c r="G168" s="104" t="inlineStr">
        <is>
          <t>2930 - Fabricación de partes, piezas (autopartes) y accesorios (lujos) para vehículos automotores</t>
        </is>
      </c>
    </row>
    <row r="169" ht="15.75" customHeight="1" s="157">
      <c r="G169" s="104" t="inlineStr">
        <is>
          <t>3011 - Construcción de barcos y de estructuras flotantes</t>
        </is>
      </c>
    </row>
    <row r="170" ht="15.75" customHeight="1" s="157">
      <c r="G170" s="104" t="inlineStr">
        <is>
          <t>3012 - Construcción de embarcaciones de recreo y deporte</t>
        </is>
      </c>
    </row>
    <row r="171" ht="15.75" customHeight="1" s="157">
      <c r="G171" s="104" t="inlineStr">
        <is>
          <t>3020 - Fabricación de locomotoras y de material rodante para ferrocarriles</t>
        </is>
      </c>
    </row>
    <row r="172" ht="15.75" customHeight="1" s="157">
      <c r="G172" s="104" t="inlineStr">
        <is>
          <t>3030 - Fabricación de aeronaves, naves espaciales y de maquinaria conexa</t>
        </is>
      </c>
    </row>
    <row r="173" ht="15.75" customHeight="1" s="157">
      <c r="G173" s="104" t="inlineStr">
        <is>
          <t>3040 - Fabricación de vehículos militares de combate</t>
        </is>
      </c>
    </row>
    <row r="174" ht="15.75" customHeight="1" s="157">
      <c r="G174" s="104" t="inlineStr">
        <is>
          <t>3091 - Fabricación de motocicletas</t>
        </is>
      </c>
    </row>
    <row r="175" ht="15.75" customHeight="1" s="157">
      <c r="G175" s="104" t="n"/>
    </row>
    <row r="176" ht="15.75" customHeight="1" s="157">
      <c r="G176" s="104" t="inlineStr">
        <is>
          <t>3092 - Fabricación de bicicletas y de sillas de ruedas para personas con discapacidad</t>
        </is>
      </c>
    </row>
    <row r="177" ht="15.75" customHeight="1" s="157">
      <c r="G177" s="104" t="inlineStr">
        <is>
          <t>3099 - Fabricación de otros tipos de equipo de transporte n.c.p.</t>
        </is>
      </c>
    </row>
    <row r="178" ht="15.75" customHeight="1" s="157">
      <c r="G178" s="104" t="inlineStr">
        <is>
          <t xml:space="preserve">3110 - Fabricación de muebles </t>
        </is>
      </c>
    </row>
    <row r="179" ht="15.75" customHeight="1" s="157">
      <c r="G179" s="104" t="inlineStr">
        <is>
          <t>3120 - Fabricación de colchones y somieres</t>
        </is>
      </c>
    </row>
    <row r="180" ht="15.75" customHeight="1" s="157">
      <c r="G180" s="104" t="inlineStr">
        <is>
          <t>3210 - Fabricación de joyas, bisutería y artículos conexos</t>
        </is>
      </c>
    </row>
    <row r="181" ht="15.75" customHeight="1" s="157">
      <c r="G181" s="104" t="inlineStr">
        <is>
          <t>3220 - Fabricación de instrumentos musicales</t>
        </is>
      </c>
    </row>
    <row r="182" ht="15.75" customHeight="1" s="157">
      <c r="G182" s="104" t="inlineStr">
        <is>
          <t>3230 - Fabricación de artículos y equipo para la práctica del deporte</t>
        </is>
      </c>
    </row>
    <row r="183" ht="15.75" customHeight="1" s="157">
      <c r="G183" s="104" t="inlineStr">
        <is>
          <t>3240 - Fabricación de juegos, juguetes y rompecabezas</t>
        </is>
      </c>
    </row>
    <row r="184" ht="15.75" customHeight="1" s="157">
      <c r="G184" s="104" t="inlineStr">
        <is>
          <t>3250 - Fabricación de instrumentos, aparatos y materiales médicos y odontológicos (incluido mobiliario)</t>
        </is>
      </c>
    </row>
    <row r="185" ht="15.75" customHeight="1" s="157">
      <c r="G185" s="104" t="inlineStr">
        <is>
          <t>3290 - Otras industrias manufactureras n.c.p.</t>
        </is>
      </c>
    </row>
    <row r="186" ht="15.75" customHeight="1" s="157">
      <c r="G186" s="104" t="inlineStr">
        <is>
          <t>3311 - Mantenimiento y reparación especializado de productos elaborados en metal</t>
        </is>
      </c>
    </row>
    <row r="187" ht="15.75" customHeight="1" s="157">
      <c r="G187" s="104" t="inlineStr">
        <is>
          <t>3312 - Mantenimiento y reparación especializado de maquinaria y equipo</t>
        </is>
      </c>
    </row>
    <row r="188" ht="15.75" customHeight="1" s="157">
      <c r="G188" s="104" t="inlineStr">
        <is>
          <t>3313 - Mantenimiento y reparación especializado de equipo electrónico y óptico</t>
        </is>
      </c>
    </row>
    <row r="189" ht="15.75" customHeight="1" s="157">
      <c r="G189" s="104" t="inlineStr">
        <is>
          <t>3314 - Mantenimiento y reparación especializado de equipo eléctrico</t>
        </is>
      </c>
    </row>
    <row r="190" ht="15.75" customHeight="1" s="157">
      <c r="G190" s="104" t="inlineStr">
        <is>
          <t>3315 - Mantenimiento y reparación especializado de equipo de transporte, excepto los vehículos automotores, motocicletas y bicicletas</t>
        </is>
      </c>
    </row>
    <row r="191" ht="15.75" customHeight="1" s="157">
      <c r="G191" s="104" t="inlineStr">
        <is>
          <t>3319 - Mantenimiento y reparación de otros tipos de equipos y sus componentes n.c.p.</t>
        </is>
      </c>
    </row>
    <row r="192" ht="15.75" customHeight="1" s="157">
      <c r="G192" s="104" t="inlineStr">
        <is>
          <t xml:space="preserve">3320 - Instalación especializada de maquinaria y equipo industrial </t>
        </is>
      </c>
    </row>
    <row r="193" ht="15.75" customHeight="1" s="157">
      <c r="G193" s="104" t="inlineStr">
        <is>
          <t>3511 - Generación de energía eléctrica</t>
        </is>
      </c>
    </row>
    <row r="194" ht="15.75" customHeight="1" s="157">
      <c r="G194" s="104" t="inlineStr">
        <is>
          <t>3512 - Transmisión de energía eléctrica</t>
        </is>
      </c>
    </row>
    <row r="195" ht="15.75" customHeight="1" s="157">
      <c r="G195" s="104" t="inlineStr">
        <is>
          <t>3513 - Distribución de energía eléctrica</t>
        </is>
      </c>
    </row>
    <row r="196" ht="15.75" customHeight="1" s="157">
      <c r="G196" s="104" t="n"/>
    </row>
    <row r="197" ht="15.75" customHeight="1" s="157">
      <c r="G197" s="104" t="inlineStr">
        <is>
          <t>3514 - Comercialización de energía eléctrica</t>
        </is>
      </c>
    </row>
    <row r="198" ht="15.75" customHeight="1" s="157">
      <c r="G198" s="104" t="inlineStr">
        <is>
          <t>3520 - Producción de gas; distribución de combustibles gaseosos por tuberías</t>
        </is>
      </c>
    </row>
    <row r="199" ht="15.75" customHeight="1" s="157">
      <c r="G199" s="104" t="n"/>
    </row>
    <row r="200" ht="15.75" customHeight="1" s="157">
      <c r="G200" s="104" t="inlineStr">
        <is>
          <t>3530 - Suministro de vapor y aire acondicionado</t>
        </is>
      </c>
    </row>
    <row r="201" ht="15.75" customHeight="1" s="157">
      <c r="G201" s="104" t="inlineStr">
        <is>
          <t>3600 - Captación, tratamiento y distribución de agua</t>
        </is>
      </c>
    </row>
    <row r="202" ht="15.75" customHeight="1" s="157">
      <c r="G202" s="104" t="inlineStr">
        <is>
          <t>3700 - Evacuación y tratamiento de aguas residuales</t>
        </is>
      </c>
    </row>
    <row r="203" ht="15.75" customHeight="1" s="157">
      <c r="G203" s="106" t="inlineStr">
        <is>
          <t>3811 - Recolección de desechos no peligrosos</t>
        </is>
      </c>
      <c r="H203" s="107" t="n"/>
      <c r="I203" s="107" t="n"/>
      <c r="J203" s="107" t="n"/>
      <c r="K203" s="107" t="n"/>
      <c r="L203" s="107" t="n"/>
    </row>
    <row r="204" ht="15.75" customHeight="1" s="157">
      <c r="G204" s="106" t="inlineStr">
        <is>
          <t>3812 - Recolección de desechos peligrosos</t>
        </is>
      </c>
      <c r="H204" s="107" t="n"/>
      <c r="I204" s="107" t="n"/>
      <c r="J204" s="107" t="n"/>
      <c r="K204" s="107" t="n"/>
      <c r="L204" s="107" t="n"/>
    </row>
    <row r="205" ht="15.75" customHeight="1" s="157">
      <c r="G205" s="106" t="inlineStr">
        <is>
          <t>3821 - Tratamiento y disposición de desechos no peligrosos</t>
        </is>
      </c>
      <c r="H205" s="107" t="n"/>
      <c r="I205" s="107" t="n"/>
      <c r="J205" s="107" t="n"/>
      <c r="K205" s="107" t="n"/>
      <c r="L205" s="107" t="n"/>
    </row>
    <row r="206" ht="15.75" customHeight="1" s="157">
      <c r="G206" s="106" t="inlineStr">
        <is>
          <t>3822 - Tratamiento y disposición de desechos peligrosos</t>
        </is>
      </c>
      <c r="H206" s="107" t="n"/>
      <c r="I206" s="107" t="n"/>
      <c r="J206" s="107" t="n"/>
      <c r="K206" s="107" t="n"/>
      <c r="L206" s="107" t="n"/>
    </row>
    <row r="207" ht="15.75" customHeight="1" s="157">
      <c r="G207" s="106" t="inlineStr">
        <is>
          <t>3830 - Recuperación de materiales</t>
        </is>
      </c>
      <c r="H207" s="107" t="n"/>
      <c r="I207" s="107" t="n"/>
      <c r="J207" s="107" t="n"/>
      <c r="K207" s="107" t="n"/>
      <c r="L207" s="107" t="n"/>
    </row>
    <row r="208" ht="15.75" customHeight="1" s="157">
      <c r="G208" s="106" t="inlineStr">
        <is>
          <t>3900 - Actividades de saneamiento ambiental y otros servicios de gestión de desechos</t>
        </is>
      </c>
      <c r="H208" s="107" t="n"/>
      <c r="I208" s="107" t="n"/>
      <c r="J208" s="107" t="n"/>
      <c r="K208" s="107" t="n"/>
      <c r="L208" s="107" t="n"/>
    </row>
    <row r="209" ht="15.75" customHeight="1" s="157">
      <c r="G209" s="106" t="inlineStr">
        <is>
          <t>4111 - Construcción de edificios residenciales</t>
        </is>
      </c>
      <c r="H209" s="107" t="n"/>
      <c r="I209" s="107" t="n"/>
      <c r="J209" s="107" t="n"/>
      <c r="K209" s="107" t="n"/>
      <c r="L209" s="107" t="n"/>
    </row>
    <row r="210" ht="15.75" customHeight="1" s="157">
      <c r="G210" s="106" t="inlineStr">
        <is>
          <t>4112 - Construcción de edificios no residenciales</t>
        </is>
      </c>
      <c r="H210" s="107" t="n"/>
      <c r="I210" s="107" t="n"/>
      <c r="J210" s="107" t="n"/>
      <c r="K210" s="107" t="n"/>
      <c r="L210" s="107" t="n"/>
    </row>
    <row r="211" ht="15.75" customHeight="1" s="157">
      <c r="G211" s="106" t="inlineStr">
        <is>
          <t>4210 - Construcción de carreteras y vías de ferrocarril</t>
        </is>
      </c>
      <c r="H211" s="107" t="n"/>
      <c r="I211" s="107" t="n"/>
      <c r="J211" s="107" t="n"/>
      <c r="K211" s="107" t="n"/>
      <c r="L211" s="107" t="n"/>
    </row>
    <row r="212" ht="15.75" customHeight="1" s="157">
      <c r="G212" s="106" t="inlineStr">
        <is>
          <t>4220 - Construcción de proyectos de servicio público</t>
        </is>
      </c>
      <c r="H212" s="107" t="n"/>
      <c r="I212" s="107" t="n"/>
      <c r="J212" s="107" t="n"/>
      <c r="K212" s="107" t="n"/>
      <c r="L212" s="107" t="n"/>
    </row>
    <row r="213" ht="15.75" customHeight="1" s="157">
      <c r="G213" s="106" t="inlineStr">
        <is>
          <t>4290 - Construcción de otras obras de ingeniería civil</t>
        </is>
      </c>
      <c r="H213" s="107" t="n"/>
      <c r="I213" s="107" t="n"/>
      <c r="J213" s="107" t="n"/>
      <c r="K213" s="107" t="n"/>
      <c r="L213" s="107" t="n"/>
    </row>
    <row r="214" ht="15.75" customHeight="1" s="157">
      <c r="G214" s="106" t="inlineStr">
        <is>
          <t>4311 - Demolición</t>
        </is>
      </c>
      <c r="H214" s="107" t="n"/>
      <c r="I214" s="107" t="n"/>
      <c r="J214" s="107" t="n"/>
      <c r="K214" s="107" t="n"/>
      <c r="L214" s="107" t="n"/>
    </row>
    <row r="215" ht="15.75" customHeight="1" s="157">
      <c r="G215" s="106" t="inlineStr">
        <is>
          <t>4312 - Preparación del terreno</t>
        </is>
      </c>
      <c r="H215" s="107" t="n"/>
      <c r="I215" s="107" t="n"/>
      <c r="J215" s="107" t="n"/>
      <c r="K215" s="107" t="n"/>
      <c r="L215" s="107" t="n"/>
    </row>
    <row r="216" ht="15.75" customHeight="1" s="157">
      <c r="G216" s="106" t="inlineStr">
        <is>
          <t>4321 - Instalaciones eléctricas</t>
        </is>
      </c>
      <c r="H216" s="107" t="n"/>
      <c r="I216" s="107" t="n"/>
      <c r="J216" s="107" t="n"/>
      <c r="K216" s="107" t="n"/>
      <c r="L216" s="107" t="n"/>
    </row>
    <row r="217" ht="15.75" customHeight="1" s="157">
      <c r="G217" s="106" t="inlineStr">
        <is>
          <t>4322 - Instalaciones de fontanería, calefacción y aire acondicionado</t>
        </is>
      </c>
      <c r="H217" s="107" t="n"/>
      <c r="I217" s="107" t="n"/>
      <c r="J217" s="107" t="n"/>
      <c r="K217" s="107" t="n"/>
      <c r="L217" s="107" t="n"/>
    </row>
    <row r="218" ht="15.75" customHeight="1" s="157">
      <c r="G218" s="106" t="inlineStr">
        <is>
          <t>4329 - Otras instalaciones especializadas</t>
        </is>
      </c>
      <c r="H218" s="107" t="n"/>
      <c r="I218" s="107" t="n"/>
      <c r="J218" s="107" t="n"/>
      <c r="K218" s="107" t="n"/>
      <c r="L218" s="107" t="n"/>
    </row>
    <row r="219" ht="15.75" customHeight="1" s="157">
      <c r="G219" s="106" t="inlineStr">
        <is>
          <t>4330 - Terminación y acabado de edificios y obras de ingeniería civil</t>
        </is>
      </c>
      <c r="H219" s="107" t="n"/>
      <c r="I219" s="107" t="n"/>
      <c r="J219" s="107" t="n"/>
      <c r="K219" s="107" t="n"/>
      <c r="L219" s="107" t="n"/>
    </row>
    <row r="220" ht="15.75" customHeight="1" s="157">
      <c r="G220" s="106" t="inlineStr">
        <is>
          <t>4390 - Otras actividades especializadas para la construcción de edificios y obras de ingeniería civil</t>
        </is>
      </c>
      <c r="H220" s="107" t="n"/>
      <c r="I220" s="107" t="n"/>
      <c r="J220" s="107" t="n"/>
      <c r="K220" s="107" t="n"/>
      <c r="L220" s="107" t="n"/>
    </row>
    <row r="221" ht="15.75" customHeight="1" s="157">
      <c r="G221" s="106" t="inlineStr">
        <is>
          <t>4511 - Comercio de vehículos automotores nuevos</t>
        </is>
      </c>
      <c r="H221" s="107" t="n"/>
      <c r="I221" s="107" t="n"/>
      <c r="J221" s="107" t="n"/>
      <c r="K221" s="107" t="n"/>
      <c r="L221" s="107" t="n"/>
    </row>
    <row r="222" ht="15.75" customHeight="1" s="157">
      <c r="G222" s="106" t="inlineStr">
        <is>
          <t>4512 - Comercio de vehículos automotores usados</t>
        </is>
      </c>
      <c r="H222" s="107" t="n"/>
      <c r="I222" s="107" t="n"/>
      <c r="J222" s="107" t="n"/>
      <c r="K222" s="107" t="n"/>
      <c r="L222" s="107" t="n"/>
    </row>
    <row r="223" ht="15.75" customHeight="1" s="157">
      <c r="G223" s="106" t="inlineStr">
        <is>
          <t>4520 - Mantenimiento y reparación de vehículos automotores</t>
        </is>
      </c>
      <c r="H223" s="107" t="n"/>
      <c r="I223" s="107" t="n"/>
      <c r="J223" s="107" t="n"/>
      <c r="K223" s="107" t="n"/>
      <c r="L223" s="107" t="n"/>
    </row>
    <row r="224" ht="15.75" customHeight="1" s="157">
      <c r="G224" s="106" t="inlineStr">
        <is>
          <t>4530 - Comercio de partes, piezas (autopartes) y accesorios (lujos) para vehículos automotores</t>
        </is>
      </c>
      <c r="H224" s="107" t="n"/>
      <c r="I224" s="107" t="n"/>
      <c r="J224" s="107" t="n"/>
      <c r="K224" s="107" t="n"/>
      <c r="L224" s="107" t="n"/>
    </row>
    <row r="225" ht="15.75" customHeight="1" s="157">
      <c r="G225" s="106" t="inlineStr">
        <is>
          <t>4541 - Comercio de motocicletas y de sus partes, piezas y accesorios</t>
        </is>
      </c>
      <c r="H225" s="107" t="n"/>
      <c r="I225" s="107" t="n"/>
      <c r="J225" s="107" t="n"/>
      <c r="K225" s="107" t="n"/>
      <c r="L225" s="107" t="n"/>
    </row>
    <row r="226" ht="15.75" customHeight="1" s="157">
      <c r="G226" s="106" t="inlineStr">
        <is>
          <t>4610 - Comercio al por mayor a cambio de una retribución o por contrata</t>
        </is>
      </c>
      <c r="H226" s="107" t="n"/>
      <c r="I226" s="107" t="n"/>
      <c r="J226" s="107" t="n"/>
      <c r="K226" s="107" t="n"/>
      <c r="L226" s="107" t="n"/>
    </row>
    <row r="227" ht="15.75" customHeight="1" s="157">
      <c r="G227" s="106" t="inlineStr">
        <is>
          <t>4620 - Comercio al por mayor de materias primas agropecuarias; animales vivos</t>
        </is>
      </c>
      <c r="H227" s="107" t="n"/>
      <c r="I227" s="107" t="n"/>
      <c r="J227" s="107" t="n"/>
      <c r="K227" s="107" t="n"/>
      <c r="L227" s="107" t="n"/>
    </row>
    <row r="228" ht="15.75" customHeight="1" s="157">
      <c r="G228" s="106" t="inlineStr">
        <is>
          <t>4631 - Comercio al por mayor de productos alimenticios</t>
        </is>
      </c>
      <c r="H228" s="107" t="n"/>
      <c r="I228" s="107" t="n"/>
      <c r="J228" s="107" t="n"/>
      <c r="K228" s="107" t="n"/>
      <c r="L228" s="107" t="n"/>
    </row>
    <row r="229" ht="15.75" customHeight="1" s="157">
      <c r="G229" s="106" t="inlineStr">
        <is>
          <t>4632 - Comercio al por mayor de bebidas y tabaco</t>
        </is>
      </c>
      <c r="H229" s="107" t="n"/>
      <c r="I229" s="107" t="n"/>
      <c r="J229" s="107" t="n"/>
      <c r="K229" s="107" t="n"/>
      <c r="L229" s="107" t="n"/>
    </row>
    <row r="230" ht="15.75" customHeight="1" s="157">
      <c r="G230" s="106" t="inlineStr">
        <is>
          <t>4641 - Comercio al por mayor de productos textiles, productos confeccionados para uso doméstico</t>
        </is>
      </c>
      <c r="H230" s="107" t="n"/>
      <c r="I230" s="107" t="n"/>
      <c r="J230" s="107" t="n"/>
      <c r="K230" s="107" t="n"/>
      <c r="L230" s="107" t="n"/>
    </row>
    <row r="231" ht="15.75" customHeight="1" s="157">
      <c r="G231" s="106" t="inlineStr">
        <is>
          <t>4642 - Comercio al por mayor de prendas de vestir</t>
        </is>
      </c>
      <c r="H231" s="107" t="n"/>
      <c r="I231" s="107" t="n"/>
      <c r="J231" s="107" t="n"/>
      <c r="K231" s="107" t="n"/>
      <c r="L231" s="107" t="n"/>
    </row>
    <row r="232" ht="15.75" customHeight="1" s="157">
      <c r="G232" s="106" t="inlineStr">
        <is>
          <t>4643 - Comercio al por mayor de calzado</t>
        </is>
      </c>
      <c r="H232" s="107" t="n"/>
      <c r="I232" s="107" t="n"/>
      <c r="J232" s="107" t="n"/>
      <c r="K232" s="107" t="n"/>
      <c r="L232" s="107" t="n"/>
    </row>
    <row r="233" ht="15.75" customHeight="1" s="157">
      <c r="G233" s="106" t="inlineStr">
        <is>
          <t>4644 - Comercio al por mayor de aparatos y equipo de uso doméstico</t>
        </is>
      </c>
      <c r="H233" s="107" t="n"/>
      <c r="I233" s="107" t="n"/>
      <c r="J233" s="107" t="n"/>
      <c r="K233" s="107" t="n"/>
      <c r="L233" s="107" t="n"/>
    </row>
    <row r="234" ht="15.75" customHeight="1" s="157">
      <c r="G234" s="106" t="inlineStr">
        <is>
          <t>4645 - Comercio al por mayor de productos farmacéuticos, medicinales, cosméticos y de tocador</t>
        </is>
      </c>
      <c r="H234" s="107" t="n"/>
      <c r="I234" s="107" t="n"/>
      <c r="J234" s="107" t="n"/>
      <c r="K234" s="107" t="n"/>
      <c r="L234" s="107" t="n"/>
    </row>
    <row r="235" ht="15.75" customHeight="1" s="157">
      <c r="G235" s="106" t="inlineStr">
        <is>
          <t>4649 - Comercio al por mayor de otros utensilios domésticos n.c.p.</t>
        </is>
      </c>
      <c r="H235" s="107" t="n"/>
      <c r="I235" s="107" t="n"/>
      <c r="J235" s="107" t="n"/>
      <c r="K235" s="107" t="n"/>
      <c r="L235" s="107" t="n"/>
    </row>
    <row r="236" ht="15.75" customHeight="1" s="157">
      <c r="G236" s="106" t="inlineStr">
        <is>
          <t>4651 - Comercio al por mayor de computadores, equipo periférico y programas de informática</t>
        </is>
      </c>
      <c r="H236" s="107" t="n"/>
      <c r="I236" s="107" t="n"/>
      <c r="J236" s="107" t="n"/>
      <c r="K236" s="107" t="n"/>
      <c r="L236" s="107" t="n"/>
    </row>
    <row r="237" ht="15.75" customHeight="1" s="157">
      <c r="G237" s="106" t="inlineStr">
        <is>
          <t>4652 - Comercio al por mayor de equipo, partes y piezas electrónicos y de telecomunicaciones</t>
        </is>
      </c>
      <c r="H237" s="107" t="n"/>
      <c r="I237" s="107" t="n"/>
      <c r="J237" s="107" t="n"/>
      <c r="K237" s="107" t="n"/>
      <c r="L237" s="107" t="n"/>
    </row>
    <row r="238" ht="15.75" customHeight="1" s="157">
      <c r="G238" s="106" t="inlineStr">
        <is>
          <t>4653 - Comercio al por mayor de maquinaria y equipo agropecuarios</t>
        </is>
      </c>
      <c r="H238" s="107" t="n"/>
      <c r="I238" s="107" t="n"/>
      <c r="J238" s="107" t="n"/>
      <c r="K238" s="107" t="n"/>
      <c r="L238" s="107" t="n"/>
    </row>
    <row r="239" ht="15.75" customHeight="1" s="157">
      <c r="G239" s="106" t="inlineStr">
        <is>
          <t>4659 - Comercio al por mayor de otros tipos de maquinaria y equipo n.c.p.</t>
        </is>
      </c>
      <c r="H239" s="107" t="n"/>
      <c r="I239" s="107" t="n"/>
      <c r="J239" s="107" t="n"/>
      <c r="K239" s="107" t="n"/>
      <c r="L239" s="107" t="n"/>
    </row>
    <row r="240" ht="15.75" customHeight="1" s="157">
      <c r="G240" s="106" t="inlineStr">
        <is>
          <t>4661 - Comercio al por mayor de combustibles sólidos, líquidos, gaseosos y productos conexos</t>
        </is>
      </c>
      <c r="H240" s="107" t="n"/>
      <c r="I240" s="107" t="n"/>
      <c r="J240" s="107" t="n"/>
      <c r="K240" s="107" t="n"/>
      <c r="L240" s="107" t="n"/>
    </row>
    <row r="241" ht="15.75" customHeight="1" s="157">
      <c r="G241" s="106" t="inlineStr">
        <is>
          <t>4662 - Comercio al por mayor de metales y productos metalíferos</t>
        </is>
      </c>
      <c r="H241" s="107" t="n"/>
      <c r="I241" s="107" t="n"/>
      <c r="J241" s="107" t="n"/>
      <c r="K241" s="107" t="n"/>
      <c r="L241" s="107" t="n"/>
    </row>
    <row r="242" ht="15.75" customHeight="1" s="157">
      <c r="G242" s="106" t="inlineStr">
        <is>
          <t>4663 - Comercio al por mayor de materiales de construcción, artículos de ferretería, pinturas, productos de vidrio, equipo y materiales de fontanería y calefacción</t>
        </is>
      </c>
      <c r="H242" s="107" t="n"/>
      <c r="I242" s="107" t="n"/>
      <c r="J242" s="107" t="n"/>
      <c r="K242" s="107" t="n"/>
      <c r="L242" s="107" t="n"/>
    </row>
    <row r="243" ht="15.75" customHeight="1" s="157">
      <c r="G243" s="106" t="inlineStr">
        <is>
          <t>4664 - Comercio al por mayor de productos químicos básicos, cauchos y plásticos en formas primarias y productos químicos de uso agropecuario</t>
        </is>
      </c>
      <c r="H243" s="107" t="n"/>
      <c r="I243" s="107" t="n"/>
      <c r="J243" s="107" t="n"/>
      <c r="K243" s="107" t="n"/>
      <c r="L243" s="107" t="n"/>
    </row>
    <row r="244" ht="15.75" customHeight="1" s="157">
      <c r="G244" s="106" t="inlineStr">
        <is>
          <t>4665 - Comercio al por mayor de desperdicios, desechos y chatarra</t>
        </is>
      </c>
      <c r="H244" s="107" t="n"/>
      <c r="I244" s="107" t="n"/>
      <c r="J244" s="107" t="n"/>
      <c r="K244" s="107" t="n"/>
      <c r="L244" s="107" t="n"/>
    </row>
    <row r="245" ht="15.75" customHeight="1" s="157">
      <c r="G245" s="106" t="inlineStr">
        <is>
          <t>4669 - Comercio al por mayor de otros productos n.c.p.</t>
        </is>
      </c>
      <c r="H245" s="107" t="n"/>
      <c r="I245" s="107" t="n"/>
      <c r="J245" s="107" t="n"/>
      <c r="K245" s="107" t="n"/>
      <c r="L245" s="107" t="n"/>
    </row>
    <row r="246" ht="15.75" customHeight="1" s="157">
      <c r="G246" s="106" t="inlineStr">
        <is>
          <t>4690 - Comercio al por mayor no especializado</t>
        </is>
      </c>
      <c r="H246" s="107" t="n"/>
      <c r="I246" s="107" t="n"/>
      <c r="J246" s="107" t="n"/>
      <c r="K246" s="107" t="n"/>
      <c r="L246" s="107" t="n"/>
    </row>
    <row r="247" ht="15.75" customHeight="1" s="157">
      <c r="G247" s="106" t="inlineStr">
        <is>
          <t>4711 - Comercio al por menor en establecimientos no especializados con surtido compuesto principalmente por alimentos, bebidas o tabaco</t>
        </is>
      </c>
      <c r="H247" s="107" t="n"/>
      <c r="I247" s="107" t="n"/>
      <c r="J247" s="107" t="n"/>
      <c r="K247" s="107" t="n"/>
      <c r="L247" s="107" t="n"/>
    </row>
    <row r="248" ht="15.75" customHeight="1" s="157">
      <c r="G248" s="106" t="inlineStr">
        <is>
          <t>4719 - Comercio al por menor en establecimientos no especializados, con surtido compuesto principalmente por productos diferentes de alimentos (víveres en general), bebidas y tabaco</t>
        </is>
      </c>
      <c r="H248" s="107" t="n"/>
      <c r="I248" s="107" t="n"/>
      <c r="J248" s="107" t="n"/>
      <c r="K248" s="107" t="n"/>
      <c r="L248" s="107" t="n"/>
    </row>
    <row r="249" ht="15.75" customHeight="1" s="157">
      <c r="G249" s="106" t="inlineStr">
        <is>
          <t>4721 - Comercio al por menor de productos agrícolas para el consumo en establecimientos especializados</t>
        </is>
      </c>
      <c r="H249" s="107" t="n"/>
      <c r="I249" s="107" t="n"/>
      <c r="J249" s="107" t="n"/>
      <c r="K249" s="107" t="n"/>
      <c r="L249" s="107" t="n"/>
    </row>
    <row r="250" ht="15.75" customHeight="1" s="157">
      <c r="G250" s="106" t="inlineStr">
        <is>
          <t>4722 - Comercio al por menor de leche, productos lácteos y huevos, en establecimientos especializados</t>
        </is>
      </c>
      <c r="H250" s="107" t="n"/>
      <c r="I250" s="107" t="n"/>
      <c r="J250" s="107" t="n"/>
      <c r="K250" s="107" t="n"/>
      <c r="L250" s="107" t="n"/>
    </row>
    <row r="251" ht="15.75" customHeight="1" s="157">
      <c r="G251" s="106" t="inlineStr">
        <is>
          <t>4723 - Comercio al por menor de carnes (incluye aves de corral), productos cárnicos, pescados y productos de mar, en establecimientos especializados</t>
        </is>
      </c>
      <c r="H251" s="107" t="n"/>
      <c r="I251" s="107" t="n"/>
      <c r="J251" s="107" t="n"/>
      <c r="K251" s="107" t="n"/>
      <c r="L251" s="107" t="n"/>
    </row>
    <row r="252" ht="15.75" customHeight="1" s="157">
      <c r="G252" s="106" t="inlineStr">
        <is>
          <t>4724 - Comercio al por menor de bebidas y productos del tabaco, en establecimientos especializados</t>
        </is>
      </c>
      <c r="H252" s="107" t="n"/>
      <c r="I252" s="107" t="n"/>
      <c r="J252" s="107" t="n"/>
      <c r="K252" s="107" t="n"/>
      <c r="L252" s="107" t="n"/>
    </row>
    <row r="253" ht="15.75" customHeight="1" s="157">
      <c r="G253" s="106" t="inlineStr">
        <is>
          <t>4729 - Comercio al por menor de otros productos alimenticios n.c.p., en establecimientos especializados</t>
        </is>
      </c>
      <c r="H253" s="107" t="n"/>
      <c r="I253" s="107" t="n"/>
      <c r="J253" s="107" t="n"/>
      <c r="K253" s="107" t="n"/>
      <c r="L253" s="107" t="n"/>
    </row>
    <row r="254" ht="15.75" customHeight="1" s="157">
      <c r="G254" s="106" t="inlineStr">
        <is>
          <t>4731 - Comercio al por menor de combustible para automotores</t>
        </is>
      </c>
      <c r="H254" s="107" t="n"/>
      <c r="I254" s="107" t="n"/>
      <c r="J254" s="107" t="n"/>
      <c r="K254" s="107" t="n"/>
      <c r="L254" s="107" t="n"/>
    </row>
    <row r="255" ht="15.75" customHeight="1" s="157">
      <c r="G255" s="106" t="inlineStr">
        <is>
          <t>4732 - Comercio al por menor de lubricantes (aceites, grasas), aditivos y productos de limpieza para vehículos automotores</t>
        </is>
      </c>
      <c r="H255" s="107" t="n"/>
      <c r="I255" s="107" t="n"/>
      <c r="J255" s="107" t="n"/>
      <c r="K255" s="107" t="n"/>
      <c r="L255" s="107" t="n"/>
    </row>
    <row r="256" ht="15.75" customHeight="1" s="157">
      <c r="G256" s="106" t="inlineStr">
        <is>
          <t>4741 - Comercio al por menor de computadores, equipos periféricos, programas de informática y equipos de telecomunicaciones en establecimientos especializados</t>
        </is>
      </c>
      <c r="H256" s="107" t="n"/>
      <c r="I256" s="107" t="n"/>
      <c r="J256" s="107" t="n"/>
      <c r="K256" s="107" t="n"/>
      <c r="L256" s="107" t="n"/>
    </row>
    <row r="257" ht="15.75" customHeight="1" s="157">
      <c r="G257" s="106" t="inlineStr">
        <is>
          <t>4742 - Comercio al por menor de equipos y aparatos de sonido y de video, en establecimientos especializados</t>
        </is>
      </c>
      <c r="H257" s="107" t="n"/>
      <c r="I257" s="107" t="n"/>
      <c r="J257" s="107" t="n"/>
      <c r="K257" s="107" t="n"/>
      <c r="L257" s="107" t="n"/>
    </row>
    <row r="258" ht="15.75" customHeight="1" s="157">
      <c r="G258" s="106" t="inlineStr">
        <is>
          <t>4751 - Comercio al por menor de productos textiles en establecimientos especializados</t>
        </is>
      </c>
      <c r="H258" s="107" t="n"/>
      <c r="I258" s="107" t="n"/>
      <c r="J258" s="107" t="n"/>
      <c r="K258" s="107" t="n"/>
      <c r="L258" s="107" t="n"/>
    </row>
    <row r="259" ht="15.75" customHeight="1" s="157">
      <c r="G259" s="106" t="inlineStr">
        <is>
          <t>4752 - Comercio al por menor de artículos de ferretería, pinturas y productos de vidrio en establecimientos especializados</t>
        </is>
      </c>
      <c r="H259" s="107" t="n"/>
      <c r="I259" s="107" t="n"/>
      <c r="J259" s="107" t="n"/>
      <c r="K259" s="107" t="n"/>
      <c r="L259" s="107" t="n"/>
    </row>
    <row r="260" ht="15.75" customHeight="1" s="157">
      <c r="G260" s="106" t="inlineStr">
        <is>
          <t>4753 - Comercio al por menor de tapices, alfombras y cubrimientos para paredes y pisos en establecimientos especializados</t>
        </is>
      </c>
      <c r="H260" s="107" t="n"/>
      <c r="I260" s="107" t="n"/>
      <c r="J260" s="107" t="n"/>
      <c r="K260" s="107" t="n"/>
      <c r="L260" s="107" t="n"/>
    </row>
    <row r="261" ht="15.75" customHeight="1" s="157">
      <c r="G261" s="106" t="inlineStr">
        <is>
          <t>4754 - Comercio al por menor de electrodomésticos y gasodomésticos de uso doméstico, muebles y equipos de iluminación</t>
        </is>
      </c>
      <c r="H261" s="107" t="n"/>
      <c r="I261" s="107" t="n"/>
      <c r="J261" s="107" t="n"/>
      <c r="K261" s="107" t="n"/>
      <c r="L261" s="107" t="n"/>
    </row>
    <row r="262" ht="15.75" customHeight="1" s="157">
      <c r="G262" s="106" t="inlineStr">
        <is>
          <t>4755 - Comercio al por menor de artículos y utensilios de uso doméstico</t>
        </is>
      </c>
      <c r="H262" s="107" t="n"/>
      <c r="I262" s="107" t="n"/>
      <c r="J262" s="107" t="n"/>
      <c r="K262" s="107" t="n"/>
      <c r="L262" s="107" t="n"/>
    </row>
    <row r="263" ht="15.75" customHeight="1" s="157">
      <c r="G263" s="106" t="inlineStr">
        <is>
          <t>4759 - Comercio al por menor de otros artículos domésticos en establecimientos especializados</t>
        </is>
      </c>
      <c r="H263" s="107" t="n"/>
      <c r="I263" s="107" t="n"/>
      <c r="J263" s="107" t="n"/>
      <c r="K263" s="107" t="n"/>
      <c r="L263" s="107" t="n"/>
    </row>
    <row r="264" ht="15.75" customHeight="1" s="157">
      <c r="G264" s="106" t="inlineStr">
        <is>
          <t>4761 - Comercio al por menor de libros, periódicos, materiales y artículos de papelería y escritorio, en establecimientos especializados</t>
        </is>
      </c>
      <c r="H264" s="107" t="n"/>
      <c r="I264" s="107" t="n"/>
      <c r="J264" s="107" t="n"/>
      <c r="K264" s="107" t="n"/>
      <c r="L264" s="107" t="n"/>
    </row>
    <row r="265" ht="15.75" customHeight="1" s="157">
      <c r="G265" s="106" t="inlineStr">
        <is>
          <t xml:space="preserve">4762 - Comercio al por menor de artículos deportivos, en establecimientos especializados </t>
        </is>
      </c>
      <c r="H265" s="107" t="n"/>
      <c r="I265" s="107" t="n"/>
      <c r="J265" s="107" t="n"/>
      <c r="K265" s="107" t="n"/>
      <c r="L265" s="107" t="n"/>
    </row>
    <row r="266" ht="15.75" customHeight="1" s="157">
      <c r="G266" s="106" t="inlineStr">
        <is>
          <t>4769 - Comercio al por menor de otros artículos culturales y de entretenimiento n.c.p. en establecimientos especializados</t>
        </is>
      </c>
      <c r="H266" s="107" t="n"/>
      <c r="I266" s="107" t="n"/>
      <c r="J266" s="107" t="n"/>
      <c r="K266" s="107" t="n"/>
      <c r="L266" s="107" t="n"/>
    </row>
    <row r="267" ht="15.75" customHeight="1" s="157">
      <c r="G267" s="106" t="inlineStr">
        <is>
          <t>4771 - Comercio al por menor de prendas de vestir y sus accesorios (incluye artículos de piel) en establecimientos especializados</t>
        </is>
      </c>
      <c r="H267" s="107" t="n"/>
      <c r="I267" s="107" t="n"/>
      <c r="J267" s="107" t="n"/>
      <c r="K267" s="107" t="n"/>
      <c r="L267" s="107" t="n"/>
    </row>
    <row r="268" ht="15.75" customHeight="1" s="157">
      <c r="G268" s="106" t="inlineStr">
        <is>
          <t>4772 - Comercio al por menor de todo tipo de calzado y artículos de cuero y sucedáneos del cuero en establecimientos especializados.</t>
        </is>
      </c>
      <c r="H268" s="107" t="n"/>
      <c r="I268" s="107" t="n"/>
      <c r="J268" s="107" t="n"/>
      <c r="K268" s="107" t="n"/>
      <c r="L268" s="107" t="n"/>
    </row>
    <row r="269" ht="15.75" customHeight="1" s="157">
      <c r="G269" s="106" t="inlineStr">
        <is>
          <t>4773 - Comercio al por menor de productos farmacéuticos y medicinales, cosméticos y artículos de tocador en establecimientos especializados</t>
        </is>
      </c>
      <c r="H269" s="107" t="n"/>
      <c r="I269" s="107" t="n"/>
      <c r="J269" s="107" t="n"/>
      <c r="K269" s="107" t="n"/>
      <c r="L269" s="107" t="n"/>
    </row>
    <row r="270" ht="15.75" customHeight="1" s="157">
      <c r="G270" s="106" t="inlineStr">
        <is>
          <t>4774 - Comercio al por menor de otros productos nuevos en establecimientos especializados</t>
        </is>
      </c>
      <c r="H270" s="107" t="n"/>
      <c r="I270" s="107" t="n"/>
      <c r="J270" s="107" t="n"/>
      <c r="K270" s="107" t="n"/>
      <c r="L270" s="107" t="n"/>
    </row>
    <row r="271" ht="15.75" customHeight="1" s="157">
      <c r="G271" s="106" t="inlineStr">
        <is>
          <t>4775 - Comercio al por menor de artículos de segunda mano</t>
        </is>
      </c>
      <c r="H271" s="107" t="n"/>
      <c r="I271" s="107" t="n"/>
      <c r="J271" s="107" t="n"/>
      <c r="K271" s="107" t="n"/>
      <c r="L271" s="107" t="n"/>
    </row>
    <row r="272" ht="15.75" customHeight="1" s="157">
      <c r="G272" s="106" t="inlineStr">
        <is>
          <t>4781 - Comercio al por menor de alimentos, bebidas y tabaco, en puestos de venta móviles</t>
        </is>
      </c>
      <c r="H272" s="107" t="n"/>
      <c r="I272" s="107" t="n"/>
      <c r="J272" s="107" t="n"/>
      <c r="K272" s="107" t="n"/>
      <c r="L272" s="107" t="n"/>
    </row>
    <row r="273" ht="15.75" customHeight="1" s="157">
      <c r="G273" s="106" t="inlineStr">
        <is>
          <t>4782 - Comercio al por menor de productos textiles, prendas de vestir y calzado, en puestos de venta móviles</t>
        </is>
      </c>
      <c r="H273" s="107" t="n"/>
      <c r="I273" s="107" t="n"/>
      <c r="J273" s="107" t="n"/>
      <c r="K273" s="107" t="n"/>
      <c r="L273" s="107" t="n"/>
    </row>
    <row r="274" ht="15.75" customHeight="1" s="157">
      <c r="G274" s="106" t="inlineStr">
        <is>
          <t>4789 - Comercio al por menor de otros productos en puestos de venta móviles</t>
        </is>
      </c>
      <c r="H274" s="107" t="n"/>
      <c r="I274" s="107" t="n"/>
      <c r="J274" s="107" t="n"/>
      <c r="K274" s="107" t="n"/>
      <c r="L274" s="107" t="n"/>
    </row>
    <row r="275" ht="15.75" customHeight="1" s="157">
      <c r="G275" s="106" t="inlineStr">
        <is>
          <t>4791 - Comercio al por menor realizado a través de Internet</t>
        </is>
      </c>
      <c r="H275" s="107" t="n"/>
      <c r="I275" s="107" t="n"/>
      <c r="J275" s="107" t="n"/>
      <c r="K275" s="107" t="n"/>
      <c r="L275" s="107" t="n"/>
    </row>
    <row r="276" ht="15.75" customHeight="1" s="157">
      <c r="G276" s="106" t="inlineStr">
        <is>
          <t>4792 - Comercio al por menor realizado a través de casas de venta o por correo</t>
        </is>
      </c>
      <c r="H276" s="107" t="n"/>
      <c r="I276" s="107" t="n"/>
      <c r="J276" s="107" t="n"/>
      <c r="K276" s="107" t="n"/>
      <c r="L276" s="107" t="n"/>
    </row>
    <row r="277" ht="15.75" customHeight="1" s="157">
      <c r="G277" s="106" t="inlineStr">
        <is>
          <t>4799 - Otros tipos de comercio al por menor no realizado en establecimientos, puestos de venta o mercados.</t>
        </is>
      </c>
      <c r="H277" s="107" t="n"/>
      <c r="I277" s="107" t="n"/>
      <c r="J277" s="107" t="n"/>
      <c r="K277" s="107" t="n"/>
      <c r="L277" s="107" t="n"/>
    </row>
    <row r="278" ht="15.75" customHeight="1" s="157">
      <c r="G278" s="106" t="inlineStr">
        <is>
          <t>4911 - Transporte férreo de pasajeros</t>
        </is>
      </c>
      <c r="H278" s="107" t="n"/>
      <c r="I278" s="107" t="n"/>
      <c r="J278" s="107" t="n"/>
      <c r="K278" s="107" t="n"/>
      <c r="L278" s="107" t="n"/>
    </row>
    <row r="279" ht="15.75" customHeight="1" s="157">
      <c r="G279" s="106" t="inlineStr">
        <is>
          <t xml:space="preserve">4912 - Transporte férreo de carga </t>
        </is>
      </c>
      <c r="H279" s="107" t="n"/>
      <c r="I279" s="107" t="n"/>
      <c r="J279" s="107" t="n"/>
      <c r="K279" s="107" t="n"/>
      <c r="L279" s="107" t="n"/>
    </row>
    <row r="280" ht="15.75" customHeight="1" s="157">
      <c r="G280" s="106" t="inlineStr">
        <is>
          <t>4921 - Transporte de pasajeros</t>
        </is>
      </c>
      <c r="H280" s="107" t="n"/>
      <c r="I280" s="107" t="n"/>
      <c r="J280" s="107" t="n"/>
      <c r="K280" s="107" t="n"/>
      <c r="L280" s="107" t="n"/>
    </row>
    <row r="281" ht="15.75" customHeight="1" s="157">
      <c r="G281" s="106" t="inlineStr">
        <is>
          <t>4922 - Transporte mixto</t>
        </is>
      </c>
      <c r="H281" s="107" t="n"/>
      <c r="I281" s="107" t="n"/>
      <c r="J281" s="107" t="n"/>
      <c r="K281" s="107" t="n"/>
      <c r="L281" s="107" t="n"/>
    </row>
    <row r="282" ht="15.75" customHeight="1" s="157">
      <c r="G282" s="106" t="inlineStr">
        <is>
          <t>4923 - Transporte de carga por carretera</t>
        </is>
      </c>
      <c r="H282" s="107" t="n"/>
      <c r="I282" s="107" t="n"/>
      <c r="J282" s="107" t="n"/>
      <c r="K282" s="107" t="n"/>
      <c r="L282" s="107" t="n"/>
    </row>
    <row r="283" ht="15.75" customHeight="1" s="157">
      <c r="G283" s="106" t="inlineStr">
        <is>
          <t>4930 - Transporte por tuberías</t>
        </is>
      </c>
      <c r="H283" s="107" t="n"/>
      <c r="I283" s="107" t="n"/>
      <c r="J283" s="107" t="n"/>
      <c r="K283" s="107" t="n"/>
      <c r="L283" s="107" t="n"/>
    </row>
    <row r="284" ht="15.75" customHeight="1" s="157">
      <c r="G284" s="106" t="inlineStr">
        <is>
          <t xml:space="preserve">5011 - Transporte de pasajeros marítimo y de cabotaje </t>
        </is>
      </c>
      <c r="H284" s="107" t="n"/>
      <c r="I284" s="107" t="n"/>
      <c r="J284" s="107" t="n"/>
      <c r="K284" s="107" t="n"/>
      <c r="L284" s="107" t="n"/>
    </row>
    <row r="285" ht="15.75" customHeight="1" s="157">
      <c r="G285" s="106" t="inlineStr">
        <is>
          <t xml:space="preserve">5012 - Transporte de carga marítimo y de cabotaje </t>
        </is>
      </c>
      <c r="H285" s="107" t="n"/>
      <c r="I285" s="107" t="n"/>
      <c r="J285" s="107" t="n"/>
      <c r="K285" s="107" t="n"/>
      <c r="L285" s="107" t="n"/>
    </row>
    <row r="286" ht="15.75" customHeight="1" s="157">
      <c r="G286" s="106" t="inlineStr">
        <is>
          <t>5021 - Transporte fluvial de pasajeros</t>
        </is>
      </c>
      <c r="H286" s="107" t="n"/>
      <c r="I286" s="107" t="n"/>
      <c r="J286" s="107" t="n"/>
      <c r="K286" s="107" t="n"/>
      <c r="L286" s="107" t="n"/>
    </row>
    <row r="287" ht="15.75" customHeight="1" s="157">
      <c r="G287" s="106" t="inlineStr">
        <is>
          <t>5022 - Transporte fluvial de carga</t>
        </is>
      </c>
      <c r="H287" s="107" t="n"/>
      <c r="I287" s="107" t="n"/>
      <c r="J287" s="107" t="n"/>
      <c r="K287" s="107" t="n"/>
      <c r="L287" s="107" t="n"/>
    </row>
    <row r="288" ht="15.75" customHeight="1" s="157">
      <c r="G288" s="106" t="inlineStr">
        <is>
          <t xml:space="preserve">5111 - Transporte aéreo nacional de pasajeros </t>
        </is>
      </c>
      <c r="H288" s="107" t="n"/>
      <c r="I288" s="107" t="n"/>
      <c r="J288" s="107" t="n"/>
      <c r="K288" s="107" t="n"/>
      <c r="L288" s="107" t="n"/>
    </row>
    <row r="289" ht="15.75" customHeight="1" s="157">
      <c r="G289" s="106" t="inlineStr">
        <is>
          <t xml:space="preserve">5112 - Transporte aéreo internacional de pasajeros </t>
        </is>
      </c>
      <c r="H289" s="107" t="n"/>
      <c r="I289" s="107" t="n"/>
      <c r="J289" s="107" t="n"/>
      <c r="K289" s="107" t="n"/>
      <c r="L289" s="107" t="n"/>
    </row>
    <row r="290" ht="15.75" customHeight="1" s="157">
      <c r="G290" s="106" t="inlineStr">
        <is>
          <t xml:space="preserve">5121 - Transporte aéreo nacional de carga </t>
        </is>
      </c>
      <c r="H290" s="107" t="n"/>
      <c r="I290" s="107" t="n"/>
      <c r="J290" s="107" t="n"/>
      <c r="K290" s="107" t="n"/>
      <c r="L290" s="107" t="n"/>
    </row>
    <row r="291" ht="15.75" customHeight="1" s="157">
      <c r="G291" s="104" t="inlineStr">
        <is>
          <t xml:space="preserve">5122 - Transporte aéreo internacional de carga </t>
        </is>
      </c>
    </row>
    <row r="292" ht="15.75" customHeight="1" s="157">
      <c r="G292" s="104" t="inlineStr">
        <is>
          <t>5210 - Almacenamiento y depósito</t>
        </is>
      </c>
    </row>
    <row r="293" ht="15.75" customHeight="1" s="157">
      <c r="G293" s="104" t="inlineStr">
        <is>
          <t>5221 - Actividades de estaciones, vías y servicios complementarios para el transporte terrestre</t>
        </is>
      </c>
    </row>
    <row r="294" ht="15.75" customHeight="1" s="157">
      <c r="G294" s="104" t="inlineStr">
        <is>
          <t>5222 - Actividades de puertos y servicios complementarios para el transporte acuático</t>
        </is>
      </c>
    </row>
    <row r="295" ht="15.75" customHeight="1" s="157">
      <c r="G295" s="104" t="inlineStr">
        <is>
          <t>5223 - Actividades de aeropuertos, servicios de navegación aérea y demás actividades conexas al transporte aéreo</t>
        </is>
      </c>
    </row>
    <row r="296" ht="15.75" customHeight="1" s="157">
      <c r="G296" s="104" t="inlineStr">
        <is>
          <t>5224 - Manipulación de carga</t>
        </is>
      </c>
    </row>
    <row r="297" ht="15.75" customHeight="1" s="157">
      <c r="G297" s="104" t="inlineStr">
        <is>
          <t>5229 - Otras actividades complementarias al transporte</t>
        </is>
      </c>
    </row>
    <row r="298" ht="15.75" customHeight="1" s="157">
      <c r="G298" s="104" t="inlineStr">
        <is>
          <t>5310 - Actividades postales nacionales</t>
        </is>
      </c>
    </row>
    <row r="299" ht="15.75" customHeight="1" s="157">
      <c r="G299" s="104" t="inlineStr">
        <is>
          <t>5320 - Actividades de mensajería</t>
        </is>
      </c>
    </row>
    <row r="300" ht="15.75" customHeight="1" s="157">
      <c r="G300" s="104" t="inlineStr">
        <is>
          <t xml:space="preserve">5511 - Alojamiento en hoteles </t>
        </is>
      </c>
    </row>
    <row r="301" ht="15.75" customHeight="1" s="157">
      <c r="G301" s="104" t="inlineStr">
        <is>
          <t>5512 - Alojamiento en apartahoteles</t>
        </is>
      </c>
    </row>
    <row r="302" ht="15.75" customHeight="1" s="157">
      <c r="G302" s="104" t="inlineStr">
        <is>
          <t xml:space="preserve">5513 - Alojamiento en centros vacacionales </t>
        </is>
      </c>
    </row>
    <row r="303" ht="15.75" customHeight="1" s="157">
      <c r="G303" s="104" t="inlineStr">
        <is>
          <t>5514 - Alojamiento rural</t>
        </is>
      </c>
    </row>
    <row r="304" ht="15.75" customHeight="1" s="157">
      <c r="G304" s="104" t="inlineStr">
        <is>
          <t>5519 - Otros tipos de alojamientos para visitantes</t>
        </is>
      </c>
    </row>
    <row r="305" ht="15.75" customHeight="1" s="157">
      <c r="G305" s="104" t="inlineStr">
        <is>
          <t>5520 - Actividades de zonas de camping y parques para vehículos recreacionales</t>
        </is>
      </c>
    </row>
    <row r="306" ht="15.75" customHeight="1" s="157">
      <c r="G306" s="104" t="inlineStr">
        <is>
          <t xml:space="preserve">5530 - Servicio por horas </t>
        </is>
      </c>
    </row>
    <row r="307" ht="15.75" customHeight="1" s="157">
      <c r="G307" s="104" t="inlineStr">
        <is>
          <t>5590 - Otros tipos de alojamiento n.c.p.</t>
        </is>
      </c>
    </row>
    <row r="308" ht="15.75" customHeight="1" s="157">
      <c r="G308" s="104" t="inlineStr">
        <is>
          <t>5611 - Expendio a la mesa de comidas preparadas</t>
        </is>
      </c>
    </row>
    <row r="309" ht="15.75" customHeight="1" s="157">
      <c r="G309" s="104" t="inlineStr">
        <is>
          <t>5612 - Expendio por autoservicio de comidas preparadas</t>
        </is>
      </c>
    </row>
    <row r="310" ht="15.75" customHeight="1" s="157">
      <c r="G310" s="104" t="inlineStr">
        <is>
          <t>5613 - Expendio de comidas preparadas en cafeterías</t>
        </is>
      </c>
    </row>
    <row r="311" ht="15.75" customHeight="1" s="157">
      <c r="G311" s="104" t="inlineStr">
        <is>
          <t>5619 - Otros tipos de expendio de comidas preparadas n.c.p.</t>
        </is>
      </c>
    </row>
    <row r="312" ht="15.75" customHeight="1" s="157">
      <c r="G312" s="104" t="inlineStr">
        <is>
          <t>5621 - Catering para eventos</t>
        </is>
      </c>
    </row>
    <row r="313" ht="15.75" customHeight="1" s="157">
      <c r="G313" s="104" t="inlineStr">
        <is>
          <t>5629 - Actividades de otros servicios de comidas</t>
        </is>
      </c>
    </row>
    <row r="314" ht="15.75" customHeight="1" s="157">
      <c r="G314" s="104" t="inlineStr">
        <is>
          <t>5630 - Expendio de bebidas alcohólicas para el consumo dentro del establecimiento</t>
        </is>
      </c>
    </row>
    <row r="315" ht="15.75" customHeight="1" s="157">
      <c r="G315" s="104" t="inlineStr">
        <is>
          <t>5811 - Edición de libros</t>
        </is>
      </c>
    </row>
    <row r="316" ht="15.75" customHeight="1" s="157">
      <c r="G316" s="104" t="inlineStr">
        <is>
          <t>5812 - Edición de directorios y listas de correo</t>
        </is>
      </c>
    </row>
    <row r="317" ht="15.75" customHeight="1" s="157">
      <c r="G317" s="104" t="inlineStr">
        <is>
          <t>5813 - Edición de periódicos, revistas y otras publicaciones periódicas</t>
        </is>
      </c>
    </row>
    <row r="318" ht="15.75" customHeight="1" s="157">
      <c r="G318" s="104" t="inlineStr">
        <is>
          <t>5819 - Otros trabajos de edición</t>
        </is>
      </c>
    </row>
    <row r="319" ht="15.75" customHeight="1" s="157">
      <c r="G319" s="104" t="inlineStr">
        <is>
          <t>5820 - Edición de programas de informática (software)</t>
        </is>
      </c>
    </row>
    <row r="320" ht="15.75" customHeight="1" s="157">
      <c r="G320" s="104" t="inlineStr">
        <is>
          <t>5911 - Actividades de producción de películas cinematográficas, videos, programas, anuncios y comerciales de televisión</t>
        </is>
      </c>
    </row>
    <row r="321" ht="15.75" customHeight="1" s="157">
      <c r="G321" s="104" t="inlineStr">
        <is>
          <t>5912 - Actividades de posproducción de películas cinematográficas, videos, programas, anuncios y comerciales de televisión</t>
        </is>
      </c>
    </row>
    <row r="322" ht="15.75" customHeight="1" s="157">
      <c r="G322" s="104" t="inlineStr">
        <is>
          <t>5913 - Actividades de distribución de películas cinematográficas, videos, programas, anuncios y comerciales de televisión</t>
        </is>
      </c>
    </row>
    <row r="323" ht="15.75" customHeight="1" s="157">
      <c r="G323" s="104" t="inlineStr">
        <is>
          <t>5914 - Actividades de exhibición de películas cinematográficas y videos</t>
        </is>
      </c>
    </row>
    <row r="324" ht="15.75" customHeight="1" s="157">
      <c r="G324" s="104" t="inlineStr">
        <is>
          <t>5920 - Actividades de grabación de sonido y edición de musica</t>
        </is>
      </c>
    </row>
    <row r="325" ht="15.75" customHeight="1" s="157">
      <c r="G325" s="104" t="inlineStr">
        <is>
          <t>6010 - Actividades de programación y transmisión en el servicio de radiodifusión sonora</t>
        </is>
      </c>
    </row>
    <row r="326" ht="15.75" customHeight="1" s="157">
      <c r="G326" s="104" t="inlineStr">
        <is>
          <t>6020 - Actividades de programación y transmisión de televisión</t>
        </is>
      </c>
    </row>
    <row r="327" ht="15.75" customHeight="1" s="157">
      <c r="G327" s="104" t="inlineStr">
        <is>
          <t>6110 - Actividades de telecomunicaciones alámbricas</t>
        </is>
      </c>
    </row>
    <row r="328" ht="15.75" customHeight="1" s="157">
      <c r="G328" s="104" t="inlineStr">
        <is>
          <t>6120 - Actividades de telecomunicaciones inalámbricas</t>
        </is>
      </c>
    </row>
    <row r="329" ht="15.75" customHeight="1" s="157">
      <c r="G329" s="104" t="inlineStr">
        <is>
          <t>6130 - Actividades de telecomunicación satelital</t>
        </is>
      </c>
    </row>
    <row r="330" ht="15.75" customHeight="1" s="157">
      <c r="G330" s="104" t="inlineStr">
        <is>
          <t>6190 - Otras actividades de telecomunicaciones</t>
        </is>
      </c>
    </row>
    <row r="331" ht="15.75" customHeight="1" s="157">
      <c r="G331" s="104" t="inlineStr">
        <is>
          <t>6201 - Actividades de desarrollo de sistemas informáticos (planificación, análisis, diseño, programación, pruebas)</t>
        </is>
      </c>
    </row>
    <row r="332" ht="15.75" customHeight="1" s="157">
      <c r="G332" s="104" t="inlineStr">
        <is>
          <t>6202 - Actividades de consultoría informática y actividades de administración de instalaciones informáticas</t>
        </is>
      </c>
    </row>
    <row r="333" ht="15.75" customHeight="1" s="157">
      <c r="G333" s="104" t="inlineStr">
        <is>
          <t>6209 - Otras actividades de tecnologías de información y actividades de servicios informáticos</t>
        </is>
      </c>
    </row>
    <row r="334" ht="15.75" customHeight="1" s="157">
      <c r="G334" s="104" t="inlineStr">
        <is>
          <t>6311 - Procesamiento de datos, alojamiento (hosting) y actividades relacionadas</t>
        </is>
      </c>
    </row>
    <row r="335" ht="15.75" customHeight="1" s="157">
      <c r="G335" s="104" t="inlineStr">
        <is>
          <t>6312 - Portales web</t>
        </is>
      </c>
    </row>
    <row r="336" ht="15.75" customHeight="1" s="157">
      <c r="G336" s="104" t="inlineStr">
        <is>
          <t>6391 - Actividades de agencias de noticias</t>
        </is>
      </c>
    </row>
    <row r="337" ht="15.75" customHeight="1" s="157">
      <c r="G337" s="104" t="inlineStr">
        <is>
          <t>6399 - Otras actividades de servicio de información n.c.p.</t>
        </is>
      </c>
    </row>
    <row r="338" ht="15.75" customHeight="1" s="157">
      <c r="G338" s="104" t="inlineStr">
        <is>
          <t>6411 - Banco Central</t>
        </is>
      </c>
    </row>
    <row r="339" ht="15.75" customHeight="1" s="157">
      <c r="G339" s="104" t="inlineStr">
        <is>
          <t>6412 - Bancos comerciales</t>
        </is>
      </c>
    </row>
    <row r="340" ht="15.75" customHeight="1" s="157">
      <c r="G340" s="104" t="inlineStr">
        <is>
          <t>6421 - Actividades de las corporaciones financieras</t>
        </is>
      </c>
    </row>
    <row r="341" ht="15.75" customHeight="1" s="157">
      <c r="G341" s="104" t="inlineStr">
        <is>
          <t>6422 - Actividades de las compañías de financiamiento</t>
        </is>
      </c>
    </row>
    <row r="342" ht="15.75" customHeight="1" s="157">
      <c r="G342" s="104" t="inlineStr">
        <is>
          <t>6423 - Banca de segundo piso</t>
        </is>
      </c>
    </row>
    <row r="343" ht="15.75" customHeight="1" s="157">
      <c r="G343" s="104" t="inlineStr">
        <is>
          <t>6424 - Actividades de las cooperativas financieras</t>
        </is>
      </c>
    </row>
    <row r="344" ht="15.75" customHeight="1" s="157">
      <c r="G344" s="104" t="inlineStr">
        <is>
          <t>6431 - Fideicomisos, fondos y entidades financieras similares</t>
        </is>
      </c>
    </row>
    <row r="345" ht="15.75" customHeight="1" s="157">
      <c r="G345" s="104" t="inlineStr">
        <is>
          <t>6432 - Fondos de cesantías</t>
        </is>
      </c>
    </row>
    <row r="346" ht="15.75" customHeight="1" s="157">
      <c r="G346" s="104" t="inlineStr">
        <is>
          <t>6491 - Leasing financiero (arrendamiento financiero)</t>
        </is>
      </c>
    </row>
    <row r="347" ht="15.75" customHeight="1" s="157">
      <c r="G347" s="104" t="inlineStr">
        <is>
          <t>6492 - Actividades financieras de fondos de empleados y otras formas asociativas del sector solidario</t>
        </is>
      </c>
    </row>
    <row r="348" ht="15.75" customHeight="1" s="157">
      <c r="G348" s="104" t="inlineStr">
        <is>
          <t>6493 - Actividades de compra de cartera o factoring</t>
        </is>
      </c>
    </row>
    <row r="349" ht="15.75" customHeight="1" s="157">
      <c r="G349" s="104" t="inlineStr">
        <is>
          <t>6494 - Otras actividades de distribución de fondos</t>
        </is>
      </c>
    </row>
    <row r="350" ht="15.75" customHeight="1" s="157">
      <c r="G350" s="104" t="inlineStr">
        <is>
          <t>6495 - Instituciones especiales oficiales</t>
        </is>
      </c>
    </row>
    <row r="351" ht="15.75" customHeight="1" s="157">
      <c r="G351" s="104" t="inlineStr">
        <is>
          <t>6499 - Otras actividades de servicio financiero, excepto las de seguros y pensiones n.c.p.</t>
        </is>
      </c>
    </row>
    <row r="352" ht="15.75" customHeight="1" s="157">
      <c r="G352" s="104" t="inlineStr">
        <is>
          <t xml:space="preserve">6511 - Seguros generales </t>
        </is>
      </c>
    </row>
    <row r="353" ht="15.75" customHeight="1" s="157">
      <c r="G353" s="104" t="inlineStr">
        <is>
          <t>6512 - Seguros de vida</t>
        </is>
      </c>
    </row>
    <row r="354" ht="15.75" customHeight="1" s="157">
      <c r="G354" s="104" t="inlineStr">
        <is>
          <t>6513 - Reaseguros</t>
        </is>
      </c>
    </row>
    <row r="355" ht="15.75" customHeight="1" s="157">
      <c r="G355" s="104" t="inlineStr">
        <is>
          <t>6514 - Capitalización</t>
        </is>
      </c>
    </row>
    <row r="356" ht="15.75" customHeight="1" s="157">
      <c r="G356" s="104" t="inlineStr">
        <is>
          <t>6521 - Servicios de seguros sociales de salud</t>
        </is>
      </c>
    </row>
    <row r="357" ht="15.75" customHeight="1" s="157">
      <c r="G357" s="104" t="inlineStr">
        <is>
          <t>6522 - Servicios de seguros sociales de riesgos profesionales</t>
        </is>
      </c>
    </row>
    <row r="358" ht="15.75" customHeight="1" s="157">
      <c r="G358" s="104" t="inlineStr">
        <is>
          <t>6531 - Régimen de prima media con prestación definida (RPM)</t>
        </is>
      </c>
    </row>
    <row r="359" ht="15.75" customHeight="1" s="157">
      <c r="G359" s="104" t="inlineStr">
        <is>
          <t>6532 - Régimen de ahorro individual (RAI)</t>
        </is>
      </c>
    </row>
    <row r="360" ht="15.75" customHeight="1" s="157">
      <c r="G360" s="104" t="inlineStr">
        <is>
          <t>6611 - Administración de mercados financieros</t>
        </is>
      </c>
    </row>
    <row r="361" ht="15.75" customHeight="1" s="157">
      <c r="G361" s="104" t="inlineStr">
        <is>
          <t>6612 - Corretaje de valores y de contratos de productos básicos</t>
        </is>
      </c>
    </row>
    <row r="362" ht="15.75" customHeight="1" s="157">
      <c r="G362" s="104" t="inlineStr">
        <is>
          <t>6613 - Otras actividades relacionadas con el mercado de valores</t>
        </is>
      </c>
    </row>
    <row r="363" ht="15.75" customHeight="1" s="157">
      <c r="G363" s="104" t="inlineStr">
        <is>
          <t>6614 - Actividades de las casas de cambio</t>
        </is>
      </c>
    </row>
    <row r="364" ht="15.75" customHeight="1" s="157">
      <c r="G364" s="104" t="inlineStr">
        <is>
          <t>6615 - Actividades de los profesionales de compra y venta de divisas</t>
        </is>
      </c>
    </row>
    <row r="365" ht="15.75" customHeight="1" s="157">
      <c r="G365" s="104" t="inlineStr">
        <is>
          <t>6619 - Otras actividades auxiliares de las actividades de servicios financieros n.c.p.</t>
        </is>
      </c>
    </row>
    <row r="366" ht="15.75" customHeight="1" s="157">
      <c r="G366" s="104" t="inlineStr">
        <is>
          <t>6621 - Actividades de agentes y corredores de seguros</t>
        </is>
      </c>
    </row>
    <row r="367" ht="15.75" customHeight="1" s="157">
      <c r="G367" s="104" t="inlineStr">
        <is>
          <t>6629 - Evaluación de riesgos y daños, y otras actividades de servicios auxiliares</t>
        </is>
      </c>
    </row>
    <row r="368" ht="15.75" customHeight="1" s="157">
      <c r="G368" s="104" t="inlineStr">
        <is>
          <t>6630 - Actividades de administración de fondos</t>
        </is>
      </c>
    </row>
    <row r="369" ht="15.75" customHeight="1" s="157">
      <c r="G369" s="104" t="inlineStr">
        <is>
          <t>6810 - Actividades inmobiliarias realizadas con bienes propios o arrendados</t>
        </is>
      </c>
    </row>
    <row r="370" ht="15.75" customHeight="1" s="157">
      <c r="G370" s="104" t="inlineStr">
        <is>
          <t xml:space="preserve">6820 - Actividades inmobiliarias realizadas a cambio de una retribución o por contrata </t>
        </is>
      </c>
    </row>
    <row r="371" ht="15.75" customHeight="1" s="157">
      <c r="G371" s="104" t="inlineStr">
        <is>
          <t>6910 - Actividades jurídicas</t>
        </is>
      </c>
    </row>
    <row r="372" ht="15.75" customHeight="1" s="157">
      <c r="G372" s="104" t="inlineStr">
        <is>
          <t>6920 - Actividades de contabilidad, teneduría de libros, auditoría financiera y asesoría tributaria</t>
        </is>
      </c>
    </row>
    <row r="373" ht="15.75" customHeight="1" s="157">
      <c r="G373" s="104" t="inlineStr">
        <is>
          <t>7010 - Actividades de administración empresarial</t>
        </is>
      </c>
    </row>
    <row r="374" ht="15.75" customHeight="1" s="157">
      <c r="G374" s="104" t="inlineStr">
        <is>
          <t>7020 - Actividades de consultaría de gestión</t>
        </is>
      </c>
    </row>
    <row r="375" ht="15.75" customHeight="1" s="157">
      <c r="G375" s="104" t="inlineStr">
        <is>
          <t>7111 - Actividades de arquitectura</t>
        </is>
      </c>
    </row>
    <row r="376" ht="15.75" customHeight="1" s="157">
      <c r="G376" s="104" t="inlineStr">
        <is>
          <t>7112-  Actividad de ingeniería y otras actividades conexas de consultoría técnica</t>
        </is>
      </c>
    </row>
    <row r="377" ht="15.75" customHeight="1" s="157">
      <c r="G377" s="104" t="inlineStr">
        <is>
          <t>7120 - Ensayos y análisis técnicos</t>
        </is>
      </c>
    </row>
    <row r="378" ht="15.75" customHeight="1" s="157">
      <c r="G378" s="104" t="inlineStr">
        <is>
          <t xml:space="preserve">7210 - Investigaciones y desarrollo experimental en el campo de las ciencias naturales y la ingeniería </t>
        </is>
      </c>
    </row>
    <row r="379" ht="15.75" customHeight="1" s="157">
      <c r="G379" s="104" t="inlineStr">
        <is>
          <t>7220 - Investigaciones y desarrollo experimental en el campo de las ciencias sociales y las humanidades</t>
        </is>
      </c>
    </row>
    <row r="380" ht="15.75" customHeight="1" s="157">
      <c r="G380" s="104" t="inlineStr">
        <is>
          <t>7310 - Publicidad</t>
        </is>
      </c>
    </row>
    <row r="381" ht="15.75" customHeight="1" s="157">
      <c r="G381" s="104" t="inlineStr">
        <is>
          <t>7320 - Estudios de mercado y realización de encuestas de opinión pública</t>
        </is>
      </c>
    </row>
    <row r="382" ht="15.75" customHeight="1" s="157">
      <c r="G382" s="104" t="inlineStr">
        <is>
          <t xml:space="preserve">7410 - Actividades especializadas de diseño </t>
        </is>
      </c>
    </row>
    <row r="383" ht="15.75" customHeight="1" s="157">
      <c r="G383" s="104" t="inlineStr">
        <is>
          <t>7420 - Actividades de fotografía</t>
        </is>
      </c>
    </row>
    <row r="384" ht="15.75" customHeight="1" s="157">
      <c r="G384" s="104" t="inlineStr">
        <is>
          <t>7490 - Otras actividades profesionales, científicas y técnicas n.c.p.</t>
        </is>
      </c>
    </row>
    <row r="385" ht="15.75" customHeight="1" s="157">
      <c r="G385" s="104" t="inlineStr">
        <is>
          <t>7500 - Actividades veterinarias</t>
        </is>
      </c>
    </row>
    <row r="386" ht="15.75" customHeight="1" s="157">
      <c r="G386" s="104" t="inlineStr">
        <is>
          <t>7710 - Alquiler y arrendamiento de vehículos automotores</t>
        </is>
      </c>
    </row>
    <row r="387" ht="15.75" customHeight="1" s="157">
      <c r="G387" s="104" t="inlineStr">
        <is>
          <t>7721 - Alquiler y arrendamiento de equipo recreativo y deportivo</t>
        </is>
      </c>
    </row>
    <row r="388" ht="15.75" customHeight="1" s="157">
      <c r="G388" s="104" t="inlineStr">
        <is>
          <t xml:space="preserve">7722 - Alquiler de videos y discos </t>
        </is>
      </c>
    </row>
    <row r="389" ht="15.75" customHeight="1" s="157">
      <c r="G389" s="104" t="inlineStr">
        <is>
          <t>7729 - Alquiler y arrendamiento de otros efectos personales y enseres domésticos n.c.p.</t>
        </is>
      </c>
    </row>
    <row r="390" ht="15.75" customHeight="1" s="157">
      <c r="G390" s="104" t="inlineStr">
        <is>
          <t>7730 - Alquiler y arrendamiento de otros tipos de maquinaria, equipo y bienes tangibles n.c.p.</t>
        </is>
      </c>
    </row>
    <row r="391" ht="15.75" customHeight="1" s="157">
      <c r="G391" s="104" t="inlineStr">
        <is>
          <t>7740 - Arrendamiento de propiedad intelectual y productos similares, excepto obras protegidas por derechos de autor</t>
        </is>
      </c>
    </row>
    <row r="392" ht="15.75" customHeight="1" s="157">
      <c r="G392" s="104" t="inlineStr">
        <is>
          <t>7810 - Actividades de agencias de empleo</t>
        </is>
      </c>
    </row>
    <row r="393" ht="15.75" customHeight="1" s="157">
      <c r="G393" s="104" t="inlineStr">
        <is>
          <t>7820 - Actividades de agencias de empleo temporal</t>
        </is>
      </c>
    </row>
    <row r="394" ht="15.75" customHeight="1" s="157">
      <c r="G394" s="104" t="inlineStr">
        <is>
          <t>7830 - Otras actividades de suministro de recurso humano</t>
        </is>
      </c>
    </row>
    <row r="395" ht="15.75" customHeight="1" s="157">
      <c r="G395" s="104" t="inlineStr">
        <is>
          <t>7911 - Actividades de las agencias de viaje</t>
        </is>
      </c>
    </row>
    <row r="396" ht="15.75" customHeight="1" s="157">
      <c r="G396" s="104" t="inlineStr">
        <is>
          <t>7912 - Actividades de operadores turísticos</t>
        </is>
      </c>
    </row>
    <row r="397" ht="15.75" customHeight="1" s="157">
      <c r="G397" s="104" t="inlineStr">
        <is>
          <t>7990 - Otros servicios de reserva y actividades relacionadas</t>
        </is>
      </c>
    </row>
    <row r="398" ht="15.75" customHeight="1" s="157">
      <c r="G398" s="104" t="inlineStr">
        <is>
          <t>8010 - Actividades de seguridad privada</t>
        </is>
      </c>
    </row>
    <row r="399" ht="15.75" customHeight="1" s="157">
      <c r="G399" s="104" t="inlineStr">
        <is>
          <t>8020 - Actividades de servicios de sistemas de seguridad</t>
        </is>
      </c>
    </row>
    <row r="400" ht="15.75" customHeight="1" s="157">
      <c r="G400" s="104" t="inlineStr">
        <is>
          <t>8030 - Actividades de detectives e investigadores privados</t>
        </is>
      </c>
    </row>
    <row r="401" ht="15.75" customHeight="1" s="157">
      <c r="G401" s="104" t="inlineStr">
        <is>
          <t>8110 - Actividades combinadas de apoyo a instalaciones</t>
        </is>
      </c>
    </row>
    <row r="402" ht="15.75" customHeight="1" s="157">
      <c r="G402" s="104" t="inlineStr">
        <is>
          <t>8121 - Limpieza general interior de edificios</t>
        </is>
      </c>
    </row>
    <row r="403" ht="15.75" customHeight="1" s="157">
      <c r="G403" s="104" t="inlineStr">
        <is>
          <t>8129 - Otras actividades de limpieza de edificios e instalaciones industriales</t>
        </is>
      </c>
    </row>
    <row r="404" ht="15.75" customHeight="1" s="157">
      <c r="G404" s="104" t="inlineStr">
        <is>
          <t>8130 - Actividades de paisajismo y servicios de mantenimiento conexos</t>
        </is>
      </c>
    </row>
    <row r="405" ht="15.75" customHeight="1" s="157">
      <c r="G405" s="104" t="inlineStr">
        <is>
          <t>8211 - Actividades combinadas de servicios administrativos de oficina</t>
        </is>
      </c>
    </row>
    <row r="406" ht="15.75" customHeight="1" s="157">
      <c r="G406" s="104" t="inlineStr">
        <is>
          <t>8219 - Fotocopiado, preparación de documentos y otras actividades especializadas de apoyo a oficina</t>
        </is>
      </c>
    </row>
    <row r="407" ht="15.75" customHeight="1" s="157">
      <c r="G407" s="104" t="inlineStr">
        <is>
          <t>8220 - Actividades de centros de llamadas (Call center)</t>
        </is>
      </c>
    </row>
    <row r="408" ht="15.75" customHeight="1" s="157">
      <c r="G408" s="104" t="inlineStr">
        <is>
          <t>8230 - Organización de convenciones y eventos comerciales</t>
        </is>
      </c>
    </row>
    <row r="409" ht="15.75" customHeight="1" s="157">
      <c r="G409" s="104" t="inlineStr">
        <is>
          <t>8291 - Actividades de agencias de cobranza y oficinas de calificación crediticia</t>
        </is>
      </c>
    </row>
    <row r="410" ht="15.75" customHeight="1" s="157">
      <c r="G410" s="104" t="inlineStr">
        <is>
          <t>8292 - Actividades de envase y empaque</t>
        </is>
      </c>
    </row>
    <row r="411" ht="15.75" customHeight="1" s="157">
      <c r="G411" s="104" t="inlineStr">
        <is>
          <t>8299 - Otras actividades de servicio de apoyo a las empresas n.c.p.</t>
        </is>
      </c>
    </row>
    <row r="412" ht="15.75" customHeight="1" s="157">
      <c r="G412" s="104" t="inlineStr">
        <is>
          <t>8411 - Actividades legislativas de la administración pública</t>
        </is>
      </c>
    </row>
    <row r="413" ht="15.75" customHeight="1" s="157">
      <c r="G413" s="104" t="inlineStr">
        <is>
          <t>8412 - Actividades ejecutivas de la administración pública</t>
        </is>
      </c>
    </row>
    <row r="414" ht="15.75" customHeight="1" s="157">
      <c r="G414" s="104" t="inlineStr">
        <is>
          <t xml:space="preserve">8413 - Regulación de las actividades de organismos que prestan servicios de salud, educativos, culturales y otros servicios sociales, excepto servicios de seguridad social </t>
        </is>
      </c>
    </row>
    <row r="415" ht="15.75" customHeight="1" s="157">
      <c r="G415" s="104" t="inlineStr">
        <is>
          <t>8414 - Actividades reguladoras y facilitadoras de la actividad económica</t>
        </is>
      </c>
    </row>
    <row r="416" ht="15.75" customHeight="1" s="157">
      <c r="G416" s="104" t="inlineStr">
        <is>
          <t>8415 - Actividades de los otros órganos de control</t>
        </is>
      </c>
    </row>
    <row r="417" ht="15.75" customHeight="1" s="157">
      <c r="G417" s="104" t="inlineStr">
        <is>
          <t xml:space="preserve">8421 - Relaciones exteriores </t>
        </is>
      </c>
    </row>
    <row r="418" ht="15.75" customHeight="1" s="157">
      <c r="G418" s="104" t="inlineStr">
        <is>
          <t>8422 - Actividades de defensa</t>
        </is>
      </c>
    </row>
    <row r="419" ht="15.75" customHeight="1" s="157">
      <c r="G419" s="104" t="inlineStr">
        <is>
          <t>8423 - Orden público y actividades de seguridad</t>
        </is>
      </c>
    </row>
    <row r="420" ht="15.75" customHeight="1" s="157">
      <c r="G420" s="104" t="inlineStr">
        <is>
          <t>8424 - Administración de justicia</t>
        </is>
      </c>
    </row>
    <row r="421" ht="15.75" customHeight="1" s="157">
      <c r="G421" s="104" t="inlineStr">
        <is>
          <t>8430 - Actividades de planes de seguridad social de afiliación obligatoria</t>
        </is>
      </c>
    </row>
    <row r="422" ht="15.75" customHeight="1" s="157">
      <c r="G422" s="104" t="inlineStr">
        <is>
          <t>8511 - Educación de la primera infancia</t>
        </is>
      </c>
    </row>
    <row r="423" ht="15.75" customHeight="1" s="157">
      <c r="G423" s="104" t="inlineStr">
        <is>
          <t>8512 - Educación preescolar</t>
        </is>
      </c>
    </row>
    <row r="424" ht="15.75" customHeight="1" s="157">
      <c r="G424" s="104" t="inlineStr">
        <is>
          <t>8513 - Educación básica primaria</t>
        </is>
      </c>
    </row>
    <row r="425" ht="15.75" customHeight="1" s="157">
      <c r="G425" s="104" t="inlineStr">
        <is>
          <t xml:space="preserve">8521 - Educación básica secundaria </t>
        </is>
      </c>
    </row>
    <row r="426" ht="15.75" customHeight="1" s="157">
      <c r="G426" s="104" t="inlineStr">
        <is>
          <t>8522 - Educación media académica</t>
        </is>
      </c>
    </row>
    <row r="427" ht="15.75" customHeight="1" s="157">
      <c r="G427" s="104" t="inlineStr">
        <is>
          <t>8523 - Educación media técnica y de formación laboral</t>
        </is>
      </c>
    </row>
    <row r="428" ht="15.75" customHeight="1" s="157">
      <c r="G428" s="104" t="inlineStr">
        <is>
          <t xml:space="preserve">8530 - Establecimientos que combinan diferentes niveles de educación </t>
        </is>
      </c>
    </row>
    <row r="429" ht="15.75" customHeight="1" s="157">
      <c r="G429" s="104" t="inlineStr">
        <is>
          <t>8541 - Educación técnica profesional</t>
        </is>
      </c>
    </row>
    <row r="430" ht="15.75" customHeight="1" s="157">
      <c r="G430" s="104" t="inlineStr">
        <is>
          <t>8542 - Educación tecnológica</t>
        </is>
      </c>
    </row>
    <row r="431" ht="15.75" customHeight="1" s="157">
      <c r="G431" s="104" t="inlineStr">
        <is>
          <t>8543 - Educación de instituciones universitarias o de escuelas tecnológicas</t>
        </is>
      </c>
    </row>
    <row r="432" ht="15.75" customHeight="1" s="157">
      <c r="G432" s="104" t="inlineStr">
        <is>
          <t>8544 - Educación de universidades</t>
        </is>
      </c>
    </row>
    <row r="433" ht="15.75" customHeight="1" s="157">
      <c r="G433" s="104" t="inlineStr">
        <is>
          <t xml:space="preserve">8551 - Formación académica no formal </t>
        </is>
      </c>
    </row>
    <row r="434" ht="15.75" customHeight="1" s="157">
      <c r="G434" s="104" t="inlineStr">
        <is>
          <t>8552 - Enseñanza deportiva y recreativa</t>
        </is>
      </c>
    </row>
    <row r="435" ht="15.75" customHeight="1" s="157">
      <c r="G435" s="104" t="inlineStr">
        <is>
          <t>8553 - Enseñanza cultural</t>
        </is>
      </c>
    </row>
    <row r="436" ht="15.75" customHeight="1" s="157">
      <c r="G436" s="104" t="inlineStr">
        <is>
          <t>8559 - Otros tipos de educación n.c.p.</t>
        </is>
      </c>
    </row>
    <row r="437" ht="15.75" customHeight="1" s="157">
      <c r="G437" s="104" t="inlineStr">
        <is>
          <t>8560 - Actividades de apoyo a la educación</t>
        </is>
      </c>
    </row>
    <row r="438" ht="15.75" customHeight="1" s="157">
      <c r="G438" s="104" t="inlineStr">
        <is>
          <t>8610 - Actividades de hospitales y clínicas, con internación</t>
        </is>
      </c>
    </row>
    <row r="439" ht="15.75" customHeight="1" s="157">
      <c r="G439" s="104" t="inlineStr">
        <is>
          <t>8621 - Actividades de la práctica médica, sin internación</t>
        </is>
      </c>
    </row>
    <row r="440" ht="15.75" customHeight="1" s="157">
      <c r="G440" s="104" t="inlineStr">
        <is>
          <t>8622 - Actividades de la práctica odontológica</t>
        </is>
      </c>
    </row>
    <row r="441" ht="15.75" customHeight="1" s="157">
      <c r="G441" s="104" t="inlineStr">
        <is>
          <t>8691 - Actividades de apoyo diagnóstico</t>
        </is>
      </c>
    </row>
    <row r="442" ht="15.75" customHeight="1" s="157">
      <c r="G442" s="104" t="inlineStr">
        <is>
          <t>8692 - Actividades de apoyo terapéutico</t>
        </is>
      </c>
    </row>
    <row r="443" ht="15.75" customHeight="1" s="157">
      <c r="G443" s="104" t="inlineStr">
        <is>
          <t>8699 - Otras actividades de atención de la salud humana</t>
        </is>
      </c>
    </row>
    <row r="444" ht="15.75" customHeight="1" s="157">
      <c r="G444" s="104" t="inlineStr">
        <is>
          <t>8710 - Actividades de atención residencial medicalizada de tipo general</t>
        </is>
      </c>
    </row>
    <row r="445" ht="15.75" customHeight="1" s="157">
      <c r="G445" s="104" t="inlineStr">
        <is>
          <t>8720 - Actividades de atención residencial, para el cuidado de pacientes con retardo mental, enfermedad mental y consumo de sustancias psicoactivas</t>
        </is>
      </c>
    </row>
    <row r="446" ht="15.75" customHeight="1" s="157">
      <c r="G446" s="104" t="inlineStr">
        <is>
          <t>8730 - Actividades de atención en instituciones para el cuidado de personas mayores y/o discapacitadas</t>
        </is>
      </c>
    </row>
    <row r="447" ht="15.75" customHeight="1" s="157">
      <c r="G447" s="104" t="inlineStr">
        <is>
          <t>8790 - Otras actividades de atención en instituciones con alojamiento</t>
        </is>
      </c>
    </row>
    <row r="448" ht="15.75" customHeight="1" s="157">
      <c r="G448" s="104" t="inlineStr">
        <is>
          <t>8810 - Actividades de asistencia social sin alojamiento para personas mayores y discapacitadas</t>
        </is>
      </c>
    </row>
    <row r="449" ht="15.75" customHeight="1" s="157">
      <c r="G449" s="104" t="inlineStr">
        <is>
          <t>8890 - Otras actividades de asistencia social sin alojamiento</t>
        </is>
      </c>
    </row>
    <row r="450" ht="15.75" customHeight="1" s="157">
      <c r="G450" s="104" t="inlineStr">
        <is>
          <t>9001 - Creación literaria</t>
        </is>
      </c>
    </row>
    <row r="451" ht="15.75" customHeight="1" s="157">
      <c r="G451" s="104" t="inlineStr">
        <is>
          <t>9002 - Creación musical</t>
        </is>
      </c>
    </row>
    <row r="452" ht="15.75" customHeight="1" s="157">
      <c r="G452" s="104" t="inlineStr">
        <is>
          <t>9003 - Creación teatral</t>
        </is>
      </c>
    </row>
    <row r="453" ht="15.75" customHeight="1" s="157">
      <c r="G453" s="104" t="inlineStr">
        <is>
          <t>9004 - Creación audiovisual</t>
        </is>
      </c>
    </row>
    <row r="454" ht="15.75" customHeight="1" s="157">
      <c r="G454" s="104" t="inlineStr">
        <is>
          <t>9005 - Artes plásticas y visuales</t>
        </is>
      </c>
    </row>
    <row r="455" ht="15.75" customHeight="1" s="157">
      <c r="G455" s="104" t="inlineStr">
        <is>
          <t>9006 - Actividades teatrales</t>
        </is>
      </c>
    </row>
    <row r="456" ht="15.75" customHeight="1" s="157">
      <c r="G456" s="104" t="inlineStr">
        <is>
          <t>9007 - Actividades de espectáculos musicales en vivo</t>
        </is>
      </c>
    </row>
    <row r="457" ht="15.75" customHeight="1" s="157">
      <c r="G457" s="104" t="inlineStr">
        <is>
          <t>9008 - Otras actividades de espectáculos en vivo</t>
        </is>
      </c>
    </row>
    <row r="458" ht="15.75" customHeight="1" s="157">
      <c r="G458" s="104" t="inlineStr">
        <is>
          <t>9101 - Actividades de bibliotecas y archivos</t>
        </is>
      </c>
    </row>
    <row r="459" ht="15.75" customHeight="1" s="157">
      <c r="G459" s="104" t="inlineStr">
        <is>
          <t>9102 - Actividades y funcionamiento de museos, conservación de edificios y sitios históricos</t>
        </is>
      </c>
    </row>
    <row r="460" ht="15.75" customHeight="1" s="157">
      <c r="G460" s="104" t="inlineStr">
        <is>
          <t>9103 - Actividades de jardines botánicos, zoológicos y reservas naturales</t>
        </is>
      </c>
    </row>
    <row r="461" ht="15.75" customHeight="1" s="157">
      <c r="G461" s="104" t="inlineStr">
        <is>
          <t>9200 - Actividades de juegos de azar y apuestas</t>
        </is>
      </c>
    </row>
    <row r="462" ht="15.75" customHeight="1" s="157">
      <c r="G462" s="104" t="inlineStr">
        <is>
          <t>9311 - Gestión de instalaciones deportivas</t>
        </is>
      </c>
    </row>
    <row r="463" ht="15.75" customHeight="1" s="157">
      <c r="G463" s="104" t="inlineStr">
        <is>
          <t>9312 - Actividades de clubes deportivos</t>
        </is>
      </c>
    </row>
    <row r="464" ht="15.75" customHeight="1" s="157">
      <c r="G464" s="104" t="inlineStr">
        <is>
          <t>9319 - Otras actividades deportivas</t>
        </is>
      </c>
    </row>
    <row r="465" ht="15.75" customHeight="1" s="157">
      <c r="G465" s="104" t="inlineStr">
        <is>
          <t>9321 - Actividades de parques de atracciones y parques temáticos</t>
        </is>
      </c>
    </row>
    <row r="466" ht="15.75" customHeight="1" s="157">
      <c r="G466" s="104" t="inlineStr">
        <is>
          <t>9329 - Otras actividades recreativas y de esparcimiento n.c.p.</t>
        </is>
      </c>
    </row>
    <row r="467" ht="15.75" customHeight="1" s="157">
      <c r="G467" s="104" t="inlineStr">
        <is>
          <t>9411 - Actividades de asociaciones empresariales y de empleadores</t>
        </is>
      </c>
    </row>
    <row r="468" ht="15.75" customHeight="1" s="157">
      <c r="G468" s="104" t="inlineStr">
        <is>
          <t>9412 - Actividades de asociaciones profesionales</t>
        </is>
      </c>
    </row>
    <row r="469" ht="15.75" customHeight="1" s="157">
      <c r="G469" s="104" t="inlineStr">
        <is>
          <t>9420 - Actividades de sindicatos de empleados</t>
        </is>
      </c>
    </row>
    <row r="470" ht="15.75" customHeight="1" s="157">
      <c r="G470" s="104" t="inlineStr">
        <is>
          <t>9491 - Actividades de asociaciones religiosas</t>
        </is>
      </c>
    </row>
    <row r="471" ht="15.75" customHeight="1" s="157">
      <c r="G471" s="104" t="inlineStr">
        <is>
          <t>9492 - Actividades de asociaciones políticas</t>
        </is>
      </c>
    </row>
    <row r="472" ht="15.75" customHeight="1" s="157">
      <c r="G472" s="104" t="inlineStr">
        <is>
          <t>9499 - Actividades de otras asociaciones n.c.p.</t>
        </is>
      </c>
    </row>
    <row r="473" ht="15.75" customHeight="1" s="157">
      <c r="G473" s="104" t="inlineStr">
        <is>
          <t>9511 - Mantenimiento y reparación de computadores y de equipo periférico</t>
        </is>
      </c>
    </row>
    <row r="474" ht="15.75" customHeight="1" s="157">
      <c r="G474" s="104" t="inlineStr">
        <is>
          <t>9512 - Mantenimiento y reparación de equipos de comunicación</t>
        </is>
      </c>
    </row>
    <row r="475" ht="15.75" customHeight="1" s="157">
      <c r="G475" s="104" t="inlineStr">
        <is>
          <t>9521 - Mantenimiento y reparación de aparatos electrónicos de consumo</t>
        </is>
      </c>
    </row>
    <row r="476" ht="15.75" customHeight="1" s="157">
      <c r="G476" s="104" t="inlineStr">
        <is>
          <t xml:space="preserve">9522 - Mantenimiento y reparación de aparatos y equipos domésticos y de jardinería </t>
        </is>
      </c>
    </row>
    <row r="477" ht="15.75" customHeight="1" s="157">
      <c r="G477" s="104" t="inlineStr">
        <is>
          <t>9523 - Reparación de calzado y artículos de cuero</t>
        </is>
      </c>
    </row>
    <row r="478" ht="15.75" customHeight="1" s="157">
      <c r="G478" s="104" t="inlineStr">
        <is>
          <t>9524 - Reparación de muebles y accesorios para el hogar</t>
        </is>
      </c>
    </row>
    <row r="479" ht="15.75" customHeight="1" s="157">
      <c r="G479" s="104" t="inlineStr">
        <is>
          <t>9529 - Mantenimiento y reparación de otros efectos personales y enseres domésticos</t>
        </is>
      </c>
    </row>
    <row r="480" ht="15.75" customHeight="1" s="157">
      <c r="G480" s="104" t="inlineStr">
        <is>
          <t>9601 - Lavado y limpieza, incluso la limpieza en seco, de productos textiles y de piel</t>
        </is>
      </c>
    </row>
    <row r="481" ht="15.75" customHeight="1" s="157">
      <c r="G481" s="104" t="inlineStr">
        <is>
          <t>9602 - Peluquería y otros tratamientos de belleza</t>
        </is>
      </c>
    </row>
    <row r="482" ht="15.75" customHeight="1" s="157">
      <c r="G482" s="104" t="inlineStr">
        <is>
          <t>9603 - Pompas fúnebres y actividades relacionadas</t>
        </is>
      </c>
    </row>
    <row r="483" ht="15.75" customHeight="1" s="157">
      <c r="G483" s="104" t="inlineStr">
        <is>
          <t>9609 - Otras actividades de servicios personales n.c.p.</t>
        </is>
      </c>
    </row>
    <row r="484" ht="15.75" customHeight="1" s="157"/>
    <row r="485" ht="15.75" customHeight="1" s="157"/>
    <row r="486" ht="15.75" customHeight="1" s="157"/>
    <row r="487" ht="15.75" customHeight="1" s="157"/>
    <row r="488" ht="15.75" customHeight="1" s="157"/>
    <row r="489" ht="15.75" customHeight="1" s="157"/>
    <row r="490" ht="15.75" customHeight="1" s="157"/>
    <row r="491" ht="15.75" customHeight="1" s="157"/>
    <row r="492" ht="15.75" customHeight="1" s="157"/>
    <row r="493" ht="15.75" customHeight="1" s="157"/>
    <row r="494" ht="15.75" customHeight="1" s="157"/>
    <row r="495" ht="15.75" customHeight="1" s="157"/>
    <row r="496" ht="15.75" customHeight="1" s="157"/>
    <row r="497" ht="15.75" customHeight="1" s="157"/>
    <row r="498" ht="15.75" customHeight="1" s="157"/>
    <row r="499" ht="15.75" customHeight="1" s="157"/>
    <row r="500" ht="15.75" customHeight="1" s="157"/>
    <row r="501" ht="15.75" customHeight="1" s="157"/>
    <row r="502" ht="15.75" customHeight="1" s="157"/>
    <row r="503" ht="15.75" customHeight="1" s="157"/>
    <row r="504" ht="15.75" customHeight="1" s="157"/>
    <row r="505" ht="15.75" customHeight="1" s="157"/>
    <row r="506" ht="15.75" customHeight="1" s="157"/>
    <row r="507" ht="15.75" customHeight="1" s="157"/>
    <row r="508" ht="15.75" customHeight="1" s="157"/>
    <row r="509" ht="15.75" customHeight="1" s="157"/>
    <row r="510" ht="15.75" customHeight="1" s="157"/>
    <row r="511" ht="15.75" customHeight="1" s="157"/>
    <row r="512" ht="15.75" customHeight="1" s="157"/>
    <row r="513" ht="15.75" customHeight="1" s="157"/>
    <row r="514" ht="15.75" customHeight="1" s="157"/>
    <row r="515" ht="15.75" customHeight="1" s="157"/>
    <row r="516" ht="15.75" customHeight="1" s="157"/>
    <row r="517" ht="15.75" customHeight="1" s="157"/>
    <row r="518" ht="15.75" customHeight="1" s="157"/>
    <row r="519" ht="15.75" customHeight="1" s="157"/>
    <row r="520" ht="15.75" customHeight="1" s="157"/>
    <row r="521" ht="15.75" customHeight="1" s="157"/>
    <row r="522" ht="15.75" customHeight="1" s="157"/>
    <row r="523" ht="15.75" customHeight="1" s="157"/>
    <row r="524" ht="15.75" customHeight="1" s="157"/>
    <row r="525" ht="15.75" customHeight="1" s="157"/>
    <row r="526" ht="15.75" customHeight="1" s="157"/>
    <row r="527" ht="15.75" customHeight="1" s="157"/>
    <row r="528" ht="15.75" customHeight="1" s="157"/>
    <row r="529" ht="15.75" customHeight="1" s="157"/>
    <row r="530" ht="15.75" customHeight="1" s="157"/>
    <row r="531" ht="15.75" customHeight="1" s="157"/>
    <row r="532" ht="15.75" customHeight="1" s="157"/>
    <row r="533" ht="15.75" customHeight="1" s="157"/>
    <row r="534" ht="15.75" customHeight="1" s="157"/>
    <row r="535" ht="15.75" customHeight="1" s="157"/>
    <row r="536" ht="15.75" customHeight="1" s="157"/>
    <row r="537" ht="15.75" customHeight="1" s="157"/>
    <row r="538" ht="15.75" customHeight="1" s="157"/>
    <row r="539" ht="15.75" customHeight="1" s="157"/>
    <row r="540" ht="15.75" customHeight="1" s="157"/>
    <row r="541" ht="15.75" customHeight="1" s="157"/>
    <row r="542" ht="15.75" customHeight="1" s="157"/>
    <row r="543" ht="15.75" customHeight="1" s="157"/>
    <row r="544" ht="15.75" customHeight="1" s="157"/>
    <row r="545" ht="15.75" customHeight="1" s="157"/>
    <row r="546" ht="15.75" customHeight="1" s="157"/>
    <row r="547" ht="15.75" customHeight="1" s="157"/>
    <row r="548" ht="15.75" customHeight="1" s="157"/>
    <row r="549" ht="15.75" customHeight="1" s="157"/>
    <row r="550" ht="15.75" customHeight="1" s="157"/>
    <row r="551" ht="15.75" customHeight="1" s="157"/>
    <row r="552" ht="15.75" customHeight="1" s="157"/>
    <row r="553" ht="15.75" customHeight="1" s="157"/>
    <row r="554" ht="15.75" customHeight="1" s="157"/>
    <row r="555" ht="15.75" customHeight="1" s="157"/>
    <row r="556" ht="15.75" customHeight="1" s="157"/>
    <row r="557" ht="15.75" customHeight="1" s="157"/>
    <row r="558" ht="15.75" customHeight="1" s="157"/>
    <row r="559" ht="15.75" customHeight="1" s="157"/>
    <row r="560" ht="15.75" customHeight="1" s="157"/>
    <row r="561" ht="15.75" customHeight="1" s="157"/>
    <row r="562" ht="15.75" customHeight="1" s="157"/>
    <row r="563" ht="15.75" customHeight="1" s="157"/>
    <row r="564" ht="15.75" customHeight="1" s="157"/>
    <row r="565" ht="15.75" customHeight="1" s="157"/>
    <row r="566" ht="15.75" customHeight="1" s="157"/>
    <row r="567" ht="15.75" customHeight="1" s="157"/>
    <row r="568" ht="15.75" customHeight="1" s="157"/>
    <row r="569" ht="15.75" customHeight="1" s="157"/>
    <row r="570" ht="15.75" customHeight="1" s="157"/>
    <row r="571" ht="15.75" customHeight="1" s="157"/>
    <row r="572" ht="15.75" customHeight="1" s="157"/>
    <row r="573" ht="15.75" customHeight="1" s="157"/>
    <row r="574" ht="15.75" customHeight="1" s="157"/>
    <row r="575" ht="15.75" customHeight="1" s="157"/>
    <row r="576" ht="15.75" customHeight="1" s="157"/>
    <row r="577" ht="15.75" customHeight="1" s="157"/>
    <row r="578" ht="15.75" customHeight="1" s="157"/>
    <row r="579" ht="15.75" customHeight="1" s="157"/>
    <row r="580" ht="15.75" customHeight="1" s="157"/>
    <row r="581" ht="15.75" customHeight="1" s="157"/>
    <row r="582" ht="15.75" customHeight="1" s="157"/>
    <row r="583" ht="15.75" customHeight="1" s="157"/>
    <row r="584" ht="15.75" customHeight="1" s="157"/>
    <row r="585" ht="15.75" customHeight="1" s="157"/>
    <row r="586" ht="15.75" customHeight="1" s="157"/>
    <row r="587" ht="15.75" customHeight="1" s="157"/>
    <row r="588" ht="15.75" customHeight="1" s="157"/>
    <row r="589" ht="15.75" customHeight="1" s="157"/>
    <row r="590" ht="15.75" customHeight="1" s="157"/>
    <row r="591" ht="15.75" customHeight="1" s="157"/>
    <row r="592" ht="15.75" customHeight="1" s="157"/>
    <row r="593" ht="15.75" customHeight="1" s="157"/>
    <row r="594" ht="15.75" customHeight="1" s="157"/>
    <row r="595" ht="15.75" customHeight="1" s="157"/>
    <row r="596" ht="15.75" customHeight="1" s="157"/>
    <row r="597" ht="15.75" customHeight="1" s="157"/>
    <row r="598" ht="15.75" customHeight="1" s="157"/>
    <row r="599" ht="15.75" customHeight="1" s="157"/>
    <row r="600" ht="15.75" customHeight="1" s="157"/>
    <row r="601" ht="15.75" customHeight="1" s="157"/>
    <row r="602" ht="15.75" customHeight="1" s="157"/>
    <row r="603" ht="15.75" customHeight="1" s="157"/>
    <row r="604" ht="15.75" customHeight="1" s="157"/>
    <row r="605" ht="15.75" customHeight="1" s="157"/>
    <row r="606" ht="15.75" customHeight="1" s="157"/>
    <row r="607" ht="15.75" customHeight="1" s="157"/>
    <row r="608" ht="15.75" customHeight="1" s="157"/>
    <row r="609" ht="15.75" customHeight="1" s="157"/>
    <row r="610" ht="15.75" customHeight="1" s="157"/>
    <row r="611" ht="15.75" customHeight="1" s="157"/>
    <row r="612" ht="15.75" customHeight="1" s="157"/>
    <row r="613" ht="15.75" customHeight="1" s="157"/>
    <row r="614" ht="15.75" customHeight="1" s="157"/>
    <row r="615" ht="15.75" customHeight="1" s="157"/>
    <row r="616" ht="15.75" customHeight="1" s="157"/>
    <row r="617" ht="15.75" customHeight="1" s="157"/>
    <row r="618" ht="15.75" customHeight="1" s="157"/>
    <row r="619" ht="15.75" customHeight="1" s="157"/>
    <row r="620" ht="15.75" customHeight="1" s="157"/>
    <row r="621" ht="15.75" customHeight="1" s="157"/>
    <row r="622" ht="15.75" customHeight="1" s="157"/>
    <row r="623" ht="15.75" customHeight="1" s="157"/>
    <row r="624" ht="15.75" customHeight="1" s="157"/>
    <row r="625" ht="15.75" customHeight="1" s="157"/>
    <row r="626" ht="15.75" customHeight="1" s="157"/>
    <row r="627" ht="15.75" customHeight="1" s="157"/>
    <row r="628" ht="15.75" customHeight="1" s="157"/>
    <row r="629" ht="15.75" customHeight="1" s="157"/>
    <row r="630" ht="15.75" customHeight="1" s="157"/>
    <row r="631" ht="15.75" customHeight="1" s="157"/>
    <row r="632" ht="15.75" customHeight="1" s="157"/>
    <row r="633" ht="15.75" customHeight="1" s="157"/>
    <row r="634" ht="15.75" customHeight="1" s="157"/>
    <row r="635" ht="15.75" customHeight="1" s="157"/>
    <row r="636" ht="15.75" customHeight="1" s="157"/>
    <row r="637" ht="15.75" customHeight="1" s="157"/>
    <row r="638" ht="15.75" customHeight="1" s="157"/>
    <row r="639" ht="15.75" customHeight="1" s="157"/>
    <row r="640" ht="15.75" customHeight="1" s="157"/>
    <row r="641" ht="15.75" customHeight="1" s="157"/>
    <row r="642" ht="15.75" customHeight="1" s="157"/>
    <row r="643" ht="15.75" customHeight="1" s="157"/>
    <row r="644" ht="15.75" customHeight="1" s="157"/>
    <row r="645" ht="15.75" customHeight="1" s="157"/>
    <row r="646" ht="15.75" customHeight="1" s="157"/>
    <row r="647" ht="15.75" customHeight="1" s="157"/>
    <row r="648" ht="15.75" customHeight="1" s="157"/>
    <row r="649" ht="15.75" customHeight="1" s="157"/>
    <row r="650" ht="15.75" customHeight="1" s="157"/>
    <row r="651" ht="15.75" customHeight="1" s="157"/>
    <row r="652" ht="15.75" customHeight="1" s="157"/>
    <row r="653" ht="15.75" customHeight="1" s="157"/>
    <row r="654" ht="15.75" customHeight="1" s="157"/>
    <row r="655" ht="15.75" customHeight="1" s="157"/>
    <row r="656" ht="15.75" customHeight="1" s="157"/>
    <row r="657" ht="15.75" customHeight="1" s="157"/>
    <row r="658" ht="15.75" customHeight="1" s="157"/>
    <row r="659" ht="15.75" customHeight="1" s="157"/>
    <row r="660" ht="15.75" customHeight="1" s="157"/>
    <row r="661" ht="15.75" customHeight="1" s="157"/>
    <row r="662" ht="15.75" customHeight="1" s="157"/>
    <row r="663" ht="15.75" customHeight="1" s="157"/>
    <row r="664" ht="15.75" customHeight="1" s="157"/>
    <row r="665" ht="15.75" customHeight="1" s="157"/>
    <row r="666" ht="15.75" customHeight="1" s="157"/>
    <row r="667" ht="15.75" customHeight="1" s="157"/>
    <row r="668" ht="15.75" customHeight="1" s="157"/>
    <row r="669" ht="15.75" customHeight="1" s="157"/>
    <row r="670" ht="15.75" customHeight="1" s="157"/>
    <row r="671" ht="15.75" customHeight="1" s="157"/>
    <row r="672" ht="15.75" customHeight="1" s="157"/>
    <row r="673" ht="15.75" customHeight="1" s="157"/>
    <row r="674" ht="15.75" customHeight="1" s="157"/>
    <row r="675" ht="15.75" customHeight="1" s="157"/>
    <row r="676" ht="15.75" customHeight="1" s="157"/>
    <row r="677" ht="15.75" customHeight="1" s="157"/>
    <row r="678" ht="15.75" customHeight="1" s="157"/>
    <row r="679" ht="15.75" customHeight="1" s="157"/>
    <row r="680" ht="15.75" customHeight="1" s="157"/>
    <row r="681" ht="15.75" customHeight="1" s="157"/>
    <row r="682" ht="15.75" customHeight="1" s="157"/>
    <row r="683" ht="15.75" customHeight="1" s="157"/>
    <row r="684" ht="15.75" customHeight="1" s="157"/>
    <row r="685" ht="15.75" customHeight="1" s="157"/>
    <row r="686" ht="15.75" customHeight="1" s="157"/>
    <row r="687" ht="15.75" customHeight="1" s="157"/>
    <row r="688" ht="15.75" customHeight="1" s="157"/>
    <row r="689" ht="15.75" customHeight="1" s="157"/>
    <row r="690" ht="15.75" customHeight="1" s="157"/>
    <row r="691" ht="15.75" customHeight="1" s="157"/>
    <row r="692" ht="15.75" customHeight="1" s="157"/>
    <row r="693" ht="15.75" customHeight="1" s="157"/>
    <row r="694" ht="15.75" customHeight="1" s="157"/>
    <row r="695" ht="15.75" customHeight="1" s="157"/>
    <row r="696" ht="15.75" customHeight="1" s="157"/>
    <row r="697" ht="15.75" customHeight="1" s="157"/>
    <row r="698" ht="15.75" customHeight="1" s="157"/>
    <row r="699" ht="15.75" customHeight="1" s="157"/>
    <row r="700" ht="15.75" customHeight="1" s="157"/>
    <row r="701" ht="15.75" customHeight="1" s="157"/>
    <row r="702" ht="15.75" customHeight="1" s="157"/>
    <row r="703" ht="15.75" customHeight="1" s="157"/>
    <row r="704" ht="15.75" customHeight="1" s="157"/>
    <row r="705" ht="15.75" customHeight="1" s="157"/>
    <row r="706" ht="15.75" customHeight="1" s="157"/>
    <row r="707" ht="15.75" customHeight="1" s="157"/>
    <row r="708" ht="15.75" customHeight="1" s="157"/>
    <row r="709" ht="15.75" customHeight="1" s="157"/>
    <row r="710" ht="15.75" customHeight="1" s="157"/>
    <row r="711" ht="15.75" customHeight="1" s="157"/>
    <row r="712" ht="15.75" customHeight="1" s="157"/>
    <row r="713" ht="15.75" customHeight="1" s="157"/>
    <row r="714" ht="15.75" customHeight="1" s="157"/>
    <row r="715" ht="15.75" customHeight="1" s="157"/>
    <row r="716" ht="15.75" customHeight="1" s="157"/>
    <row r="717" ht="15.75" customHeight="1" s="157"/>
    <row r="718" ht="15.75" customHeight="1" s="157"/>
    <row r="719" ht="15.75" customHeight="1" s="157"/>
    <row r="720" ht="15.75" customHeight="1" s="157"/>
    <row r="721" ht="15.75" customHeight="1" s="157"/>
    <row r="722" ht="15.75" customHeight="1" s="157"/>
    <row r="723" ht="15.75" customHeight="1" s="157"/>
    <row r="724" ht="15.75" customHeight="1" s="157"/>
    <row r="725" ht="15.75" customHeight="1" s="157"/>
    <row r="726" ht="15.75" customHeight="1" s="157"/>
    <row r="727" ht="15.75" customHeight="1" s="157"/>
    <row r="728" ht="15.75" customHeight="1" s="157"/>
    <row r="729" ht="15.75" customHeight="1" s="157"/>
    <row r="730" ht="15.75" customHeight="1" s="157"/>
    <row r="731" ht="15.75" customHeight="1" s="157"/>
    <row r="732" ht="15.75" customHeight="1" s="157"/>
    <row r="733" ht="15.75" customHeight="1" s="157"/>
    <row r="734" ht="15.75" customHeight="1" s="157"/>
    <row r="735" ht="15.75" customHeight="1" s="157"/>
    <row r="736" ht="15.75" customHeight="1" s="157"/>
    <row r="737" ht="15.75" customHeight="1" s="157"/>
    <row r="738" ht="15.75" customHeight="1" s="157"/>
    <row r="739" ht="15.75" customHeight="1" s="157"/>
    <row r="740" ht="15.75" customHeight="1" s="157"/>
    <row r="741" ht="15.75" customHeight="1" s="157"/>
    <row r="742" ht="15.75" customHeight="1" s="157"/>
    <row r="743" ht="15.75" customHeight="1" s="157"/>
    <row r="744" ht="15.75" customHeight="1" s="157"/>
    <row r="745" ht="15.75" customHeight="1" s="157"/>
    <row r="746" ht="15.75" customHeight="1" s="157"/>
    <row r="747" ht="15.75" customHeight="1" s="157"/>
    <row r="748" ht="15.75" customHeight="1" s="157"/>
    <row r="749" ht="15.75" customHeight="1" s="157"/>
    <row r="750" ht="15.75" customHeight="1" s="157"/>
    <row r="751" ht="15.75" customHeight="1" s="157"/>
    <row r="752" ht="15.75" customHeight="1" s="157"/>
    <row r="753" ht="15.75" customHeight="1" s="157"/>
    <row r="754" ht="15.75" customHeight="1" s="157"/>
    <row r="755" ht="15.75" customHeight="1" s="157"/>
    <row r="756" ht="15.75" customHeight="1" s="157"/>
    <row r="757" ht="15.75" customHeight="1" s="157"/>
    <row r="758" ht="15.75" customHeight="1" s="157"/>
    <row r="759" ht="15.75" customHeight="1" s="157"/>
    <row r="760" ht="15.75" customHeight="1" s="157"/>
    <row r="761" ht="15.75" customHeight="1" s="157"/>
    <row r="762" ht="15.75" customHeight="1" s="157"/>
    <row r="763" ht="15.75" customHeight="1" s="157"/>
    <row r="764" ht="15.75" customHeight="1" s="157"/>
    <row r="765" ht="15.75" customHeight="1" s="157"/>
    <row r="766" ht="15.75" customHeight="1" s="157"/>
    <row r="767" ht="15.75" customHeight="1" s="157"/>
    <row r="768" ht="15.75" customHeight="1" s="157"/>
    <row r="769" ht="15.75" customHeight="1" s="157"/>
    <row r="770" ht="15.75" customHeight="1" s="157"/>
    <row r="771" ht="15.75" customHeight="1" s="157"/>
    <row r="772" ht="15.75" customHeight="1" s="157"/>
    <row r="773" ht="15.75" customHeight="1" s="157"/>
    <row r="774" ht="15.75" customHeight="1" s="157"/>
    <row r="775" ht="15.75" customHeight="1" s="157"/>
    <row r="776" ht="15.75" customHeight="1" s="157"/>
    <row r="777" ht="15.75" customHeight="1" s="157"/>
    <row r="778" ht="15.75" customHeight="1" s="157"/>
    <row r="779" ht="15.75" customHeight="1" s="157"/>
    <row r="780" ht="15.75" customHeight="1" s="157"/>
    <row r="781" ht="15.75" customHeight="1" s="157"/>
    <row r="782" ht="15.75" customHeight="1" s="157"/>
    <row r="783" ht="15.75" customHeight="1" s="157"/>
    <row r="784" ht="15.75" customHeight="1" s="157"/>
    <row r="785" ht="15.75" customHeight="1" s="157"/>
    <row r="786" ht="15.75" customHeight="1" s="157"/>
    <row r="787" ht="15.75" customHeight="1" s="157"/>
    <row r="788" ht="15.75" customHeight="1" s="157"/>
    <row r="789" ht="15.75" customHeight="1" s="157"/>
    <row r="790" ht="15.75" customHeight="1" s="157"/>
    <row r="791" ht="15.75" customHeight="1" s="157"/>
    <row r="792" ht="15.75" customHeight="1" s="157"/>
    <row r="793" ht="15.75" customHeight="1" s="157"/>
    <row r="794" ht="15.75" customHeight="1" s="157"/>
    <row r="795" ht="15.75" customHeight="1" s="157"/>
    <row r="796" ht="15.75" customHeight="1" s="157"/>
    <row r="797" ht="15.75" customHeight="1" s="157"/>
    <row r="798" ht="15.75" customHeight="1" s="157"/>
    <row r="799" ht="15.75" customHeight="1" s="157"/>
    <row r="800" ht="15.75" customHeight="1" s="157"/>
    <row r="801" ht="15.75" customHeight="1" s="157"/>
    <row r="802" ht="15.75" customHeight="1" s="157"/>
    <row r="803" ht="15.75" customHeight="1" s="157"/>
    <row r="804" ht="15.75" customHeight="1" s="157"/>
    <row r="805" ht="15.75" customHeight="1" s="157"/>
    <row r="806" ht="15.75" customHeight="1" s="157"/>
    <row r="807" ht="15.75" customHeight="1" s="157"/>
    <row r="808" ht="15.75" customHeight="1" s="157"/>
    <row r="809" ht="15.75" customHeight="1" s="157"/>
    <row r="810" ht="15.75" customHeight="1" s="157"/>
    <row r="811" ht="15.75" customHeight="1" s="157"/>
    <row r="812" ht="15.75" customHeight="1" s="157"/>
    <row r="813" ht="15.75" customHeight="1" s="157"/>
    <row r="814" ht="15.75" customHeight="1" s="157"/>
    <row r="815" ht="15.75" customHeight="1" s="157"/>
    <row r="816" ht="15.75" customHeight="1" s="157"/>
    <row r="817" ht="15.75" customHeight="1" s="157"/>
    <row r="818" ht="15.75" customHeight="1" s="157"/>
    <row r="819" ht="15.75" customHeight="1" s="157"/>
    <row r="820" ht="15.75" customHeight="1" s="157"/>
    <row r="821" ht="15.75" customHeight="1" s="157"/>
    <row r="822" ht="15.75" customHeight="1" s="157"/>
    <row r="823" ht="15.75" customHeight="1" s="157"/>
    <row r="824" ht="15.75" customHeight="1" s="157"/>
    <row r="825" ht="15.75" customHeight="1" s="157"/>
    <row r="826" ht="15.75" customHeight="1" s="157"/>
    <row r="827" ht="15.75" customHeight="1" s="157"/>
    <row r="828" ht="15.75" customHeight="1" s="157"/>
    <row r="829" ht="15.75" customHeight="1" s="157"/>
    <row r="830" ht="15.75" customHeight="1" s="157"/>
    <row r="831" ht="15.75" customHeight="1" s="157"/>
    <row r="832" ht="15.75" customHeight="1" s="157"/>
    <row r="833" ht="15.75" customHeight="1" s="157"/>
    <row r="834" ht="15.75" customHeight="1" s="157"/>
    <row r="835" ht="15.75" customHeight="1" s="157"/>
    <row r="836" ht="15.75" customHeight="1" s="157"/>
    <row r="837" ht="15.75" customHeight="1" s="157"/>
    <row r="838" ht="15.75" customHeight="1" s="157"/>
    <row r="839" ht="15.75" customHeight="1" s="157"/>
    <row r="840" ht="15.75" customHeight="1" s="157"/>
    <row r="841" ht="15.75" customHeight="1" s="157"/>
    <row r="842" ht="15.75" customHeight="1" s="157"/>
    <row r="843" ht="15.75" customHeight="1" s="157"/>
    <row r="844" ht="15.75" customHeight="1" s="157"/>
    <row r="845" ht="15.75" customHeight="1" s="157"/>
    <row r="846" ht="15.75" customHeight="1" s="157"/>
    <row r="847" ht="15.75" customHeight="1" s="157"/>
    <row r="848" ht="15.75" customHeight="1" s="157"/>
    <row r="849" ht="15.75" customHeight="1" s="157"/>
    <row r="850" ht="15.75" customHeight="1" s="157"/>
    <row r="851" ht="15.75" customHeight="1" s="157"/>
    <row r="852" ht="15.75" customHeight="1" s="157"/>
    <row r="853" ht="15.75" customHeight="1" s="157"/>
    <row r="854" ht="15.75" customHeight="1" s="157"/>
    <row r="855" ht="15.75" customHeight="1" s="157"/>
    <row r="856" ht="15.75" customHeight="1" s="157"/>
    <row r="857" ht="15.75" customHeight="1" s="157"/>
    <row r="858" ht="15.75" customHeight="1" s="157"/>
    <row r="859" ht="15.75" customHeight="1" s="157"/>
    <row r="860" ht="15.75" customHeight="1" s="157"/>
    <row r="861" ht="15.75" customHeight="1" s="157"/>
    <row r="862" ht="15.75" customHeight="1" s="157"/>
    <row r="863" ht="15.75" customHeight="1" s="157"/>
    <row r="864" ht="15.75" customHeight="1" s="157"/>
    <row r="865" ht="15.75" customHeight="1" s="157"/>
    <row r="866" ht="15.75" customHeight="1" s="157"/>
    <row r="867" ht="15.75" customHeight="1" s="157"/>
    <row r="868" ht="15.75" customHeight="1" s="157"/>
    <row r="869" ht="15.75" customHeight="1" s="157"/>
    <row r="870" ht="15.75" customHeight="1" s="157"/>
    <row r="871" ht="15.75" customHeight="1" s="157"/>
    <row r="872" ht="15.75" customHeight="1" s="157"/>
    <row r="873" ht="15.75" customHeight="1" s="157"/>
    <row r="874" ht="15.75" customHeight="1" s="157"/>
    <row r="875" ht="15.75" customHeight="1" s="157"/>
    <row r="876" ht="15.75" customHeight="1" s="157"/>
    <row r="877" ht="15.75" customHeight="1" s="157"/>
    <row r="878" ht="15.75" customHeight="1" s="157"/>
    <row r="879" ht="15.75" customHeight="1" s="157"/>
    <row r="880" ht="15.75" customHeight="1" s="157"/>
    <row r="881" ht="15.75" customHeight="1" s="157"/>
    <row r="882" ht="15.75" customHeight="1" s="157"/>
    <row r="883" ht="15.75" customHeight="1" s="157"/>
    <row r="884" ht="15.75" customHeight="1" s="157"/>
    <row r="885" ht="15.75" customHeight="1" s="157"/>
    <row r="886" ht="15.75" customHeight="1" s="157"/>
    <row r="887" ht="15.75" customHeight="1" s="157"/>
    <row r="888" ht="15.75" customHeight="1" s="157"/>
    <row r="889" ht="15.75" customHeight="1" s="157"/>
    <row r="890" ht="15.75" customHeight="1" s="157"/>
    <row r="891" ht="15.75" customHeight="1" s="157"/>
    <row r="892" ht="15.75" customHeight="1" s="157"/>
    <row r="893" ht="15.75" customHeight="1" s="157"/>
    <row r="894" ht="15.75" customHeight="1" s="157"/>
    <row r="895" ht="15.75" customHeight="1" s="157"/>
    <row r="896" ht="15.75" customHeight="1" s="157"/>
    <row r="897" ht="15.75" customHeight="1" s="157"/>
    <row r="898" ht="15.75" customHeight="1" s="157"/>
    <row r="899" ht="15.75" customHeight="1" s="157"/>
    <row r="900" ht="15.75" customHeight="1" s="157"/>
    <row r="901" ht="15.75" customHeight="1" s="157"/>
    <row r="902" ht="15.75" customHeight="1" s="157"/>
    <row r="903" ht="15.75" customHeight="1" s="157"/>
    <row r="904" ht="15.75" customHeight="1" s="157"/>
    <row r="905" ht="15.75" customHeight="1" s="157"/>
    <row r="906" ht="15.75" customHeight="1" s="157"/>
    <row r="907" ht="15.75" customHeight="1" s="157"/>
    <row r="908" ht="15.75" customHeight="1" s="157"/>
    <row r="909" ht="15.75" customHeight="1" s="157"/>
    <row r="910" ht="15.75" customHeight="1" s="157"/>
    <row r="911" ht="15.75" customHeight="1" s="157"/>
    <row r="912" ht="15.75" customHeight="1" s="157"/>
    <row r="913" ht="15.75" customHeight="1" s="157"/>
    <row r="914" ht="15.75" customHeight="1" s="157"/>
    <row r="915" ht="15.75" customHeight="1" s="157"/>
    <row r="916" ht="15.75" customHeight="1" s="157"/>
    <row r="917" ht="15.75" customHeight="1" s="157"/>
    <row r="918" ht="15.75" customHeight="1" s="157"/>
    <row r="919" ht="15.75" customHeight="1" s="157"/>
    <row r="920" ht="15.75" customHeight="1" s="157"/>
    <row r="921" ht="15.75" customHeight="1" s="157"/>
    <row r="922" ht="15.75" customHeight="1" s="157"/>
    <row r="923" ht="15.75" customHeight="1" s="157"/>
    <row r="924" ht="15.75" customHeight="1" s="157"/>
    <row r="925" ht="15.75" customHeight="1" s="157"/>
    <row r="926" ht="15.75" customHeight="1" s="157"/>
    <row r="927" ht="15.75" customHeight="1" s="157"/>
    <row r="928" ht="15.75" customHeight="1" s="157"/>
    <row r="929" ht="15.75" customHeight="1" s="157"/>
    <row r="930" ht="15.75" customHeight="1" s="157"/>
    <row r="931" ht="15.75" customHeight="1" s="157"/>
    <row r="932" ht="15.75" customHeight="1" s="157"/>
    <row r="933" ht="15.75" customHeight="1" s="157"/>
    <row r="934" ht="15.75" customHeight="1" s="157"/>
    <row r="935" ht="15.75" customHeight="1" s="157"/>
    <row r="936" ht="15.75" customHeight="1" s="157"/>
    <row r="937" ht="15.75" customHeight="1" s="157"/>
    <row r="938" ht="15.75" customHeight="1" s="157"/>
    <row r="939" ht="15.75" customHeight="1" s="157"/>
    <row r="940" ht="15.75" customHeight="1" s="157"/>
    <row r="941" ht="15.75" customHeight="1" s="157"/>
    <row r="942" ht="15.75" customHeight="1" s="157"/>
    <row r="943" ht="15.75" customHeight="1" s="157"/>
    <row r="944" ht="15.75" customHeight="1" s="157"/>
    <row r="945" ht="15.75" customHeight="1" s="157"/>
    <row r="946" ht="15.75" customHeight="1" s="157"/>
    <row r="947" ht="15.75" customHeight="1" s="157"/>
    <row r="948" ht="15.75" customHeight="1" s="157"/>
    <row r="949" ht="15.75" customHeight="1" s="157"/>
    <row r="950" ht="15.75" customHeight="1" s="157"/>
    <row r="951" ht="15.75" customHeight="1" s="157"/>
    <row r="952" ht="15.75" customHeight="1" s="157"/>
    <row r="953" ht="15.75" customHeight="1" s="157"/>
    <row r="954" ht="15.75" customHeight="1" s="157"/>
    <row r="955" ht="15.75" customHeight="1" s="157"/>
    <row r="956" ht="15.75" customHeight="1" s="157"/>
    <row r="957" ht="15.75" customHeight="1" s="157"/>
    <row r="958" ht="15.75" customHeight="1" s="157"/>
    <row r="959" ht="15.75" customHeight="1" s="157"/>
    <row r="960" ht="15.75" customHeight="1" s="157"/>
    <row r="961" ht="15.75" customHeight="1" s="157"/>
    <row r="962" ht="15.75" customHeight="1" s="157"/>
    <row r="963" ht="15.75" customHeight="1" s="157"/>
    <row r="964" ht="15.75" customHeight="1" s="157"/>
    <row r="965" ht="15.75" customHeight="1" s="157"/>
    <row r="966" ht="15.75" customHeight="1" s="157"/>
    <row r="967" ht="15.75" customHeight="1" s="157"/>
    <row r="968" ht="15.75" customHeight="1" s="157"/>
    <row r="969" ht="15.75" customHeight="1" s="157"/>
    <row r="970" ht="15.75" customHeight="1" s="157"/>
    <row r="971" ht="15.75" customHeight="1" s="157"/>
    <row r="972" ht="15.75" customHeight="1" s="157"/>
    <row r="973" ht="15.75" customHeight="1" s="157"/>
    <row r="974" ht="15.75" customHeight="1" s="157"/>
    <row r="975" ht="15.75" customHeight="1" s="157"/>
    <row r="976" ht="15.75" customHeight="1" s="157"/>
    <row r="977" ht="15.75" customHeight="1" s="157"/>
    <row r="978" ht="15.75" customHeight="1" s="157"/>
    <row r="979" ht="15.75" customHeight="1" s="157"/>
    <row r="980" ht="15.75" customHeight="1" s="157"/>
    <row r="981" ht="15.75" customHeight="1" s="157"/>
    <row r="982" ht="15.75" customHeight="1" s="157"/>
    <row r="983" ht="15.75" customHeight="1" s="157"/>
    <row r="984" ht="15.75" customHeight="1" s="157"/>
    <row r="985" ht="15.75" customHeight="1" s="157"/>
    <row r="986" ht="15.75" customHeight="1" s="157"/>
    <row r="987" ht="15.75" customHeight="1" s="157"/>
    <row r="988" ht="15.75" customHeight="1" s="157"/>
    <row r="989" ht="15.75" customHeight="1" s="157"/>
    <row r="990" ht="15.75" customHeight="1" s="157"/>
    <row r="991" ht="15.75" customHeight="1" s="157"/>
    <row r="992" ht="15.75" customHeight="1" s="157"/>
    <row r="993" ht="15.75" customHeight="1" s="157"/>
    <row r="994" ht="15.75" customHeight="1" s="157"/>
    <row r="995" ht="15.75" customHeight="1" s="157"/>
    <row r="996" ht="15.75" customHeight="1" s="157"/>
    <row r="997" ht="15.75" customHeight="1" s="157"/>
    <row r="998" ht="15.75" customHeight="1" s="157"/>
    <row r="999" ht="15.75" customHeight="1" s="157"/>
    <row r="1000" ht="15.75" customHeight="1" s="157"/>
  </sheetData>
  <pageMargins left="0.7" right="0.7" top="0.75" bottom="0.75" header="0" footer="0"/>
  <pageSetup orientation="landscape"/>
</worksheet>
</file>

<file path=xl/worksheets/sheet8.xml><?xml version="1.0" encoding="utf-8"?>
<worksheet xmlns="http://schemas.openxmlformats.org/spreadsheetml/2006/main">
  <sheetPr>
    <outlinePr summaryBelow="1" summaryRight="1"/>
    <pageSetUpPr/>
  </sheetPr>
  <dimension ref="A1:L51"/>
  <sheetViews>
    <sheetView workbookViewId="0">
      <selection activeCell="A1" sqref="A1"/>
    </sheetView>
  </sheetViews>
  <sheetFormatPr baseColWidth="8" defaultColWidth="14.453125" defaultRowHeight="15" customHeight="1"/>
  <cols>
    <col width="155.54296875" customWidth="1" style="157" min="1" max="4"/>
    <col width="87.1796875" customWidth="1" style="157" min="5" max="5"/>
    <col width="112.1796875" customWidth="1" style="157" min="6" max="9"/>
    <col width="100.54296875" customWidth="1" style="157" min="10" max="10"/>
    <col width="112.1796875" customWidth="1" style="157" min="11" max="11"/>
    <col width="113.54296875" customWidth="1" style="157" min="12" max="12"/>
  </cols>
  <sheetData>
    <row r="1" ht="14.5" customHeight="1" s="157">
      <c r="A1" s="99">
        <f>CONCATENATE("Bienes_",'FORMATO 2'!$F$20,"_",'FORMATO 2'!$F$23)</f>
        <v/>
      </c>
    </row>
    <row r="3" ht="14.5" customHeight="1" s="157">
      <c r="A3" s="108" t="inlineStr">
        <is>
          <t>Bienes_Biomasa_Biogás</t>
        </is>
      </c>
      <c r="B3" s="108" t="inlineStr">
        <is>
          <t>Bienes_Biomasa_Gasificación</t>
        </is>
      </c>
      <c r="C3" s="108" t="inlineStr">
        <is>
          <t>Bienes_Biomasa_Pirolización</t>
        </is>
      </c>
      <c r="D3" s="108" t="inlineStr">
        <is>
          <t>Bienes_Biomasa_Cultivos_energéticos</t>
        </is>
      </c>
      <c r="E3" s="108" t="inlineStr">
        <is>
          <t>Bienes_Biomasa_Generación_cogeneración</t>
        </is>
      </c>
      <c r="F3" s="108" t="inlineStr">
        <is>
          <t>Bienes_Eólica_Eólica</t>
        </is>
      </c>
      <c r="G3" s="108" t="inlineStr">
        <is>
          <t>Bienes_Geotérmica_Central_de_vapor_seco</t>
        </is>
      </c>
      <c r="H3" s="108" t="inlineStr">
        <is>
          <t>Bienes_Geotérmica_Central_flash</t>
        </is>
      </c>
      <c r="I3" s="108" t="inlineStr">
        <is>
          <t>Bienes_Geotérmica_Central_de_ciclo_binario</t>
        </is>
      </c>
      <c r="J3" s="108" t="inlineStr">
        <is>
          <t>Bienes_PCH_Hidráulica</t>
        </is>
      </c>
      <c r="K3" s="108" t="inlineStr">
        <is>
          <t>Bienes_PCH_Hidrocinética</t>
        </is>
      </c>
      <c r="L3" s="108" t="inlineStr">
        <is>
          <t>Bienes_Solar_Fotovoltaica</t>
        </is>
      </c>
    </row>
    <row r="4" ht="14.5" customHeight="1" s="157">
      <c r="A4" s="99" t="inlineStr">
        <is>
          <t>Biodigestores</t>
        </is>
      </c>
      <c r="B4" s="99" t="inlineStr">
        <is>
          <t>Gasificadores</t>
        </is>
      </c>
      <c r="C4" s="99" t="inlineStr">
        <is>
          <t>Bunkers (almacenamiento de residuos)</t>
        </is>
      </c>
      <c r="D4" s="99" t="inlineStr">
        <is>
          <t>Equipos y componentes para la producción de cultivos energéticos (torre de madereo, skidder, harvester, brazo cargador, carreto cosechador, winche o cabrestante, astillador de madera, tractores, grúas y grapas).</t>
        </is>
      </c>
      <c r="E4" s="99" t="inlineStr">
        <is>
          <t>Motores de CI diseñados para operar con biogás o biocombustibles</t>
        </is>
      </c>
      <c r="F4" s="99" t="inlineStr">
        <is>
          <t>Equipos LIDAR</t>
        </is>
      </c>
      <c r="G4" s="99" t="inlineStr">
        <is>
          <t>Bombas centrífugas, electrosumergibles, de calor geotérmicas</t>
        </is>
      </c>
      <c r="H4" s="99" t="inlineStr">
        <is>
          <t>Bombas centrífugas, electrosumergibles, de calor geotérmicas</t>
        </is>
      </c>
      <c r="I4" s="99" t="inlineStr">
        <is>
          <t>Bombas centrífugas, electrosumergibles, de calor geotérmicas</t>
        </is>
      </c>
      <c r="J4" s="99" t="inlineStr">
        <is>
          <t>Tuberías</t>
        </is>
      </c>
      <c r="K4" s="99" t="inlineStr">
        <is>
          <t>Tuberías</t>
        </is>
      </c>
      <c r="L4" s="99" t="inlineStr">
        <is>
          <t>Equipos de medición del recurso solar</t>
        </is>
      </c>
    </row>
    <row r="5" ht="14.5" customHeight="1" s="157">
      <c r="A5" s="99" t="inlineStr">
        <is>
          <t xml:space="preserve">Digestores y post-digestores </t>
        </is>
      </c>
      <c r="B5" s="99" t="inlineStr">
        <is>
          <t>Sistemas de purificación del gas</t>
        </is>
      </c>
      <c r="C5" s="99" t="inlineStr">
        <is>
          <t>Trituradoras</t>
        </is>
      </c>
      <c r="D5" s="99" t="inlineStr">
        <is>
          <t>Equipos para el sistema de riego y drenaje empleados en el establecimiento de cultivos con propósitos energéticos (tuberías de PVC, CPVC, válvulas, tanques, bombas)</t>
        </is>
      </c>
      <c r="E5" s="99" t="inlineStr">
        <is>
          <t>Calderas para operar con biomasa, biogás o sus derivados, asi como equipos para adaptación de calderas para uso con biomasa, biogás o sus derivados</t>
        </is>
      </c>
      <c r="F5" s="99" t="inlineStr">
        <is>
          <t>Equipos SODAR</t>
        </is>
      </c>
      <c r="G5" s="99" t="inlineStr">
        <is>
          <t>Válvulas</t>
        </is>
      </c>
      <c r="H5" s="99" t="inlineStr">
        <is>
          <t>Válvulas</t>
        </is>
      </c>
      <c r="I5" s="99" t="inlineStr">
        <is>
          <t>Válvulas</t>
        </is>
      </c>
      <c r="J5" s="99" t="inlineStr">
        <is>
          <t>Chimeneas de equilibrio, aliviaderos</t>
        </is>
      </c>
      <c r="K5" s="99" t="inlineStr">
        <is>
          <t>Chimeneas de equilibrio, aliviaderos</t>
        </is>
      </c>
      <c r="L5" s="99" t="inlineStr">
        <is>
          <t>Seguidores solares</t>
        </is>
      </c>
    </row>
    <row r="6" ht="14.5" customHeight="1" s="157">
      <c r="A6" s="99" t="inlineStr">
        <is>
          <t>Tanques de almacenamiento.</t>
        </is>
      </c>
      <c r="B6" s="99" t="inlineStr">
        <is>
          <t>Turbinas de gas y de vapor</t>
        </is>
      </c>
      <c r="C6" s="99" t="inlineStr">
        <is>
          <t>Hornos rotatorios para pirólisis</t>
        </is>
      </c>
      <c r="D6" s="99" t="inlineStr">
        <is>
          <t>Equipos para mecanización del terreno y extracción de madera (Subsoladores, rastra, caballoneador, taipa, cortamalezas, sembradora)</t>
        </is>
      </c>
      <c r="E6" s="99" t="inlineStr">
        <is>
          <t>Turbinas de condensación para operar con biogás</t>
        </is>
      </c>
      <c r="F6" s="99" t="inlineStr">
        <is>
          <t>Torres de medición</t>
        </is>
      </c>
      <c r="G6" s="99" t="inlineStr">
        <is>
          <t>Silenciadores</t>
        </is>
      </c>
      <c r="H6" s="99" t="inlineStr">
        <is>
          <t>Silenciadores</t>
        </is>
      </c>
      <c r="I6" s="99" t="inlineStr">
        <is>
          <t>Silenciadores</t>
        </is>
      </c>
      <c r="J6" s="99" t="inlineStr">
        <is>
          <t>Válvulas y compuertas</t>
        </is>
      </c>
      <c r="K6" s="99" t="inlineStr">
        <is>
          <t>Válvulas y compuertas</t>
        </is>
      </c>
      <c r="L6" s="99" t="inlineStr">
        <is>
          <t>Datalogger</t>
        </is>
      </c>
    </row>
    <row r="7" ht="14.5" customHeight="1" s="157">
      <c r="A7" s="99" t="inlineStr">
        <is>
          <t>Equipos de medición de producción de biogás y concentración de metano</t>
        </is>
      </c>
      <c r="B7" s="99" t="inlineStr">
        <is>
          <t>Generadores de vapor</t>
        </is>
      </c>
      <c r="C7" s="99" t="inlineStr">
        <is>
          <t>Cámaras de combustión</t>
        </is>
      </c>
      <c r="D7" s="99" t="inlineStr">
        <is>
          <t>Máquinas peletizadoras</t>
        </is>
      </c>
      <c r="E7" s="99" t="inlineStr">
        <is>
          <t>Turbinas de contra-presión para operar con biogás</t>
        </is>
      </c>
      <c r="F7" s="99" t="inlineStr">
        <is>
          <t>Anemómetros</t>
        </is>
      </c>
      <c r="G7" s="99" t="inlineStr">
        <is>
          <t>Desarenadoras</t>
        </is>
      </c>
      <c r="H7" s="99" t="inlineStr">
        <is>
          <t>Desarenadoras</t>
        </is>
      </c>
      <c r="I7" s="99" t="inlineStr">
        <is>
          <t>Desarenadoras</t>
        </is>
      </c>
      <c r="J7" s="99" t="inlineStr">
        <is>
          <t>Turbinas</t>
        </is>
      </c>
      <c r="K7" s="99" t="inlineStr">
        <is>
          <t>Turbinas</t>
        </is>
      </c>
      <c r="L7" s="99" t="inlineStr">
        <is>
          <t>Estaciones meteorológicas</t>
        </is>
      </c>
    </row>
    <row r="8" ht="14.5" customHeight="1" s="157">
      <c r="A8" s="99" t="inlineStr">
        <is>
          <t>Equipos para desulfuración de biogás (y remoción de impurezas)</t>
        </is>
      </c>
      <c r="B8" s="99" t="inlineStr">
        <is>
          <t>Unidad funcional</t>
        </is>
      </c>
      <c r="C8" s="99" t="inlineStr">
        <is>
          <t>Separador magnético</t>
        </is>
      </c>
      <c r="D8" s="99" t="inlineStr">
        <is>
          <t>Equipos para la preparación y transformación de biomasa (equipos de torrefacción, secadores de biomasa, maquinas briqueteadoras)</t>
        </is>
      </c>
      <c r="E8" s="99" t="inlineStr">
        <is>
          <t>Incineradores de residuos y sus componentes para la recuperación de calor para la tecnología “waste to energy”</t>
        </is>
      </c>
      <c r="F8" s="99" t="inlineStr">
        <is>
          <t>Veletas</t>
        </is>
      </c>
      <c r="G8" s="99" t="inlineStr">
        <is>
          <t>Tuberías de vapor, salmuera</t>
        </is>
      </c>
      <c r="H8" s="99" t="inlineStr">
        <is>
          <t>Tuberías de vapor, salmuera</t>
        </is>
      </c>
      <c r="I8" s="99" t="inlineStr">
        <is>
          <t>Tuberías de vapor, salmuera</t>
        </is>
      </c>
      <c r="J8" s="99" t="inlineStr">
        <is>
          <t>Turbogeneradores</t>
        </is>
      </c>
      <c r="K8" s="99" t="inlineStr">
        <is>
          <t>Turbogeneradores</t>
        </is>
      </c>
      <c r="L8" s="99" t="inlineStr">
        <is>
          <t>Unidad funcional</t>
        </is>
      </c>
    </row>
    <row r="9" ht="14.5" customHeight="1" s="157">
      <c r="A9" s="99" t="inlineStr">
        <is>
          <t>Equipos para remoción de CO2 de biogás (equipos para producción de biometano)</t>
        </is>
      </c>
      <c r="B9" s="99" t="inlineStr">
        <is>
          <t>Máquinas peletizadoras</t>
        </is>
      </c>
      <c r="C9" s="99" t="inlineStr">
        <is>
          <t>Turbogeneradores</t>
        </is>
      </c>
      <c r="D9" s="99" t="inlineStr">
        <is>
          <t>Equipos para el transporte de biomasa (transportadores de tornillo sinfín, elevadores de cangilones, transportadores de cadena Redler, sinfines, transportadores de banda)</t>
        </is>
      </c>
      <c r="E9" s="99" t="inlineStr">
        <is>
          <t>Bio-refinerías para transformación de residuos sólidos urbanos en biocombustibles líquidos</t>
        </is>
      </c>
      <c r="F9" s="99" t="inlineStr">
        <is>
          <t>Data Logger</t>
        </is>
      </c>
      <c r="G9" s="99" t="inlineStr">
        <is>
          <t>Separadores de vapor o de humedad</t>
        </is>
      </c>
      <c r="H9" s="99" t="inlineStr">
        <is>
          <t>Separadores de vapor o de humedad</t>
        </is>
      </c>
      <c r="I9" s="99" t="inlineStr">
        <is>
          <t>Separadores de vapor o de humedad</t>
        </is>
      </c>
      <c r="J9" s="99" t="inlineStr">
        <is>
          <t>Dispositivos de regulación y tubos difusores</t>
        </is>
      </c>
      <c r="K9" s="99" t="inlineStr">
        <is>
          <t>Dispositivos de regulación y tubos difusores</t>
        </is>
      </c>
      <c r="L9" s="99" t="inlineStr">
        <is>
          <t>Paneles/módulos o celdas fotovoltaicas</t>
        </is>
      </c>
    </row>
    <row r="10" ht="14.5" customHeight="1" s="157">
      <c r="A10" s="99" t="inlineStr">
        <is>
          <t>Ventiladores / sopladores para flujo de biogás</t>
        </is>
      </c>
      <c r="B10" s="99" t="inlineStr">
        <is>
          <t>Equipos para la preparación y transformación de biomasa (equipos de torrefacción, secadores de biomasa, maquinas briqueteadoras)</t>
        </is>
      </c>
      <c r="C10" s="99" t="inlineStr">
        <is>
          <t>Calderas</t>
        </is>
      </c>
      <c r="D10" s="99" t="inlineStr">
        <is>
          <t>Medidores bidireccionales</t>
        </is>
      </c>
      <c r="E10" s="99" t="inlineStr">
        <is>
          <t>Generadores</t>
        </is>
      </c>
      <c r="F10" s="99" t="inlineStr">
        <is>
          <t>Estaciones meteorológicas</t>
        </is>
      </c>
      <c r="G10" s="99" t="inlineStr">
        <is>
          <t>Tanques de almacenamiento</t>
        </is>
      </c>
      <c r="H10" s="99" t="inlineStr">
        <is>
          <t>Tanques de almacenamiento</t>
        </is>
      </c>
      <c r="I10" s="99" t="inlineStr">
        <is>
          <t>Tanques de almacenamiento</t>
        </is>
      </c>
      <c r="J10" s="99" t="inlineStr">
        <is>
          <t>Bombas y motores</t>
        </is>
      </c>
      <c r="K10" s="99" t="inlineStr">
        <is>
          <t>Bombas y motores</t>
        </is>
      </c>
      <c r="L10" s="99" t="inlineStr">
        <is>
          <t>Inversores o microinversores (Off Grid, Grid Tie o Híbrido)</t>
        </is>
      </c>
    </row>
    <row r="11" ht="14.5" customHeight="1" s="157">
      <c r="A11" s="99" t="inlineStr">
        <is>
          <t>Válvulas</t>
        </is>
      </c>
      <c r="B11" s="99" t="inlineStr">
        <is>
          <t>Equipos para el transporte de biomasa (transportadores de tornillo sinfín, elevadores de cangilones, transportadores de cadena Redler, sinfines, transportadores de banda)</t>
        </is>
      </c>
      <c r="C11" s="99" t="inlineStr">
        <is>
          <t>Filtros de manga</t>
        </is>
      </c>
      <c r="D11" s="99" t="inlineStr">
        <is>
          <t>Medidores Inteligentes</t>
        </is>
      </c>
      <c r="E11" s="99" t="inlineStr">
        <is>
          <t>Recuperadores de calor</t>
        </is>
      </c>
      <c r="F11" s="99" t="inlineStr">
        <is>
          <t>Equipos de alimentación DC/AC</t>
        </is>
      </c>
      <c r="G11" s="99" t="inlineStr">
        <is>
          <t>Intercambiadores de calor, evaporadores o condensadores</t>
        </is>
      </c>
      <c r="H11" s="99" t="inlineStr">
        <is>
          <t>Intercambiadores de calor, evaporadores o condensadores</t>
        </is>
      </c>
      <c r="I11" s="99" t="inlineStr">
        <is>
          <t>Intercambiadores de calor, evaporadores o condensadores</t>
        </is>
      </c>
      <c r="J11" s="99" t="inlineStr">
        <is>
          <t>Elementos hidromecánicos</t>
        </is>
      </c>
      <c r="K11" s="99" t="inlineStr">
        <is>
          <t>Elementos hidromecánicos</t>
        </is>
      </c>
      <c r="L11" s="99" t="inlineStr">
        <is>
          <t>Reguladores o controladores de carga</t>
        </is>
      </c>
    </row>
    <row r="12" ht="14.5" customHeight="1" s="157">
      <c r="A12" s="99" t="inlineStr">
        <is>
          <t>Trampas: de ácido sulfhídrico, de llama, de agua</t>
        </is>
      </c>
      <c r="B12" s="99" t="inlineStr">
        <is>
          <t>Medidores bidireccionales</t>
        </is>
      </c>
      <c r="C12" s="99" t="inlineStr">
        <is>
          <t>Catalizadores</t>
        </is>
      </c>
      <c r="D12" s="99" t="inlineStr">
        <is>
          <t>Transformadores (de potencia, medida e instrumentación)</t>
        </is>
      </c>
      <c r="E12" s="99" t="inlineStr">
        <is>
          <t>Sistemas de pretratamiento de agua</t>
        </is>
      </c>
      <c r="F12" s="99" t="inlineStr">
        <is>
          <t>Unidad funcional</t>
        </is>
      </c>
      <c r="G12" s="99" t="inlineStr">
        <is>
          <t>Turbinas</t>
        </is>
      </c>
      <c r="H12" s="99" t="inlineStr">
        <is>
          <t>Turbinas</t>
        </is>
      </c>
      <c r="I12" s="99" t="inlineStr">
        <is>
          <t>Turbinas</t>
        </is>
      </c>
      <c r="J12" s="99" t="inlineStr">
        <is>
          <t>Generadores</t>
        </is>
      </c>
      <c r="K12" s="99" t="inlineStr">
        <is>
          <t>Generadores</t>
        </is>
      </c>
      <c r="L12" s="99" t="inlineStr">
        <is>
          <t>Baterías solares (de ciclo de descarga profunda): Puede ser de plomo-acido, ions de litio, niquel cadmio, u otro.</t>
        </is>
      </c>
    </row>
    <row r="13" ht="14.5" customHeight="1" s="157">
      <c r="A13" s="99" t="inlineStr">
        <is>
          <t>Calderas</t>
        </is>
      </c>
      <c r="B13" s="99" t="inlineStr">
        <is>
          <t>Medidores Inteligentes</t>
        </is>
      </c>
      <c r="C13" s="99" t="inlineStr">
        <is>
          <t>Ventiladores</t>
        </is>
      </c>
      <c r="D13" s="99" t="inlineStr">
        <is>
          <t>Bóvedas, puertas cortafuego, compuertas de ventilación y sellos cortafuego</t>
        </is>
      </c>
      <c r="E13" s="99" t="inlineStr">
        <is>
          <t>Sistemas de tratamiento de gases de chimenea de las calderas</t>
        </is>
      </c>
      <c r="F13" s="99" t="inlineStr">
        <is>
          <t>Aerogeneradores (como un todo)</t>
        </is>
      </c>
      <c r="G13" s="99" t="inlineStr">
        <is>
          <t>Generadores</t>
        </is>
      </c>
      <c r="H13" s="99" t="inlineStr">
        <is>
          <t>Generadores</t>
        </is>
      </c>
      <c r="I13" s="99" t="inlineStr">
        <is>
          <t>Generadores</t>
        </is>
      </c>
      <c r="J13" s="99" t="inlineStr">
        <is>
          <t>Transformadores de excitación y rectificadores</t>
        </is>
      </c>
      <c r="K13" s="99" t="inlineStr">
        <is>
          <t>Transformadores de excitación y rectificadores</t>
        </is>
      </c>
      <c r="L13" s="99" t="inlineStr">
        <is>
          <t>Optimizadores</t>
        </is>
      </c>
    </row>
    <row r="14" ht="14.5" customHeight="1" s="157">
      <c r="A14" s="99" t="inlineStr">
        <is>
          <t>Hornos</t>
        </is>
      </c>
      <c r="B14" s="99" t="inlineStr">
        <is>
          <t>Transformadores (de potencia, medida e instrumentación)</t>
        </is>
      </c>
      <c r="C14" s="99" t="inlineStr">
        <is>
          <t>Unidad funcional</t>
        </is>
      </c>
      <c r="D14" s="99" t="inlineStr">
        <is>
          <t>Celdas AC/DC</t>
        </is>
      </c>
      <c r="E14" s="99" t="inlineStr">
        <is>
          <t>Sistemas recuperadores de condensados</t>
        </is>
      </c>
      <c r="F14" s="99" t="inlineStr">
        <is>
          <t>Torres de aerogeneradores</t>
        </is>
      </c>
      <c r="G14" s="99" t="inlineStr">
        <is>
          <t>Instrumentos de medida de presión (manómetro), temperatura y flujo másico de fluidos y vapor</t>
        </is>
      </c>
      <c r="H14" s="99" t="inlineStr">
        <is>
          <t>Instrumentos de medida de presión (manómetro), temperatura y flujo másico de fluidos y vapor</t>
        </is>
      </c>
      <c r="I14" s="99" t="inlineStr">
        <is>
          <t>Instrumentos de medida de presión (manómetro), temperatura y flujo másico de fluidos y vapor</t>
        </is>
      </c>
      <c r="J14" s="99" t="inlineStr">
        <is>
          <t>Equipos de regulación de tensión, equipo de regulación de velocidad, control, protección y medida</t>
        </is>
      </c>
      <c r="K14" s="99" t="inlineStr">
        <is>
          <t>Equipos de regulación de tensión, equipo de regulación de velocidad, control, protección y medida</t>
        </is>
      </c>
      <c r="L14" s="99" t="inlineStr">
        <is>
          <t>Bases / marcos / estructuras diseñadas para montar, anclar e instalar paneles</t>
        </is>
      </c>
    </row>
    <row r="15" ht="14.5" customHeight="1" s="157">
      <c r="A15" s="99" t="inlineStr">
        <is>
          <t>Teas de emergencia</t>
        </is>
      </c>
      <c r="B15" s="99" t="inlineStr">
        <is>
          <t>Bóvedas, puertas cortafuego, compuertas de ventilación y sellos cortafuego</t>
        </is>
      </c>
      <c r="C15" s="99" t="inlineStr">
        <is>
          <t>Máquinas peletizadoras</t>
        </is>
      </c>
      <c r="D15" s="99" t="inlineStr">
        <is>
          <t>Contadores</t>
        </is>
      </c>
      <c r="E15" s="99" t="inlineStr">
        <is>
          <t>Sistemas cerrados de refrigeración de auxiliares y turbina</t>
        </is>
      </c>
      <c r="F15" s="99" t="inlineStr">
        <is>
          <t>Luces de obstrucción y desviadores</t>
        </is>
      </c>
      <c r="G15" s="99" t="inlineStr">
        <is>
          <t>Eyectores de vapor (NCG &amp; H2S)</t>
        </is>
      </c>
      <c r="H15" s="99" t="inlineStr">
        <is>
          <t>Eyectores de vapor (NCG &amp; H2S)</t>
        </is>
      </c>
      <c r="I15" s="99" t="inlineStr">
        <is>
          <t>Eyectores de vapor (NCG &amp; H2S)</t>
        </is>
      </c>
      <c r="J15" s="99" t="inlineStr">
        <is>
          <t>Equipos de medición</t>
        </is>
      </c>
      <c r="K15" s="99" t="inlineStr">
        <is>
          <t>Equipos de medición</t>
        </is>
      </c>
      <c r="L15" s="99" t="inlineStr">
        <is>
          <t>Cajas combinadoras</t>
        </is>
      </c>
    </row>
    <row r="16" ht="14.5" customHeight="1" s="157">
      <c r="A16" s="99" t="inlineStr">
        <is>
          <t>Bombas para flujo de sustratos en plantas de biogás</t>
        </is>
      </c>
      <c r="B16" s="99" t="inlineStr">
        <is>
          <t>Celdas AC/DC</t>
        </is>
      </c>
      <c r="C16" s="99" t="inlineStr">
        <is>
          <t>Equipos para la preparación y transformación de biomasa (equipos de torrefacción, secadores de biomasa, maquinas briqueteadoras)</t>
        </is>
      </c>
      <c r="D16" s="99" t="inlineStr">
        <is>
          <t>Tableros de baja tensión AC/DC (Incluye los elementos internos)</t>
        </is>
      </c>
      <c r="E16" s="99" t="inlineStr">
        <is>
          <t>Torres de enfriamiento con agua o aerocondensadores</t>
        </is>
      </c>
      <c r="F16" s="99" t="inlineStr">
        <is>
          <t>Unidad funcional</t>
        </is>
      </c>
      <c r="G16" s="99" t="inlineStr">
        <is>
          <t>Compresores</t>
        </is>
      </c>
      <c r="H16" s="99" t="inlineStr">
        <is>
          <t>Compresores</t>
        </is>
      </c>
      <c r="I16" s="99" t="inlineStr">
        <is>
          <t>Compresores</t>
        </is>
      </c>
      <c r="J16" s="99" t="inlineStr">
        <is>
          <t>Unidad funcional</t>
        </is>
      </c>
      <c r="K16" s="99" t="inlineStr">
        <is>
          <t>Unidad funcional</t>
        </is>
      </c>
      <c r="L16" s="99" t="inlineStr">
        <is>
          <t>Sistemas de tracking</t>
        </is>
      </c>
    </row>
    <row r="17" ht="14.5" customHeight="1" s="157">
      <c r="A17" s="99" t="inlineStr">
        <is>
          <t>Tuberías en plantas de biogás, incluyendo tuberías de polietileno de alta densidad</t>
        </is>
      </c>
      <c r="B17" s="99" t="inlineStr">
        <is>
          <t>Contadores</t>
        </is>
      </c>
      <c r="C17" s="99" t="inlineStr">
        <is>
          <t>Equipos para el transporte de biomasa (transportadores de tornillo sinfín, elevadores de cangilones, transportadores de cadena Redler, sinfines, transportadores de banda)</t>
        </is>
      </c>
      <c r="D17" s="99" t="inlineStr">
        <is>
          <t>Alambres y cables en AC</t>
        </is>
      </c>
      <c r="E17" s="99" t="inlineStr">
        <is>
          <t>Sistemas de calentamiento de agua / recuperación de calor residual</t>
        </is>
      </c>
      <c r="F17" s="99" t="inlineStr">
        <is>
          <t>Medidores bidireccionales</t>
        </is>
      </c>
      <c r="G17" s="99" t="inlineStr">
        <is>
          <t>Sistemas de condensado: condensadores, torres de enfriamiento (tipo húmedo, tipo seco)</t>
        </is>
      </c>
      <c r="H17" s="99" t="inlineStr">
        <is>
          <t>Sistemas de condensado: condensadores, torres de enfriamiento (tipo húmedo, tipo seco)</t>
        </is>
      </c>
      <c r="I17" s="99" t="inlineStr">
        <is>
          <t>Sistemas de condensado: condensadores, torres de enfriamiento (tipo húmedo, tipo seco)</t>
        </is>
      </c>
      <c r="J17" s="99" t="inlineStr">
        <is>
          <t>Medidores bidireccionales</t>
        </is>
      </c>
      <c r="K17" s="99" t="inlineStr">
        <is>
          <t>Medidores bidireccionales</t>
        </is>
      </c>
      <c r="L17" s="99" t="inlineStr">
        <is>
          <t>Conectores MC4</t>
        </is>
      </c>
    </row>
    <row r="18" ht="14.5" customHeight="1" s="157">
      <c r="A18" s="99" t="inlineStr">
        <is>
          <t>Dispositivos de control y automatización de procesos anaerobios</t>
        </is>
      </c>
      <c r="B18" s="99" t="inlineStr">
        <is>
          <t>Tableros de baja tensión AC/DC (Incluye los elementos internos)</t>
        </is>
      </c>
      <c r="C18" s="99" t="inlineStr">
        <is>
          <t>Medidores bidireccionales</t>
        </is>
      </c>
      <c r="D18" s="99" t="inlineStr">
        <is>
          <t>Canalizaciones: canaletas, tubos, prefabricadas con barras o con cables, ductos subterráneos</t>
        </is>
      </c>
      <c r="E18" s="99" t="inlineStr">
        <is>
          <t>Válvulas, reguladores y sistemas de control</t>
        </is>
      </c>
      <c r="F18" s="99" t="inlineStr">
        <is>
          <t>Medidores Inteligentes</t>
        </is>
      </c>
      <c r="G18" s="99" t="inlineStr">
        <is>
          <t>Depuradores</t>
        </is>
      </c>
      <c r="H18" s="99" t="inlineStr">
        <is>
          <t>Depuradores</t>
        </is>
      </c>
      <c r="I18" s="99" t="inlineStr">
        <is>
          <t>Depuradores</t>
        </is>
      </c>
      <c r="J18" s="99" t="inlineStr">
        <is>
          <t>Medidores Inteligentes</t>
        </is>
      </c>
      <c r="K18" s="99" t="inlineStr">
        <is>
          <t>Medidores Inteligentes</t>
        </is>
      </c>
      <c r="L18" s="99" t="inlineStr">
        <is>
          <t>Cables solares DC</t>
        </is>
      </c>
    </row>
    <row r="19" ht="14.5" customHeight="1" s="157">
      <c r="A19" s="99" t="inlineStr">
        <is>
          <t>Unidad funcional</t>
        </is>
      </c>
      <c r="B19" s="99" t="inlineStr">
        <is>
          <t>Alambres y cables en AC</t>
        </is>
      </c>
      <c r="C19" s="99" t="inlineStr">
        <is>
          <t>Medidores Inteligentes</t>
        </is>
      </c>
      <c r="D19" s="99" t="inlineStr">
        <is>
          <t>Bandejas portacables</t>
        </is>
      </c>
      <c r="E19" s="99" t="inlineStr">
        <is>
          <t xml:space="preserve">Sistema de retorno de condensado, precalentamiento y desgasificador  </t>
        </is>
      </c>
      <c r="F19" s="99" t="inlineStr">
        <is>
          <t>Transformadores (de potencia, medida e instrumentación)</t>
        </is>
      </c>
      <c r="G19" s="99" t="inlineStr">
        <is>
          <t>Elementos estructurales de pozos (de producción y de re-inyección)</t>
        </is>
      </c>
      <c r="H19" s="99" t="inlineStr">
        <is>
          <t>Elementos estructurales de pozos (de producción y de re-inyección)</t>
        </is>
      </c>
      <c r="I19" s="99" t="inlineStr">
        <is>
          <t>Elementos estructurales de pozos (de producción y de re-inyección)</t>
        </is>
      </c>
      <c r="J19" s="99" t="inlineStr">
        <is>
          <t>Transformadores (de potencia, medida e instrumentación)</t>
        </is>
      </c>
      <c r="K19" s="99" t="inlineStr">
        <is>
          <t>Transformadores (de potencia, medida e instrumentación)</t>
        </is>
      </c>
      <c r="L19" s="99" t="inlineStr">
        <is>
          <t>Equipos de compensación de potencia reactiva</t>
        </is>
      </c>
    </row>
    <row r="20" ht="14.5" customHeight="1" s="157">
      <c r="A20" s="99" t="inlineStr">
        <is>
          <t>Máquinas peletizadoras</t>
        </is>
      </c>
      <c r="B20" s="99" t="inlineStr">
        <is>
          <t>Canalizaciones: canaletas, tubos, prefabricadas con barras o con cables, ductos subterráneos</t>
        </is>
      </c>
      <c r="C20" s="99" t="inlineStr">
        <is>
          <t>Transformadores (de potencia, medida e instrumentación)</t>
        </is>
      </c>
      <c r="D20" s="99" t="inlineStr">
        <is>
          <t>Barrajes</t>
        </is>
      </c>
      <c r="E20" s="99" t="inlineStr">
        <is>
          <t xml:space="preserve">Plantas de tratamiento de agua </t>
        </is>
      </c>
      <c r="F20" s="99" t="inlineStr">
        <is>
          <t>Bóvedas, puertas cortafuego, compuertas de ventilación y sellos cortafuego</t>
        </is>
      </c>
      <c r="G20" s="99" t="inlineStr">
        <is>
          <t>Removedores y filtros</t>
        </is>
      </c>
      <c r="H20" s="99" t="inlineStr">
        <is>
          <t>Removedores y filtros</t>
        </is>
      </c>
      <c r="I20" s="99" t="inlineStr">
        <is>
          <t>Removedores y filtros</t>
        </is>
      </c>
      <c r="J20" s="99" t="inlineStr">
        <is>
          <t>Bóvedas, puertas cortafuego, compuertas de ventilación y sellos cortafuego</t>
        </is>
      </c>
      <c r="K20" s="99" t="inlineStr">
        <is>
          <t>Bóvedas, puertas cortafuego, compuertas de ventilación y sellos cortafuego</t>
        </is>
      </c>
      <c r="L20" s="99" t="inlineStr">
        <is>
          <t>Equipos para la reducción de armónicos</t>
        </is>
      </c>
    </row>
    <row r="21" ht="15.75" customHeight="1" s="157">
      <c r="A21" s="99" t="inlineStr">
        <is>
          <t>Equipos para la preparación y transformación de biomasa (equipos de torrefacción, secadores de biomasa, maquinas briqueteadoras)</t>
        </is>
      </c>
      <c r="B21" s="99" t="inlineStr">
        <is>
          <t>Bandejas portacables</t>
        </is>
      </c>
      <c r="C21" s="99" t="inlineStr">
        <is>
          <t>Bóvedas, puertas cortafuego, compuertas de ventilación y sellos cortafuego</t>
        </is>
      </c>
      <c r="D21" s="99" t="inlineStr">
        <is>
          <t>Cajas y conduletas</t>
        </is>
      </c>
      <c r="E21" s="99" t="inlineStr">
        <is>
          <t>Compresores</t>
        </is>
      </c>
      <c r="F21" s="99" t="inlineStr">
        <is>
          <t>Celdas AC/DC</t>
        </is>
      </c>
      <c r="G21" s="99" t="inlineStr">
        <is>
          <t>Sistemas anti explosión durante perforación</t>
        </is>
      </c>
      <c r="H21" s="99" t="inlineStr">
        <is>
          <t>Sistemas anti explosión durante perforación</t>
        </is>
      </c>
      <c r="I21" s="99" t="inlineStr">
        <is>
          <t>Sistemas anti explosión durante perforación</t>
        </is>
      </c>
      <c r="J21" s="99" t="inlineStr">
        <is>
          <t>Celdas AC/DC</t>
        </is>
      </c>
      <c r="K21" s="99" t="inlineStr">
        <is>
          <t>Celdas AC/DC</t>
        </is>
      </c>
      <c r="L21" s="99" t="inlineStr">
        <is>
          <t>Unidad funcional</t>
        </is>
      </c>
    </row>
    <row r="22" ht="15.75" customHeight="1" s="157">
      <c r="A22" s="99" t="inlineStr">
        <is>
          <t>Equipos para el transporte de biomasa (transportadores de tornillo sinfín, elevadores de cangilones, transportadores de cadena Redler, sinfines, transportadores de banda)</t>
        </is>
      </c>
      <c r="B22" s="99" t="inlineStr">
        <is>
          <t>Barrajes</t>
        </is>
      </c>
      <c r="C22" s="99" t="inlineStr">
        <is>
          <t>Celdas AC/DC</t>
        </is>
      </c>
      <c r="D22" s="99" t="inlineStr">
        <is>
          <t>Fusibles y portafusibles</t>
        </is>
      </c>
      <c r="E22" s="99" t="inlineStr">
        <is>
          <t>Equipos para laboratorio</t>
        </is>
      </c>
      <c r="F22" s="99" t="inlineStr">
        <is>
          <t>Contadores</t>
        </is>
      </c>
      <c r="G22" s="99" t="inlineStr">
        <is>
          <t>Cámara de flash</t>
        </is>
      </c>
      <c r="H22" s="99" t="inlineStr">
        <is>
          <t>Cámara de flash</t>
        </is>
      </c>
      <c r="I22" s="99" t="inlineStr">
        <is>
          <t>Cámara de flash</t>
        </is>
      </c>
      <c r="J22" s="99" t="inlineStr">
        <is>
          <t>Contadores</t>
        </is>
      </c>
      <c r="K22" s="99" t="inlineStr">
        <is>
          <t>Contadores</t>
        </is>
      </c>
      <c r="L22" s="99" t="inlineStr">
        <is>
          <t>Medidores bidireccionales</t>
        </is>
      </c>
    </row>
    <row r="23" ht="15.75" customHeight="1" s="157">
      <c r="A23" s="99" t="inlineStr">
        <is>
          <t>Medidores bidireccionales</t>
        </is>
      </c>
      <c r="B23" s="99" t="inlineStr">
        <is>
          <t>Cajas y conduletas</t>
        </is>
      </c>
      <c r="C23" s="99" t="inlineStr">
        <is>
          <t>Contadores</t>
        </is>
      </c>
      <c r="D23" s="99" t="inlineStr">
        <is>
          <t>Interruptores, reconectadores, seccionadores y transferencias automáticas</t>
        </is>
      </c>
      <c r="E23" s="99" t="inlineStr">
        <is>
          <t>Racks de refrigeración y tuberías</t>
        </is>
      </c>
      <c r="F23" s="99" t="inlineStr">
        <is>
          <t>Tableros de baja tensión AC/DC (Incluye los elementos internos)</t>
        </is>
      </c>
      <c r="G23" s="99" t="inlineStr">
        <is>
          <t>Sistemas de recolección y transporte de vapor a la planta</t>
        </is>
      </c>
      <c r="H23" s="99" t="inlineStr">
        <is>
          <t>Sistemas de recolección y transporte de vapor a la planta</t>
        </is>
      </c>
      <c r="I23" s="99" t="inlineStr">
        <is>
          <t>Sistemas de recolección y transporte de vapor a la planta</t>
        </is>
      </c>
      <c r="J23" s="99" t="inlineStr">
        <is>
          <t>Tableros de baja tensión AC/DC (Incluye los elementos internos)</t>
        </is>
      </c>
      <c r="K23" s="99" t="inlineStr">
        <is>
          <t>Tableros de baja tensión AC/DC (Incluye los elementos internos)</t>
        </is>
      </c>
      <c r="L23" s="99" t="inlineStr">
        <is>
          <t>Medidores Inteligentes</t>
        </is>
      </c>
    </row>
    <row r="24" ht="15.75" customHeight="1" s="157">
      <c r="A24" s="99" t="inlineStr">
        <is>
          <t>Medidores Inteligentes</t>
        </is>
      </c>
      <c r="B24" s="99" t="inlineStr">
        <is>
          <t>Fusibles y portafusibles</t>
        </is>
      </c>
      <c r="C24" s="99" t="inlineStr">
        <is>
          <t>Tableros de baja tensión AC/DC (Incluye los elementos internos)</t>
        </is>
      </c>
      <c r="D24" s="99" t="inlineStr">
        <is>
          <t>Interruptores de baja tensión</t>
        </is>
      </c>
      <c r="E24" s="99" t="inlineStr">
        <is>
          <t>Sistemas de drenajes y canalizaciones subterráneas</t>
        </is>
      </c>
      <c r="F24" s="99" t="inlineStr">
        <is>
          <t>Alambres y cables en AC</t>
        </is>
      </c>
      <c r="G24" s="99" t="inlineStr">
        <is>
          <t>Sistemas de recolección y transporte de fluidos (salmuera y condensado) a los pozos de reinyección</t>
        </is>
      </c>
      <c r="H24" s="99" t="inlineStr">
        <is>
          <t>Sistemas de recolección y transporte de fluidos (salmuera y condensado) a los pozos de reinyección</t>
        </is>
      </c>
      <c r="I24" s="99" t="inlineStr">
        <is>
          <t>Sistemas de recolección y transporte de fluidos (salmuera y condensado) a los pozos de reinyección</t>
        </is>
      </c>
      <c r="J24" s="99" t="inlineStr">
        <is>
          <t>Alambres y cables en AC</t>
        </is>
      </c>
      <c r="K24" s="99" t="inlineStr">
        <is>
          <t>Alambres y cables en AC</t>
        </is>
      </c>
      <c r="L24" s="99" t="inlineStr">
        <is>
          <t>Transformadores (de potencia, medida e instrumentación)</t>
        </is>
      </c>
    </row>
    <row r="25" ht="15.75" customHeight="1" s="157">
      <c r="A25" s="99" t="inlineStr">
        <is>
          <t>Transformadores (de potencia, medida e instrumentación)</t>
        </is>
      </c>
      <c r="B25" s="99" t="inlineStr">
        <is>
          <t>Interruptores, reconectadores, seccionadores y transferencias automáticas</t>
        </is>
      </c>
      <c r="C25" s="99" t="inlineStr">
        <is>
          <t>Alambres y cables en AC</t>
        </is>
      </c>
      <c r="D25" s="99" t="inlineStr">
        <is>
          <t>Dispositivos de protección contra sobretensiones transitorias (DPS), descargadores de rayos, apantallamiento</t>
        </is>
      </c>
      <c r="E25" s="99" t="inlineStr">
        <is>
          <t>Estructuras</t>
        </is>
      </c>
      <c r="F25" s="99" t="inlineStr">
        <is>
          <t>Canalizaciones: canaletas, tubos, prefabricadas con barras o con cables, ductos subterráneos</t>
        </is>
      </c>
      <c r="G25" s="99" t="inlineStr">
        <is>
          <t>Unidad funcional</t>
        </is>
      </c>
      <c r="H25" s="99" t="inlineStr">
        <is>
          <t>Unidad funcional</t>
        </is>
      </c>
      <c r="I25" s="99" t="inlineStr">
        <is>
          <t>Unidad funcional</t>
        </is>
      </c>
      <c r="J25" s="99" t="inlineStr">
        <is>
          <t>Canalizaciones: canaletas, tubos, prefabricadas con barras o con cables, ductos subterráneos</t>
        </is>
      </c>
      <c r="K25" s="99" t="inlineStr">
        <is>
          <t>Canalizaciones: canaletas, tubos, prefabricadas con barras o con cables, ductos subterráneos</t>
        </is>
      </c>
      <c r="L25" s="99" t="inlineStr">
        <is>
          <t>Bóvedas, puertas cortafuego, compuertas de ventilación y sellos cortafuego</t>
        </is>
      </c>
    </row>
    <row r="26" ht="15.75" customHeight="1" s="157">
      <c r="A26" s="99" t="inlineStr">
        <is>
          <t>Bóvedas, puertas cortafuego, compuertas de ventilación y sellos cortafuego</t>
        </is>
      </c>
      <c r="B26" s="99" t="inlineStr">
        <is>
          <t>Interruptores de baja tensión</t>
        </is>
      </c>
      <c r="C26" s="99" t="inlineStr">
        <is>
          <t>Canalizaciones: canaletas, tubos, prefabricadas con barras o con cables, ductos subterráneos</t>
        </is>
      </c>
      <c r="D26" s="99" t="inlineStr">
        <is>
          <t>Unidades de potencia ininterrumpida (UPS)</t>
        </is>
      </c>
      <c r="E26" s="99" t="inlineStr">
        <is>
          <t>Unidad funcional</t>
        </is>
      </c>
      <c r="F26" s="99" t="inlineStr">
        <is>
          <t>Bandejas portacables</t>
        </is>
      </c>
      <c r="G26" s="99" t="inlineStr">
        <is>
          <t>Equipos para prospección geofísica y geoquímica</t>
        </is>
      </c>
      <c r="H26" s="99" t="inlineStr">
        <is>
          <t>Equipos para prospección geofísica y geoquímica</t>
        </is>
      </c>
      <c r="I26" s="99" t="inlineStr">
        <is>
          <t>Equipos para prospección geofísica y geoquímica</t>
        </is>
      </c>
      <c r="J26" s="99" t="inlineStr">
        <is>
          <t>Bandejas portacables</t>
        </is>
      </c>
      <c r="K26" s="99" t="inlineStr">
        <is>
          <t>Bandejas portacables</t>
        </is>
      </c>
      <c r="L26" s="99" t="inlineStr">
        <is>
          <t>Celdas AC/DC</t>
        </is>
      </c>
    </row>
    <row r="27" ht="15.75" customHeight="1" s="157">
      <c r="A27" s="99" t="inlineStr">
        <is>
          <t>Celdas AC/DC</t>
        </is>
      </c>
      <c r="B27" s="99" t="inlineStr">
        <is>
          <t>Dispositivos de protección contra sobretensiones transitorias (DPS), descargadores de rayos, apantallamiento</t>
        </is>
      </c>
      <c r="C27" s="99" t="inlineStr">
        <is>
          <t>Bandejas portacables</t>
        </is>
      </c>
      <c r="D27" s="99" t="inlineStr">
        <is>
          <t>Elementos o equipos para el sistema de puesta a tierra (varillas, mallas, grapas, conectores)</t>
        </is>
      </c>
      <c r="E27" s="99" t="inlineStr">
        <is>
          <t>Máquinas peletizadoras</t>
        </is>
      </c>
      <c r="F27" s="99" t="inlineStr">
        <is>
          <t>Barrajes</t>
        </is>
      </c>
      <c r="G27" s="99" t="inlineStr">
        <is>
          <t>Equipos de perforación</t>
        </is>
      </c>
      <c r="H27" s="99" t="inlineStr">
        <is>
          <t>Equipos de perforación</t>
        </is>
      </c>
      <c r="I27" s="99" t="inlineStr">
        <is>
          <t>Equipos de perforación</t>
        </is>
      </c>
      <c r="J27" s="99" t="inlineStr">
        <is>
          <t>Barrajes</t>
        </is>
      </c>
      <c r="K27" s="99" t="inlineStr">
        <is>
          <t>Barrajes</t>
        </is>
      </c>
      <c r="L27" s="99" t="inlineStr">
        <is>
          <t>Contadores</t>
        </is>
      </c>
    </row>
    <row r="28" ht="15.75" customHeight="1" s="157">
      <c r="A28" s="99" t="inlineStr">
        <is>
          <t>Contadores</t>
        </is>
      </c>
      <c r="B28" s="99" t="inlineStr">
        <is>
          <t>Unidades de potencia ininterrumpida (UPS)</t>
        </is>
      </c>
      <c r="C28" s="99" t="inlineStr">
        <is>
          <t>Barrajes</t>
        </is>
      </c>
      <c r="D28" s="99" t="inlineStr">
        <is>
          <t>Equipos de monitoreo, control y automatización (no incluye equipos para conexión a internet)</t>
        </is>
      </c>
      <c r="E28" s="99" t="inlineStr">
        <is>
          <t>Equipos para la preparación y transformación de biomasa (equipos de torrefacción, secadores de biomasa, maquinas briqueteadoras)</t>
        </is>
      </c>
      <c r="F28" s="99" t="inlineStr">
        <is>
          <t>Cajas y conduletas</t>
        </is>
      </c>
      <c r="G28" s="99" t="inlineStr">
        <is>
          <t>Equipos para monitoreo de temperatura</t>
        </is>
      </c>
      <c r="H28" s="99" t="inlineStr">
        <is>
          <t>Equipos para monitoreo de temperatura</t>
        </is>
      </c>
      <c r="I28" s="99" t="inlineStr">
        <is>
          <t>Equipos para monitoreo de temperatura</t>
        </is>
      </c>
      <c r="J28" s="99" t="inlineStr">
        <is>
          <t>Cajas y conduletas</t>
        </is>
      </c>
      <c r="K28" s="99" t="inlineStr">
        <is>
          <t>Cajas y conduletas</t>
        </is>
      </c>
      <c r="L28" s="99" t="inlineStr">
        <is>
          <t>Tableros de baja tensión AC/DC (Incluye los elementos internos)</t>
        </is>
      </c>
    </row>
    <row r="29" ht="15.75" customHeight="1" s="157">
      <c r="A29" s="99" t="inlineStr">
        <is>
          <t>Tableros de baja tensión AC/DC (Incluye los elementos internos)</t>
        </is>
      </c>
      <c r="B29" s="99" t="inlineStr">
        <is>
          <t>Elementos o equipos para el sistema de puesta a tierra (varillas, mallas, grapas, conectores)</t>
        </is>
      </c>
      <c r="C29" s="99" t="inlineStr">
        <is>
          <t>Cajas y conduletas</t>
        </is>
      </c>
      <c r="D29" s="99" t="inlineStr">
        <is>
          <t>Subestación o Power Station (transformadores, interruptores, seccionadores, trampas de onda, reconectadores, cuchillas, descargadores de sobretensión)</t>
        </is>
      </c>
      <c r="E29" s="99" t="inlineStr">
        <is>
          <t>Equipos para el transporte de biomasa (transportadores de tornillo sinfín, elevadores de cangilones, transportadores de cadena Redler, sinfines, transportadores de banda)</t>
        </is>
      </c>
      <c r="F29" s="99" t="inlineStr">
        <is>
          <t>Fusibles y porta fusibles</t>
        </is>
      </c>
      <c r="G29" s="99" t="inlineStr">
        <is>
          <t>Equipos de laboratorio para análisis geoquímicos y geológicos</t>
        </is>
      </c>
      <c r="H29" s="99" t="inlineStr">
        <is>
          <t>Equipos de laboratorio para análisis geoquímicos y geológicos</t>
        </is>
      </c>
      <c r="I29" s="99" t="inlineStr">
        <is>
          <t>Equipos de laboratorio para análisis geoquímicos y geológicos</t>
        </is>
      </c>
      <c r="J29" s="99" t="inlineStr">
        <is>
          <t>Fusibles y porta fusibles</t>
        </is>
      </c>
      <c r="K29" s="99" t="inlineStr">
        <is>
          <t>Fusibles y porta fusibles</t>
        </is>
      </c>
      <c r="L29" s="99" t="inlineStr">
        <is>
          <t>Alambres y cables en AC</t>
        </is>
      </c>
    </row>
    <row r="30" ht="15.75" customHeight="1" s="157">
      <c r="A30" s="99" t="inlineStr">
        <is>
          <t>Alambres y cables en AC</t>
        </is>
      </c>
      <c r="B30" s="99" t="inlineStr">
        <is>
          <t>Equipos de monitoreo, control y automatización (no incluye equipos para conexión a internet)</t>
        </is>
      </c>
      <c r="C30" s="99" t="inlineStr">
        <is>
          <t>Fusibles y portafusibles</t>
        </is>
      </c>
      <c r="D30" s="99" t="inlineStr">
        <is>
          <t>BESS (Sistema de almacenamiento con base en baterías)</t>
        </is>
      </c>
      <c r="E30" s="99" t="inlineStr">
        <is>
          <t>Medidores bidireccionales</t>
        </is>
      </c>
      <c r="F30" s="99" t="inlineStr">
        <is>
          <t>Interruptores, reconectadores, seccionadores y transferencias automáticas</t>
        </is>
      </c>
      <c r="G30" s="99" t="inlineStr">
        <is>
          <t>Instalaciones superficiales para prueba de pozos</t>
        </is>
      </c>
      <c r="H30" s="99" t="inlineStr">
        <is>
          <t>Instalaciones superficiales para prueba de pozos</t>
        </is>
      </c>
      <c r="I30" s="99" t="inlineStr">
        <is>
          <t>Instalaciones superficiales para prueba de pozos</t>
        </is>
      </c>
      <c r="J30" s="99" t="inlineStr">
        <is>
          <t>Interruptores, reconectadores, seccionadores y transferencias automáticas</t>
        </is>
      </c>
      <c r="K30" s="99" t="inlineStr">
        <is>
          <t>Interruptores, reconectadores, seccionadores y transferencias automáticas</t>
        </is>
      </c>
      <c r="L30" s="99" t="inlineStr">
        <is>
          <t>Canalizaciones: canaletas, tubos, prefabricadas con barras o con cables, ductos subterráneos</t>
        </is>
      </c>
    </row>
    <row r="31" ht="15.75" customHeight="1" s="157">
      <c r="A31" s="99" t="inlineStr">
        <is>
          <t>Canalizaciones: canaletas, tubos, prefabricadas con barras o con cables, ductos subterráneos</t>
        </is>
      </c>
      <c r="B31" s="99" t="inlineStr">
        <is>
          <t>Subestación o Power Station (transformadores, interruptores, seccionadores, trampas de onda, reconectadores, cuchillas, descargadores de sobretensión)</t>
        </is>
      </c>
      <c r="C31" s="99" t="inlineStr">
        <is>
          <t>Interruptores, reconectadores, seccionadores y transferencias automáticas</t>
        </is>
      </c>
      <c r="E31" s="99" t="inlineStr">
        <is>
          <t>Medidores Inteligentes</t>
        </is>
      </c>
      <c r="F31" s="99" t="inlineStr">
        <is>
          <t>Interruptores de baja tensión</t>
        </is>
      </c>
      <c r="G31" s="99" t="inlineStr">
        <is>
          <t>Medidores bidireccionales</t>
        </is>
      </c>
      <c r="H31" s="99" t="inlineStr">
        <is>
          <t>Medidores bidireccionales</t>
        </is>
      </c>
      <c r="I31" s="99" t="inlineStr">
        <is>
          <t>Medidores bidireccionales</t>
        </is>
      </c>
      <c r="J31" s="99" t="inlineStr">
        <is>
          <t>Interruptores de baja tensión</t>
        </is>
      </c>
      <c r="K31" s="99" t="inlineStr">
        <is>
          <t>Interruptores de baja tensión</t>
        </is>
      </c>
      <c r="L31" s="99" t="inlineStr">
        <is>
          <t>Bandejas portacables</t>
        </is>
      </c>
    </row>
    <row r="32" ht="15.75" customHeight="1" s="157">
      <c r="A32" s="99" t="inlineStr">
        <is>
          <t>Bandejas portacables</t>
        </is>
      </c>
      <c r="B32" s="99" t="inlineStr">
        <is>
          <t>BESS (Sistema de almacenamiento con base en baterías)</t>
        </is>
      </c>
      <c r="C32" s="99" t="inlineStr">
        <is>
          <t>Interruptores de baja tensión</t>
        </is>
      </c>
      <c r="E32" s="99" t="inlineStr">
        <is>
          <t>Transformadores (de potencia, medida e instrumentación)</t>
        </is>
      </c>
      <c r="F32" s="99" t="inlineStr">
        <is>
          <t>Dispositivos de protección contra sobretensiones transitorias (DPS), descargadores de rayos, apantallamiento</t>
        </is>
      </c>
      <c r="G32" s="99" t="inlineStr">
        <is>
          <t>Medidores Inteligentes</t>
        </is>
      </c>
      <c r="H32" s="99" t="inlineStr">
        <is>
          <t>Medidores Inteligentes</t>
        </is>
      </c>
      <c r="I32" s="99" t="inlineStr">
        <is>
          <t>Medidores Inteligentes</t>
        </is>
      </c>
      <c r="J32" s="99" t="inlineStr">
        <is>
          <t>Dispositivos de protección contra sobretensiones transitorias (DPS), descargadores de rayos, apantallamiento</t>
        </is>
      </c>
      <c r="K32" s="99" t="inlineStr">
        <is>
          <t>Dispositivos de protección contra sobretensiones transitorias (DPS), descargadores de rayos, apantallamiento</t>
        </is>
      </c>
      <c r="L32" s="99" t="inlineStr">
        <is>
          <t>Barrajes</t>
        </is>
      </c>
    </row>
    <row r="33" ht="15.75" customHeight="1" s="157">
      <c r="A33" s="99" t="inlineStr">
        <is>
          <t>Barrajes</t>
        </is>
      </c>
      <c r="C33" s="99" t="inlineStr">
        <is>
          <t>Dispositivos de protección contra sobretensiones transitorias (DPS), descargadores de rayos, apantallamiento</t>
        </is>
      </c>
      <c r="E33" s="99" t="inlineStr">
        <is>
          <t>Bóvedas, puertas cortafuego, compuertas de ventilación y sellos cortafuego</t>
        </is>
      </c>
      <c r="F33" s="99" t="inlineStr">
        <is>
          <t>Unidades de potencia ininterrumpida (UPS)</t>
        </is>
      </c>
      <c r="G33" s="99" t="inlineStr">
        <is>
          <t>Transformadores (de potencia, medida e instrumentación)</t>
        </is>
      </c>
      <c r="H33" s="99" t="inlineStr">
        <is>
          <t>Transformadores (de potencia, medida e instrumentación)</t>
        </is>
      </c>
      <c r="I33" s="99" t="inlineStr">
        <is>
          <t>Transformadores (de potencia, medida e instrumentación)</t>
        </is>
      </c>
      <c r="J33" s="99" t="inlineStr">
        <is>
          <t>Unidades de potencia ininterrumpida (UPS)</t>
        </is>
      </c>
      <c r="K33" s="99" t="inlineStr">
        <is>
          <t>Unidades de potencia ininterrumpida (UPS)</t>
        </is>
      </c>
      <c r="L33" s="99" t="inlineStr">
        <is>
          <t>Cajas y conduletas</t>
        </is>
      </c>
    </row>
    <row r="34" ht="15.75" customHeight="1" s="157">
      <c r="A34" s="99" t="inlineStr">
        <is>
          <t>Cajas y conduletas</t>
        </is>
      </c>
      <c r="C34" s="99" t="inlineStr">
        <is>
          <t>Unidades de potencia ininterrumpida (UPS)</t>
        </is>
      </c>
      <c r="E34" s="99" t="inlineStr">
        <is>
          <t>Celdas AC/DC</t>
        </is>
      </c>
      <c r="F34" s="99" t="inlineStr">
        <is>
          <t>Elementos o equipos para el sistema de puesta a tierra (varillas, mallas, grapas, conectores)</t>
        </is>
      </c>
      <c r="G34" s="99" t="inlineStr">
        <is>
          <t>Bóvedas, puertas cortafuego, compuertas de ventilación y sellos cortafuego</t>
        </is>
      </c>
      <c r="H34" s="99" t="inlineStr">
        <is>
          <t>Bóvedas, puertas cortafuego, compuertas de ventilación y sellos cortafuego</t>
        </is>
      </c>
      <c r="I34" s="99" t="inlineStr">
        <is>
          <t>Bóvedas, puertas cortafuego, compuertas de ventilación y sellos cortafuego</t>
        </is>
      </c>
      <c r="J34" s="99" t="inlineStr">
        <is>
          <t>Elementos o equipos para el sistema de puesta a tierra (varillas, mallas, grapas, conectores)</t>
        </is>
      </c>
      <c r="K34" s="99" t="inlineStr">
        <is>
          <t>Elementos o equipos para el sistema de puesta a tierra (varillas, mallas, grapas, conectores)</t>
        </is>
      </c>
      <c r="L34" s="99" t="inlineStr">
        <is>
          <t>Fusibles y porta fusibles</t>
        </is>
      </c>
    </row>
    <row r="35" ht="15.75" customHeight="1" s="157">
      <c r="A35" s="99" t="inlineStr">
        <is>
          <t>Fusibles y portafusibles</t>
        </is>
      </c>
      <c r="C35" s="99" t="inlineStr">
        <is>
          <t>Elementos o equipos para el sistema de puesta a tierra (varillas, mallas, grapas, conectores)</t>
        </is>
      </c>
      <c r="E35" s="99" t="inlineStr">
        <is>
          <t>Contadores</t>
        </is>
      </c>
      <c r="F35" s="99" t="inlineStr">
        <is>
          <t>Sistema de monitoreo, control y automatización</t>
        </is>
      </c>
      <c r="G35" s="99" t="inlineStr">
        <is>
          <t>Celdas AC/DC</t>
        </is>
      </c>
      <c r="H35" s="99" t="inlineStr">
        <is>
          <t>Celdas AC/DC</t>
        </is>
      </c>
      <c r="I35" s="99" t="inlineStr">
        <is>
          <t>Celdas AC/DC</t>
        </is>
      </c>
      <c r="J35" s="99" t="inlineStr">
        <is>
          <t>Sistema de monitoreo, control y automatización</t>
        </is>
      </c>
      <c r="K35" s="99" t="inlineStr">
        <is>
          <t>Sistema de monitoreo, control y automatización</t>
        </is>
      </c>
      <c r="L35" s="99" t="inlineStr">
        <is>
          <t>Interruptores, reconectadores, seccionadores y transferencias automáticas</t>
        </is>
      </c>
    </row>
    <row r="36" ht="15.75" customHeight="1" s="157">
      <c r="A36" s="99" t="inlineStr">
        <is>
          <t>Interruptores, reconectadores, seccionadores y transferencias automáticas</t>
        </is>
      </c>
      <c r="C36" s="99" t="inlineStr">
        <is>
          <t>Equipos de monitoreo, control y automatización (no incluye equipos para conexión a internet)</t>
        </is>
      </c>
      <c r="E36" s="99" t="inlineStr">
        <is>
          <t>Tableros de baja tensión AC/DC (Incluye los elementos internos)</t>
        </is>
      </c>
      <c r="F36" s="99" t="inlineStr">
        <is>
          <t>Subestación o Power Station</t>
        </is>
      </c>
      <c r="G36" s="99" t="inlineStr">
        <is>
          <t>Contadores</t>
        </is>
      </c>
      <c r="H36" s="99" t="inlineStr">
        <is>
          <t>Contadores</t>
        </is>
      </c>
      <c r="I36" s="99" t="inlineStr">
        <is>
          <t>Contadores</t>
        </is>
      </c>
      <c r="J36" s="99" t="inlineStr">
        <is>
          <t>Subestación o Power Station</t>
        </is>
      </c>
      <c r="K36" s="99" t="inlineStr">
        <is>
          <t>Subestación o Power Station</t>
        </is>
      </c>
      <c r="L36" s="99" t="inlineStr">
        <is>
          <t>Interruptores de baja tensión</t>
        </is>
      </c>
    </row>
    <row r="37" ht="15.75" customHeight="1" s="157">
      <c r="A37" s="99" t="inlineStr">
        <is>
          <t>Interruptores de baja tensión</t>
        </is>
      </c>
      <c r="C37" s="99" t="inlineStr">
        <is>
          <t>Subestación o Power Station (transformadores, interruptores, seccionadores, trampas de onda, reconectadores, cuchillas, descargadores de sobretensión)</t>
        </is>
      </c>
      <c r="E37" s="99" t="inlineStr">
        <is>
          <t>Alambres y cables en AC</t>
        </is>
      </c>
      <c r="F37" s="99" t="inlineStr">
        <is>
          <t>BESS (Sistema de almacenamiento con base en baterías)</t>
        </is>
      </c>
      <c r="G37" s="99" t="inlineStr">
        <is>
          <t>Tableros de baja tensión AC/DC (Incluye los elementos internos)</t>
        </is>
      </c>
      <c r="H37" s="99" t="inlineStr">
        <is>
          <t>Tableros de baja tensión AC/DC (Incluye los elementos internos)</t>
        </is>
      </c>
      <c r="I37" s="99" t="inlineStr">
        <is>
          <t>Tableros de baja tensión AC/DC (Incluye los elementos internos)</t>
        </is>
      </c>
      <c r="J37" s="99" t="inlineStr">
        <is>
          <t>BESS (Sistema de almacenamiento con base en baterías)</t>
        </is>
      </c>
      <c r="K37" s="99" t="inlineStr">
        <is>
          <t>BESS (Sistema de almacenamiento con base en baterías)</t>
        </is>
      </c>
      <c r="L37" s="99" t="inlineStr">
        <is>
          <t>Dispositivos de protección contra sobretensiones transitorias (DPS), descargadores de rayos, apantallamiento</t>
        </is>
      </c>
    </row>
    <row r="38" ht="15.75" customHeight="1" s="157">
      <c r="A38" s="99" t="inlineStr">
        <is>
          <t>Dispositivos de protección contra sobretensiones transitorias (DPS), descargadores de rayos, apantallamiento</t>
        </is>
      </c>
      <c r="C38" s="99" t="inlineStr">
        <is>
          <t>BESS (Sistema de almacenamiento con base en baterías)</t>
        </is>
      </c>
      <c r="E38" s="99" t="inlineStr">
        <is>
          <t>Canalizaciones: canaletas, tubos, prefabricadas con barras o con cables, ductos subterráneos</t>
        </is>
      </c>
      <c r="G38" s="99" t="inlineStr">
        <is>
          <t>Alambres y cables en AC</t>
        </is>
      </c>
      <c r="H38" s="99" t="inlineStr">
        <is>
          <t>Alambres y cables en AC</t>
        </is>
      </c>
      <c r="I38" s="99" t="inlineStr">
        <is>
          <t>Alambres y cables en AC</t>
        </is>
      </c>
      <c r="L38" s="99" t="inlineStr">
        <is>
          <t>Unidades de potencia ininterrumpida (UPS)</t>
        </is>
      </c>
    </row>
    <row r="39" ht="15.75" customHeight="1" s="157">
      <c r="A39" s="99" t="inlineStr">
        <is>
          <t>Unidades de potencia ininterrumpida (UPS)</t>
        </is>
      </c>
      <c r="C39" s="99" t="inlineStr">
        <is>
          <t>Sistemas de acopio de biomasa</t>
        </is>
      </c>
      <c r="E39" s="99" t="inlineStr">
        <is>
          <t>Bandejas portacables</t>
        </is>
      </c>
      <c r="G39" s="99" t="inlineStr">
        <is>
          <t>Canalizaciones: canaletas, tubos, prefabricadas con barras o con cables, ductos subterráneos</t>
        </is>
      </c>
      <c r="H39" s="99" t="inlineStr">
        <is>
          <t>Canalizaciones: canaletas, tubos, prefabricadas con barras o con cables, ductos subterráneos</t>
        </is>
      </c>
      <c r="I39" s="99" t="inlineStr">
        <is>
          <t>Canalizaciones: canaletas, tubos, prefabricadas con barras o con cables, ductos subterráneos</t>
        </is>
      </c>
      <c r="L39" s="99" t="inlineStr">
        <is>
          <t>Elementos o equipos para el sistema de puesta a tierra (varillas, mallas, grapas, conectores)</t>
        </is>
      </c>
    </row>
    <row r="40" ht="15.75" customHeight="1" s="157">
      <c r="A40" s="99" t="inlineStr">
        <is>
          <t>Elementos o equipos para el sistema de puesta a tierra (varillas, mallas, grapas, conectores)</t>
        </is>
      </c>
      <c r="E40" s="99" t="inlineStr">
        <is>
          <t>Barrajes</t>
        </is>
      </c>
      <c r="G40" s="99" t="inlineStr">
        <is>
          <t>Bandejas portacables</t>
        </is>
      </c>
      <c r="H40" s="99" t="inlineStr">
        <is>
          <t>Bandejas portacables</t>
        </is>
      </c>
      <c r="I40" s="99" t="inlineStr">
        <is>
          <t>Bandejas portacables</t>
        </is>
      </c>
      <c r="L40" s="99" t="inlineStr">
        <is>
          <t>Sistema de monitoreo, control y automatización</t>
        </is>
      </c>
    </row>
    <row r="41" ht="15.75" customHeight="1" s="157">
      <c r="A41" s="99" t="inlineStr">
        <is>
          <t>Equipos de monitoreo, control y automatización (no incluye equipos para conexión a internet)</t>
        </is>
      </c>
      <c r="E41" s="99" t="inlineStr">
        <is>
          <t>Cajas y conduletas</t>
        </is>
      </c>
      <c r="G41" s="99" t="inlineStr">
        <is>
          <t>Barrajes</t>
        </is>
      </c>
      <c r="H41" s="99" t="inlineStr">
        <is>
          <t>Barrajes</t>
        </is>
      </c>
      <c r="I41" s="99" t="inlineStr">
        <is>
          <t>Barrajes</t>
        </is>
      </c>
      <c r="L41" s="99" t="inlineStr">
        <is>
          <t>Subestación o Power Station</t>
        </is>
      </c>
    </row>
    <row r="42" ht="15.75" customHeight="1" s="157">
      <c r="A42" s="99" t="inlineStr">
        <is>
          <t>Subestación o Power Station (transformadores, interruptores, seccionadores, trampas de onda, reconectadores, cuchillas, descargadores de sobretensión)</t>
        </is>
      </c>
      <c r="E42" s="99" t="inlineStr">
        <is>
          <t>Fusibles y portafusibles</t>
        </is>
      </c>
      <c r="G42" s="99" t="inlineStr">
        <is>
          <t>Cajas y conduletas</t>
        </is>
      </c>
      <c r="H42" s="99" t="inlineStr">
        <is>
          <t>Cajas y conduletas</t>
        </is>
      </c>
      <c r="I42" s="99" t="inlineStr">
        <is>
          <t>Cajas y conduletas</t>
        </is>
      </c>
      <c r="L42" s="99" t="inlineStr">
        <is>
          <t>BESS (Sistema de almacenamiento con base en baterías)</t>
        </is>
      </c>
    </row>
    <row r="43" ht="15.75" customHeight="1" s="157">
      <c r="A43" s="99" t="inlineStr">
        <is>
          <t>BESS (Sistema de almacenamiento con base en baterías)</t>
        </is>
      </c>
      <c r="E43" s="99" t="inlineStr">
        <is>
          <t>Interruptores, reconectadores, seccionadores y transferencias automáticas</t>
        </is>
      </c>
      <c r="G43" s="99" t="inlineStr">
        <is>
          <t>Fusibles y porta fusibles</t>
        </is>
      </c>
      <c r="H43" s="99" t="inlineStr">
        <is>
          <t>Fusibles y porta fusibles</t>
        </is>
      </c>
      <c r="I43" s="99" t="inlineStr">
        <is>
          <t>Fusibles y porta fusibles</t>
        </is>
      </c>
    </row>
    <row r="44" ht="15.75" customHeight="1" s="157">
      <c r="E44" s="99" t="inlineStr">
        <is>
          <t>Interruptores de baja tensión</t>
        </is>
      </c>
      <c r="G44" s="99" t="inlineStr">
        <is>
          <t>Interruptores, reconectadores, seccionadores y transferencias automáticas</t>
        </is>
      </c>
      <c r="H44" s="99" t="inlineStr">
        <is>
          <t>Interruptores, reconectadores, seccionadores y transferencias automáticas</t>
        </is>
      </c>
      <c r="I44" s="99" t="inlineStr">
        <is>
          <t>Interruptores, reconectadores, seccionadores y transferencias automáticas</t>
        </is>
      </c>
    </row>
    <row r="45" ht="15.75" customHeight="1" s="157">
      <c r="E45" s="99" t="inlineStr">
        <is>
          <t>Dispositivos de protección contra sobretensiones transitorias (DPS), descargadores de rayos, apantallamiento</t>
        </is>
      </c>
      <c r="G45" s="99" t="inlineStr">
        <is>
          <t>Interruptores de baja tensión</t>
        </is>
      </c>
      <c r="H45" s="99" t="inlineStr">
        <is>
          <t>Interruptores de baja tensión</t>
        </is>
      </c>
      <c r="I45" s="99" t="inlineStr">
        <is>
          <t>Interruptores de baja tensión</t>
        </is>
      </c>
    </row>
    <row r="46" ht="15.75" customHeight="1" s="157">
      <c r="E46" s="99" t="inlineStr">
        <is>
          <t>Unidades de potencia ininterrumpida (UPS)</t>
        </is>
      </c>
      <c r="G46" s="99" t="inlineStr">
        <is>
          <t>Dispositivos de protección contra sobretensiones transitorias (DPS), descargadores de rayos, apantallamiento</t>
        </is>
      </c>
      <c r="H46" s="99" t="inlineStr">
        <is>
          <t>Dispositivos de protección contra sobretensiones transitorias (DPS), descargadores de rayos, apantallamiento</t>
        </is>
      </c>
      <c r="I46" s="99" t="inlineStr">
        <is>
          <t>Dispositivos de protección contra sobretensiones transitorias (DPS), descargadores de rayos, apantallamiento</t>
        </is>
      </c>
    </row>
    <row r="47" ht="15.75" customHeight="1" s="157">
      <c r="E47" s="99" t="inlineStr">
        <is>
          <t>Elementos o equipos para el sistema de puesta a tierra (varillas, mallas, grapas, conectores)</t>
        </is>
      </c>
      <c r="G47" s="99" t="inlineStr">
        <is>
          <t>Unidades de potencia ininterrumpida (UPS)</t>
        </is>
      </c>
      <c r="H47" s="99" t="inlineStr">
        <is>
          <t>Unidades de potencia ininterrumpida (UPS)</t>
        </is>
      </c>
      <c r="I47" s="99" t="inlineStr">
        <is>
          <t>Unidades de potencia ininterrumpida (UPS)</t>
        </is>
      </c>
    </row>
    <row r="48" ht="15.75" customHeight="1" s="157">
      <c r="E48" s="99" t="inlineStr">
        <is>
          <t>Equipos de monitoreo, control y automatización (no incluye equipos para conexión a internet)</t>
        </is>
      </c>
      <c r="G48" s="99" t="inlineStr">
        <is>
          <t>Elementos o equipos para el sistema de puesta a tierra (varillas, mallas, grapas, conectores)</t>
        </is>
      </c>
      <c r="H48" s="99" t="inlineStr">
        <is>
          <t>Elementos o equipos para el sistema de puesta a tierra (varillas, mallas, grapas, conectores)</t>
        </is>
      </c>
      <c r="I48" s="99" t="inlineStr">
        <is>
          <t>Elementos o equipos para el sistema de puesta a tierra (varillas, mallas, grapas, conectores)</t>
        </is>
      </c>
    </row>
    <row r="49" ht="15.75" customHeight="1" s="157">
      <c r="E49" s="99" t="inlineStr">
        <is>
          <t>Subestación o Power Station (transformadores, interruptores, seccionadores, trampas de onda, reconectadores, cuchillas, descargadores de sobretensión)</t>
        </is>
      </c>
      <c r="G49" s="99" t="inlineStr">
        <is>
          <t>Sistema de monitoreo, control y automatización</t>
        </is>
      </c>
      <c r="H49" s="99" t="inlineStr">
        <is>
          <t>Sistema de monitoreo, control y automatización</t>
        </is>
      </c>
      <c r="I49" s="99" t="inlineStr">
        <is>
          <t>Sistema de monitoreo, control y automatización</t>
        </is>
      </c>
    </row>
    <row r="50" ht="15.75" customHeight="1" s="157">
      <c r="E50" s="99" t="inlineStr">
        <is>
          <t>BESS (Sistema de almacenamiento con base en baterías)</t>
        </is>
      </c>
      <c r="G50" s="99" t="inlineStr">
        <is>
          <t>Subestación o Power Station</t>
        </is>
      </c>
      <c r="H50" s="99" t="inlineStr">
        <is>
          <t>Subestación o Power Station</t>
        </is>
      </c>
      <c r="I50" s="99" t="inlineStr">
        <is>
          <t>Subestación o Power Station</t>
        </is>
      </c>
    </row>
    <row r="51" ht="15.75" customHeight="1" s="157">
      <c r="E51" s="99" t="inlineStr">
        <is>
          <t>Grupo Electrógeno de Biogás</t>
        </is>
      </c>
      <c r="G51" s="99" t="inlineStr">
        <is>
          <t>BESS (Sistema de almacenamiento con base en baterías)</t>
        </is>
      </c>
      <c r="H51" s="99" t="inlineStr">
        <is>
          <t>BESS (Sistema de almacenamiento con base en baterías)</t>
        </is>
      </c>
      <c r="I51" s="99" t="inlineStr">
        <is>
          <t>BESS (Sistema de almacenamiento con base en baterías)</t>
        </is>
      </c>
    </row>
    <row r="52" ht="15.75" customHeight="1" s="157"/>
    <row r="53" ht="15.75" customHeight="1" s="157"/>
    <row r="54" ht="15.75" customHeight="1" s="157"/>
    <row r="55" ht="15.75" customHeight="1" s="157"/>
    <row r="56" ht="15.75" customHeight="1" s="157"/>
    <row r="57" ht="15.75" customHeight="1" s="157"/>
    <row r="58" ht="15.75" customHeight="1" s="157"/>
    <row r="59" ht="15.75" customHeight="1" s="157"/>
    <row r="60" ht="15.75" customHeight="1" s="157"/>
    <row r="61" ht="15.75" customHeight="1" s="157"/>
    <row r="62" ht="15.75" customHeight="1" s="157"/>
    <row r="63" ht="15.75" customHeight="1" s="157"/>
    <row r="64" ht="15.75" customHeight="1" s="157"/>
    <row r="65" ht="15.75" customHeight="1" s="157"/>
    <row r="66" ht="15.75" customHeight="1" s="157"/>
    <row r="67" ht="15.75" customHeight="1" s="157"/>
    <row r="68" ht="15.75" customHeight="1" s="157"/>
    <row r="69" ht="15.75" customHeight="1" s="157"/>
    <row r="70" ht="15.75" customHeight="1" s="157"/>
    <row r="71" ht="15.75" customHeight="1" s="157"/>
    <row r="72" ht="15.75" customHeight="1" s="157"/>
    <row r="73" ht="15.75" customHeight="1" s="157"/>
    <row r="74" ht="15.75" customHeight="1" s="157"/>
    <row r="75" ht="15.75" customHeight="1" s="157"/>
    <row r="76" ht="15.75" customHeight="1" s="157"/>
    <row r="77" ht="15.75" customHeight="1" s="157"/>
    <row r="78" ht="15.75" customHeight="1" s="157"/>
    <row r="79" ht="15.75" customHeight="1" s="157"/>
    <row r="80" ht="15.75" customHeight="1" s="157"/>
    <row r="81" ht="15.75" customHeight="1" s="157"/>
    <row r="82" ht="15.75" customHeight="1" s="157"/>
    <row r="83" ht="15.75" customHeight="1" s="157"/>
    <row r="84" ht="15.75" customHeight="1" s="157"/>
    <row r="85" ht="15.75" customHeight="1" s="157"/>
    <row r="86" ht="15.75" customHeight="1" s="157"/>
    <row r="87" ht="15.75" customHeight="1" s="157"/>
    <row r="88" ht="15.75" customHeight="1" s="157"/>
    <row r="89" ht="15.75" customHeight="1" s="157"/>
    <row r="90" ht="15.75" customHeight="1" s="157"/>
    <row r="91" ht="15.75" customHeight="1" s="157"/>
    <row r="92" ht="15.75" customHeight="1" s="157"/>
    <row r="93" ht="15.75" customHeight="1" s="157"/>
    <row r="94" ht="15.75" customHeight="1" s="157"/>
    <row r="95" ht="15.75" customHeight="1" s="157"/>
    <row r="96" ht="15.75" customHeight="1" s="157"/>
    <row r="97" ht="15.75" customHeight="1" s="157"/>
    <row r="98" ht="15.75" customHeight="1" s="157"/>
    <row r="99" ht="15.75" customHeight="1" s="157"/>
    <row r="100" ht="15.75" customHeight="1" s="157"/>
    <row r="101" ht="15.75" customHeight="1" s="157"/>
    <row r="102" ht="15.75" customHeight="1" s="157"/>
    <row r="103" ht="15.75" customHeight="1" s="157"/>
    <row r="104" ht="15.75" customHeight="1" s="157"/>
    <row r="105" ht="15.75" customHeight="1" s="157"/>
    <row r="106" ht="15.75" customHeight="1" s="157"/>
    <row r="107" ht="15.75" customHeight="1" s="157"/>
    <row r="108" ht="15.75" customHeight="1" s="157"/>
    <row r="109" ht="15.75" customHeight="1" s="157"/>
    <row r="110" ht="15.75" customHeight="1" s="157"/>
    <row r="111" ht="15.75" customHeight="1" s="157"/>
    <row r="112" ht="15.75" customHeight="1" s="157"/>
    <row r="113" ht="15.75" customHeight="1" s="157"/>
    <row r="114" ht="15.75" customHeight="1" s="157"/>
    <row r="115" ht="15.75" customHeight="1" s="157"/>
    <row r="116" ht="15.75" customHeight="1" s="157"/>
    <row r="117" ht="15.75" customHeight="1" s="157"/>
    <row r="118" ht="15.75" customHeight="1" s="157"/>
    <row r="119" ht="15.75" customHeight="1" s="157"/>
    <row r="120" ht="15.75" customHeight="1" s="157"/>
    <row r="121" ht="15.75" customHeight="1" s="157"/>
    <row r="122" ht="15.75" customHeight="1" s="157"/>
    <row r="123" ht="15.75" customHeight="1" s="157"/>
    <row r="124" ht="15.75" customHeight="1" s="157"/>
    <row r="125" ht="15.75" customHeight="1" s="157"/>
    <row r="126" ht="15.75" customHeight="1" s="157"/>
    <row r="127" ht="15.75" customHeight="1" s="157"/>
    <row r="128" ht="15.75" customHeight="1" s="157"/>
    <row r="129" ht="15.75" customHeight="1" s="157"/>
    <row r="130" ht="15.75" customHeight="1" s="157"/>
    <row r="131" ht="15.75" customHeight="1" s="157"/>
    <row r="132" ht="15.75" customHeight="1" s="157"/>
    <row r="133" ht="15.75" customHeight="1" s="157"/>
    <row r="134" ht="15.75" customHeight="1" s="157"/>
    <row r="135" ht="15.75" customHeight="1" s="157"/>
    <row r="136" ht="15.75" customHeight="1" s="157"/>
    <row r="137" ht="15.75" customHeight="1" s="157"/>
    <row r="138" ht="15.75" customHeight="1" s="157"/>
    <row r="139" ht="15.75" customHeight="1" s="157"/>
    <row r="140" ht="15.75" customHeight="1" s="157"/>
    <row r="141" ht="15.75" customHeight="1" s="157"/>
    <row r="142" ht="15.75" customHeight="1" s="157"/>
    <row r="143" ht="15.75" customHeight="1" s="157"/>
    <row r="144" ht="15.75" customHeight="1" s="157"/>
    <row r="145" ht="15.75" customHeight="1" s="157"/>
    <row r="146" ht="15.75" customHeight="1" s="157"/>
    <row r="147" ht="15.75" customHeight="1" s="157"/>
    <row r="148" ht="15.75" customHeight="1" s="157"/>
    <row r="149" ht="15.75" customHeight="1" s="157"/>
    <row r="150" ht="15.75" customHeight="1" s="157"/>
    <row r="151" ht="15.75" customHeight="1" s="157"/>
    <row r="152" ht="15.75" customHeight="1" s="157"/>
    <row r="153" ht="15.75" customHeight="1" s="157"/>
    <row r="154" ht="15.75" customHeight="1" s="157"/>
    <row r="155" ht="15.75" customHeight="1" s="157"/>
    <row r="156" ht="15.75" customHeight="1" s="157"/>
    <row r="157" ht="15.75" customHeight="1" s="157"/>
    <row r="158" ht="15.75" customHeight="1" s="157"/>
    <row r="159" ht="15.75" customHeight="1" s="157"/>
    <row r="160" ht="15.75" customHeight="1" s="157"/>
    <row r="161" ht="15.75" customHeight="1" s="157"/>
    <row r="162" ht="15.75" customHeight="1" s="157"/>
    <row r="163" ht="15.75" customHeight="1" s="157"/>
    <row r="164" ht="15.75" customHeight="1" s="157"/>
    <row r="165" ht="15.75" customHeight="1" s="157"/>
    <row r="166" ht="15.75" customHeight="1" s="157"/>
    <row r="167" ht="15.75" customHeight="1" s="157"/>
    <row r="168" ht="15.75" customHeight="1" s="157"/>
    <row r="169" ht="15.75" customHeight="1" s="157"/>
    <row r="170" ht="15.75" customHeight="1" s="157"/>
    <row r="171" ht="15.75" customHeight="1" s="157"/>
    <row r="172" ht="15.75" customHeight="1" s="157"/>
    <row r="173" ht="15.75" customHeight="1" s="157"/>
    <row r="174" ht="15.75" customHeight="1" s="157"/>
    <row r="175" ht="15.75" customHeight="1" s="157"/>
    <row r="176" ht="15.75" customHeight="1" s="157"/>
    <row r="177" ht="15.75" customHeight="1" s="157"/>
    <row r="178" ht="15.75" customHeight="1" s="157"/>
    <row r="179" ht="15.75" customHeight="1" s="157"/>
    <row r="180" ht="15.75" customHeight="1" s="157"/>
    <row r="181" ht="15.75" customHeight="1" s="157"/>
    <row r="182" ht="15.75" customHeight="1" s="157"/>
    <row r="183" ht="15.75" customHeight="1" s="157"/>
    <row r="184" ht="15.75" customHeight="1" s="157"/>
    <row r="185" ht="15.75" customHeight="1" s="157"/>
    <row r="186" ht="15.75" customHeight="1" s="157"/>
    <row r="187" ht="15.75" customHeight="1" s="157"/>
    <row r="188" ht="15.75" customHeight="1" s="157"/>
    <row r="189" ht="15.75" customHeight="1" s="157"/>
    <row r="190" ht="15.75" customHeight="1" s="157"/>
    <row r="191" ht="15.75" customHeight="1" s="157"/>
    <row r="192" ht="15.75" customHeight="1" s="157"/>
    <row r="193" ht="15.75" customHeight="1" s="157"/>
    <row r="194" ht="15.75" customHeight="1" s="157"/>
    <row r="195" ht="15.75" customHeight="1" s="157"/>
    <row r="196" ht="15.75" customHeight="1" s="157"/>
    <row r="197" ht="15.75" customHeight="1" s="157"/>
    <row r="198" ht="15.75" customHeight="1" s="157"/>
    <row r="199" ht="15.75" customHeight="1" s="157"/>
    <row r="200" ht="15.75" customHeight="1" s="157"/>
    <row r="201" ht="15.75" customHeight="1" s="157"/>
    <row r="202" ht="15.75" customHeight="1" s="157"/>
    <row r="203" ht="15.75" customHeight="1" s="157"/>
    <row r="204" ht="15.75" customHeight="1" s="157"/>
    <row r="205" ht="15.75" customHeight="1" s="157"/>
    <row r="206" ht="15.75" customHeight="1" s="157"/>
    <row r="207" ht="15.75" customHeight="1" s="157"/>
    <row r="208" ht="15.75" customHeight="1" s="157"/>
    <row r="209" ht="15.75" customHeight="1" s="157"/>
    <row r="210" ht="15.75" customHeight="1" s="157"/>
    <row r="211" ht="15.75" customHeight="1" s="157"/>
    <row r="212" ht="15.75" customHeight="1" s="157"/>
    <row r="213" ht="15.75" customHeight="1" s="157"/>
    <row r="214" ht="15.75" customHeight="1" s="157"/>
    <row r="215" ht="15.75" customHeight="1" s="157"/>
    <row r="216" ht="15.75" customHeight="1" s="157"/>
    <row r="217" ht="15.75" customHeight="1" s="157"/>
    <row r="218" ht="15.75" customHeight="1" s="157"/>
    <row r="219" ht="15.75" customHeight="1" s="157"/>
    <row r="220" ht="15.75" customHeight="1" s="157"/>
    <row r="221" ht="15.75" customHeight="1" s="157"/>
    <row r="222" ht="15.75" customHeight="1" s="157"/>
    <row r="223" ht="15.75" customHeight="1" s="157"/>
    <row r="224" ht="15.75" customHeight="1" s="157"/>
    <row r="225" ht="15.75" customHeight="1" s="157"/>
    <row r="226" ht="15.75" customHeight="1" s="157"/>
    <row r="227" ht="15.75" customHeight="1" s="157"/>
    <row r="228" ht="15.75" customHeight="1" s="157"/>
    <row r="229" ht="15.75" customHeight="1" s="157"/>
    <row r="230" ht="15.75" customHeight="1" s="157"/>
    <row r="231" ht="15.75" customHeight="1" s="157"/>
    <row r="232" ht="15.75" customHeight="1" s="157"/>
    <row r="233" ht="15.75" customHeight="1" s="157"/>
    <row r="234" ht="15.75" customHeight="1" s="157"/>
    <row r="235" ht="15.75" customHeight="1" s="157"/>
    <row r="236" ht="15.75" customHeight="1" s="157"/>
    <row r="237" ht="15.75" customHeight="1" s="157"/>
    <row r="238" ht="15.75" customHeight="1" s="157"/>
    <row r="239" ht="15.75" customHeight="1" s="157"/>
    <row r="240" ht="15.75" customHeight="1" s="157"/>
    <row r="241" ht="15.75" customHeight="1" s="157"/>
    <row r="242" ht="15.75" customHeight="1" s="157"/>
    <row r="243" ht="15.75" customHeight="1" s="157"/>
    <row r="244" ht="15.75" customHeight="1" s="157"/>
    <row r="245" ht="15.75" customHeight="1" s="157"/>
    <row r="246" ht="15.75" customHeight="1" s="157"/>
    <row r="247" ht="15.75" customHeight="1" s="157"/>
    <row r="248" ht="15.75" customHeight="1" s="157"/>
    <row r="249" ht="15.75" customHeight="1" s="157"/>
    <row r="250" ht="15.75" customHeight="1" s="157"/>
    <row r="251" ht="15.75" customHeight="1" s="157"/>
    <row r="252" ht="15.75" customHeight="1" s="157"/>
    <row r="253" ht="15.75" customHeight="1" s="157"/>
    <row r="254" ht="15.75" customHeight="1" s="157"/>
    <row r="255" ht="15.75" customHeight="1" s="157"/>
    <row r="256" ht="15.75" customHeight="1" s="157"/>
    <row r="257" ht="15.75" customHeight="1" s="157"/>
    <row r="258" ht="15.75" customHeight="1" s="157"/>
    <row r="259" ht="15.75" customHeight="1" s="157"/>
    <row r="260" ht="15.75" customHeight="1" s="157"/>
    <row r="261" ht="15.75" customHeight="1" s="157"/>
    <row r="262" ht="15.75" customHeight="1" s="157"/>
    <row r="263" ht="15.75" customHeight="1" s="157"/>
    <row r="264" ht="15.75" customHeight="1" s="157"/>
    <row r="265" ht="15.75" customHeight="1" s="157"/>
    <row r="266" ht="15.75" customHeight="1" s="157"/>
    <row r="267" ht="15.75" customHeight="1" s="157"/>
    <row r="268" ht="15.75" customHeight="1" s="157"/>
    <row r="269" ht="15.75" customHeight="1" s="157"/>
    <row r="270" ht="15.75" customHeight="1" s="157"/>
    <row r="271" ht="15.75" customHeight="1" s="157"/>
    <row r="272" ht="15.75" customHeight="1" s="157"/>
    <row r="273" ht="15.75" customHeight="1" s="157"/>
    <row r="274" ht="15.75" customHeight="1" s="157"/>
    <row r="275" ht="15.75" customHeight="1" s="157"/>
    <row r="276" ht="15.75" customHeight="1" s="157"/>
    <row r="277" ht="15.75" customHeight="1" s="157"/>
    <row r="278" ht="15.75" customHeight="1" s="157"/>
    <row r="279" ht="15.75" customHeight="1" s="157"/>
    <row r="280" ht="15.75" customHeight="1" s="157"/>
    <row r="281" ht="15.75" customHeight="1" s="157"/>
    <row r="282" ht="15.75" customHeight="1" s="157"/>
    <row r="283" ht="15.75" customHeight="1" s="157"/>
    <row r="284" ht="15.75" customHeight="1" s="157"/>
    <row r="285" ht="15.75" customHeight="1" s="157"/>
    <row r="286" ht="15.75" customHeight="1" s="157"/>
    <row r="287" ht="15.75" customHeight="1" s="157"/>
    <row r="288" ht="15.75" customHeight="1" s="157"/>
    <row r="289" ht="15.75" customHeight="1" s="157"/>
    <row r="290" ht="15.75" customHeight="1" s="157"/>
    <row r="291" ht="15.75" customHeight="1" s="157"/>
    <row r="292" ht="15.75" customHeight="1" s="157"/>
    <row r="293" ht="15.75" customHeight="1" s="157"/>
    <row r="294" ht="15.75" customHeight="1" s="157"/>
    <row r="295" ht="15.75" customHeight="1" s="157"/>
    <row r="296" ht="15.75" customHeight="1" s="157"/>
    <row r="297" ht="15.75" customHeight="1" s="157"/>
    <row r="298" ht="15.75" customHeight="1" s="157"/>
    <row r="299" ht="15.75" customHeight="1" s="157"/>
    <row r="300" ht="15.75" customHeight="1" s="157"/>
    <row r="301" ht="15.75" customHeight="1" s="157"/>
    <row r="302" ht="15.75" customHeight="1" s="157"/>
    <row r="303" ht="15.75" customHeight="1" s="157"/>
    <row r="304" ht="15.75" customHeight="1" s="157"/>
    <row r="305" ht="15.75" customHeight="1" s="157"/>
    <row r="306" ht="15.75" customHeight="1" s="157"/>
    <row r="307" ht="15.75" customHeight="1" s="157"/>
    <row r="308" ht="15.75" customHeight="1" s="157"/>
    <row r="309" ht="15.75" customHeight="1" s="157"/>
    <row r="310" ht="15.75" customHeight="1" s="157"/>
    <row r="311" ht="15.75" customHeight="1" s="157"/>
    <row r="312" ht="15.75" customHeight="1" s="157"/>
    <row r="313" ht="15.75" customHeight="1" s="157"/>
    <row r="314" ht="15.75" customHeight="1" s="157"/>
    <row r="315" ht="15.75" customHeight="1" s="157"/>
    <row r="316" ht="15.75" customHeight="1" s="157"/>
    <row r="317" ht="15.75" customHeight="1" s="157"/>
    <row r="318" ht="15.75" customHeight="1" s="157"/>
    <row r="319" ht="15.75" customHeight="1" s="157"/>
    <row r="320" ht="15.75" customHeight="1" s="157"/>
    <row r="321" ht="15.75" customHeight="1" s="157"/>
    <row r="322" ht="15.75" customHeight="1" s="157"/>
    <row r="323" ht="15.75" customHeight="1" s="157"/>
    <row r="324" ht="15.75" customHeight="1" s="157"/>
    <row r="325" ht="15.75" customHeight="1" s="157"/>
    <row r="326" ht="15.75" customHeight="1" s="157"/>
    <row r="327" ht="15.75" customHeight="1" s="157"/>
    <row r="328" ht="15.75" customHeight="1" s="157"/>
    <row r="329" ht="15.75" customHeight="1" s="157"/>
    <row r="330" ht="15.75" customHeight="1" s="157"/>
    <row r="331" ht="15.75" customHeight="1" s="157"/>
    <row r="332" ht="15.75" customHeight="1" s="157"/>
    <row r="333" ht="15.75" customHeight="1" s="157"/>
    <row r="334" ht="15.75" customHeight="1" s="157"/>
    <row r="335" ht="15.75" customHeight="1" s="157"/>
    <row r="336" ht="15.75" customHeight="1" s="157"/>
    <row r="337" ht="15.75" customHeight="1" s="157"/>
    <row r="338" ht="15.75" customHeight="1" s="157"/>
    <row r="339" ht="15.75" customHeight="1" s="157"/>
    <row r="340" ht="15.75" customHeight="1" s="157"/>
    <row r="341" ht="15.75" customHeight="1" s="157"/>
    <row r="342" ht="15.75" customHeight="1" s="157"/>
    <row r="343" ht="15.75" customHeight="1" s="157"/>
    <row r="344" ht="15.75" customHeight="1" s="157"/>
    <row r="345" ht="15.75" customHeight="1" s="157"/>
    <row r="346" ht="15.75" customHeight="1" s="157"/>
    <row r="347" ht="15.75" customHeight="1" s="157"/>
    <row r="348" ht="15.75" customHeight="1" s="157"/>
    <row r="349" ht="15.75" customHeight="1" s="157"/>
    <row r="350" ht="15.75" customHeight="1" s="157"/>
    <row r="351" ht="15.75" customHeight="1" s="157"/>
    <row r="352" ht="15.75" customHeight="1" s="157"/>
    <row r="353" ht="15.75" customHeight="1" s="157"/>
    <row r="354" ht="15.75" customHeight="1" s="157"/>
    <row r="355" ht="15.75" customHeight="1" s="157"/>
    <row r="356" ht="15.75" customHeight="1" s="157"/>
    <row r="357" ht="15.75" customHeight="1" s="157"/>
    <row r="358" ht="15.75" customHeight="1" s="157"/>
    <row r="359" ht="15.75" customHeight="1" s="157"/>
    <row r="360" ht="15.75" customHeight="1" s="157"/>
    <row r="361" ht="15.75" customHeight="1" s="157"/>
    <row r="362" ht="15.75" customHeight="1" s="157"/>
    <row r="363" ht="15.75" customHeight="1" s="157"/>
    <row r="364" ht="15.75" customHeight="1" s="157"/>
    <row r="365" ht="15.75" customHeight="1" s="157"/>
    <row r="366" ht="15.75" customHeight="1" s="157"/>
    <row r="367" ht="15.75" customHeight="1" s="157"/>
    <row r="368" ht="15.75" customHeight="1" s="157"/>
    <row r="369" ht="15.75" customHeight="1" s="157"/>
    <row r="370" ht="15.75" customHeight="1" s="157"/>
    <row r="371" ht="15.75" customHeight="1" s="157"/>
    <row r="372" ht="15.75" customHeight="1" s="157"/>
    <row r="373" ht="15.75" customHeight="1" s="157"/>
    <row r="374" ht="15.75" customHeight="1" s="157"/>
    <row r="375" ht="15.75" customHeight="1" s="157"/>
    <row r="376" ht="15.75" customHeight="1" s="157"/>
    <row r="377" ht="15.75" customHeight="1" s="157"/>
    <row r="378" ht="15.75" customHeight="1" s="157"/>
    <row r="379" ht="15.75" customHeight="1" s="157"/>
    <row r="380" ht="15.75" customHeight="1" s="157"/>
    <row r="381" ht="15.75" customHeight="1" s="157"/>
    <row r="382" ht="15.75" customHeight="1" s="157"/>
    <row r="383" ht="15.75" customHeight="1" s="157"/>
    <row r="384" ht="15.75" customHeight="1" s="157"/>
    <row r="385" ht="15.75" customHeight="1" s="157"/>
    <row r="386" ht="15.75" customHeight="1" s="157"/>
    <row r="387" ht="15.75" customHeight="1" s="157"/>
    <row r="388" ht="15.75" customHeight="1" s="157"/>
    <row r="389" ht="15.75" customHeight="1" s="157"/>
    <row r="390" ht="15.75" customHeight="1" s="157"/>
    <row r="391" ht="15.75" customHeight="1" s="157"/>
    <row r="392" ht="15.75" customHeight="1" s="157"/>
    <row r="393" ht="15.75" customHeight="1" s="157"/>
    <row r="394" ht="15.75" customHeight="1" s="157"/>
    <row r="395" ht="15.75" customHeight="1" s="157"/>
    <row r="396" ht="15.75" customHeight="1" s="157"/>
    <row r="397" ht="15.75" customHeight="1" s="157"/>
    <row r="398" ht="15.75" customHeight="1" s="157"/>
    <row r="399" ht="15.75" customHeight="1" s="157"/>
    <row r="400" ht="15.75" customHeight="1" s="157"/>
    <row r="401" ht="15.75" customHeight="1" s="157"/>
    <row r="402" ht="15.75" customHeight="1" s="157"/>
    <row r="403" ht="15.75" customHeight="1" s="157"/>
    <row r="404" ht="15.75" customHeight="1" s="157"/>
    <row r="405" ht="15.75" customHeight="1" s="157"/>
    <row r="406" ht="15.75" customHeight="1" s="157"/>
    <row r="407" ht="15.75" customHeight="1" s="157"/>
    <row r="408" ht="15.75" customHeight="1" s="157"/>
    <row r="409" ht="15.75" customHeight="1" s="157"/>
    <row r="410" ht="15.75" customHeight="1" s="157"/>
    <row r="411" ht="15.75" customHeight="1" s="157"/>
    <row r="412" ht="15.75" customHeight="1" s="157"/>
    <row r="413" ht="15.75" customHeight="1" s="157"/>
    <row r="414" ht="15.75" customHeight="1" s="157"/>
    <row r="415" ht="15.75" customHeight="1" s="157"/>
    <row r="416" ht="15.75" customHeight="1" s="157"/>
    <row r="417" ht="15.75" customHeight="1" s="157"/>
    <row r="418" ht="15.75" customHeight="1" s="157"/>
    <row r="419" ht="15.75" customHeight="1" s="157"/>
    <row r="420" ht="15.75" customHeight="1" s="157"/>
    <row r="421" ht="15.75" customHeight="1" s="157"/>
    <row r="422" ht="15.75" customHeight="1" s="157"/>
    <row r="423" ht="15.75" customHeight="1" s="157"/>
    <row r="424" ht="15.75" customHeight="1" s="157"/>
    <row r="425" ht="15.75" customHeight="1" s="157"/>
    <row r="426" ht="15.75" customHeight="1" s="157"/>
    <row r="427" ht="15.75" customHeight="1" s="157"/>
    <row r="428" ht="15.75" customHeight="1" s="157"/>
    <row r="429" ht="15.75" customHeight="1" s="157"/>
    <row r="430" ht="15.75" customHeight="1" s="157"/>
    <row r="431" ht="15.75" customHeight="1" s="157"/>
    <row r="432" ht="15.75" customHeight="1" s="157"/>
    <row r="433" ht="15.75" customHeight="1" s="157"/>
    <row r="434" ht="15.75" customHeight="1" s="157"/>
    <row r="435" ht="15.75" customHeight="1" s="157"/>
    <row r="436" ht="15.75" customHeight="1" s="157"/>
    <row r="437" ht="15.75" customHeight="1" s="157"/>
    <row r="438" ht="15.75" customHeight="1" s="157"/>
    <row r="439" ht="15.75" customHeight="1" s="157"/>
    <row r="440" ht="15.75" customHeight="1" s="157"/>
    <row r="441" ht="15.75" customHeight="1" s="157"/>
    <row r="442" ht="15.75" customHeight="1" s="157"/>
    <row r="443" ht="15.75" customHeight="1" s="157"/>
    <row r="444" ht="15.75" customHeight="1" s="157"/>
    <row r="445" ht="15.75" customHeight="1" s="157"/>
    <row r="446" ht="15.75" customHeight="1" s="157"/>
    <row r="447" ht="15.75" customHeight="1" s="157"/>
    <row r="448" ht="15.75" customHeight="1" s="157"/>
    <row r="449" ht="15.75" customHeight="1" s="157"/>
    <row r="450" ht="15.75" customHeight="1" s="157"/>
    <row r="451" ht="15.75" customHeight="1" s="157"/>
    <row r="452" ht="15.75" customHeight="1" s="157"/>
    <row r="453" ht="15.75" customHeight="1" s="157"/>
    <row r="454" ht="15.75" customHeight="1" s="157"/>
    <row r="455" ht="15.75" customHeight="1" s="157"/>
    <row r="456" ht="15.75" customHeight="1" s="157"/>
    <row r="457" ht="15.75" customHeight="1" s="157"/>
    <row r="458" ht="15.75" customHeight="1" s="157"/>
    <row r="459" ht="15.75" customHeight="1" s="157"/>
    <row r="460" ht="15.75" customHeight="1" s="157"/>
    <row r="461" ht="15.75" customHeight="1" s="157"/>
    <row r="462" ht="15.75" customHeight="1" s="157"/>
    <row r="463" ht="15.75" customHeight="1" s="157"/>
    <row r="464" ht="15.75" customHeight="1" s="157"/>
    <row r="465" ht="15.75" customHeight="1" s="157"/>
    <row r="466" ht="15.75" customHeight="1" s="157"/>
    <row r="467" ht="15.75" customHeight="1" s="157"/>
    <row r="468" ht="15.75" customHeight="1" s="157"/>
    <row r="469" ht="15.75" customHeight="1" s="157"/>
    <row r="470" ht="15.75" customHeight="1" s="157"/>
    <row r="471" ht="15.75" customHeight="1" s="157"/>
    <row r="472" ht="15.75" customHeight="1" s="157"/>
    <row r="473" ht="15.75" customHeight="1" s="157"/>
    <row r="474" ht="15.75" customHeight="1" s="157"/>
    <row r="475" ht="15.75" customHeight="1" s="157"/>
    <row r="476" ht="15.75" customHeight="1" s="157"/>
    <row r="477" ht="15.75" customHeight="1" s="157"/>
    <row r="478" ht="15.75" customHeight="1" s="157"/>
    <row r="479" ht="15.75" customHeight="1" s="157"/>
    <row r="480" ht="15.75" customHeight="1" s="157"/>
    <row r="481" ht="15.75" customHeight="1" s="157"/>
    <row r="482" ht="15.75" customHeight="1" s="157"/>
    <row r="483" ht="15.75" customHeight="1" s="157"/>
    <row r="484" ht="15.75" customHeight="1" s="157"/>
    <row r="485" ht="15.75" customHeight="1" s="157"/>
    <row r="486" ht="15.75" customHeight="1" s="157"/>
    <row r="487" ht="15.75" customHeight="1" s="157"/>
    <row r="488" ht="15.75" customHeight="1" s="157"/>
    <row r="489" ht="15.75" customHeight="1" s="157"/>
    <row r="490" ht="15.75" customHeight="1" s="157"/>
    <row r="491" ht="15.75" customHeight="1" s="157"/>
    <row r="492" ht="15.75" customHeight="1" s="157"/>
    <row r="493" ht="15.75" customHeight="1" s="157"/>
    <row r="494" ht="15.75" customHeight="1" s="157"/>
    <row r="495" ht="15.75" customHeight="1" s="157"/>
    <row r="496" ht="15.75" customHeight="1" s="157"/>
    <row r="497" ht="15.75" customHeight="1" s="157"/>
    <row r="498" ht="15.75" customHeight="1" s="157"/>
    <row r="499" ht="15.75" customHeight="1" s="157"/>
    <row r="500" ht="15.75" customHeight="1" s="157"/>
    <row r="501" ht="15.75" customHeight="1" s="157"/>
    <row r="502" ht="15.75" customHeight="1" s="157"/>
    <row r="503" ht="15.75" customHeight="1" s="157"/>
    <row r="504" ht="15.75" customHeight="1" s="157"/>
    <row r="505" ht="15.75" customHeight="1" s="157"/>
    <row r="506" ht="15.75" customHeight="1" s="157"/>
    <row r="507" ht="15.75" customHeight="1" s="157"/>
    <row r="508" ht="15.75" customHeight="1" s="157"/>
    <row r="509" ht="15.75" customHeight="1" s="157"/>
    <row r="510" ht="15.75" customHeight="1" s="157"/>
    <row r="511" ht="15.75" customHeight="1" s="157"/>
    <row r="512" ht="15.75" customHeight="1" s="157"/>
    <row r="513" ht="15.75" customHeight="1" s="157"/>
    <row r="514" ht="15.75" customHeight="1" s="157"/>
    <row r="515" ht="15.75" customHeight="1" s="157"/>
    <row r="516" ht="15.75" customHeight="1" s="157"/>
    <row r="517" ht="15.75" customHeight="1" s="157"/>
    <row r="518" ht="15.75" customHeight="1" s="157"/>
    <row r="519" ht="15.75" customHeight="1" s="157"/>
    <row r="520" ht="15.75" customHeight="1" s="157"/>
    <row r="521" ht="15.75" customHeight="1" s="157"/>
    <row r="522" ht="15.75" customHeight="1" s="157"/>
    <row r="523" ht="15.75" customHeight="1" s="157"/>
    <row r="524" ht="15.75" customHeight="1" s="157"/>
    <row r="525" ht="15.75" customHeight="1" s="157"/>
    <row r="526" ht="15.75" customHeight="1" s="157"/>
    <row r="527" ht="15.75" customHeight="1" s="157"/>
    <row r="528" ht="15.75" customHeight="1" s="157"/>
    <row r="529" ht="15.75" customHeight="1" s="157"/>
    <row r="530" ht="15.75" customHeight="1" s="157"/>
    <row r="531" ht="15.75" customHeight="1" s="157"/>
    <row r="532" ht="15.75" customHeight="1" s="157"/>
    <row r="533" ht="15.75" customHeight="1" s="157"/>
    <row r="534" ht="15.75" customHeight="1" s="157"/>
    <row r="535" ht="15.75" customHeight="1" s="157"/>
    <row r="536" ht="15.75" customHeight="1" s="157"/>
    <row r="537" ht="15.75" customHeight="1" s="157"/>
    <row r="538" ht="15.75" customHeight="1" s="157"/>
    <row r="539" ht="15.75" customHeight="1" s="157"/>
    <row r="540" ht="15.75" customHeight="1" s="157"/>
    <row r="541" ht="15.75" customHeight="1" s="157"/>
    <row r="542" ht="15.75" customHeight="1" s="157"/>
    <row r="543" ht="15.75" customHeight="1" s="157"/>
    <row r="544" ht="15.75" customHeight="1" s="157"/>
    <row r="545" ht="15.75" customHeight="1" s="157"/>
    <row r="546" ht="15.75" customHeight="1" s="157"/>
    <row r="547" ht="15.75" customHeight="1" s="157"/>
    <row r="548" ht="15.75" customHeight="1" s="157"/>
    <row r="549" ht="15.75" customHeight="1" s="157"/>
    <row r="550" ht="15.75" customHeight="1" s="157"/>
    <row r="551" ht="15.75" customHeight="1" s="157"/>
    <row r="552" ht="15.75" customHeight="1" s="157"/>
    <row r="553" ht="15.75" customHeight="1" s="157"/>
    <row r="554" ht="15.75" customHeight="1" s="157"/>
    <row r="555" ht="15.75" customHeight="1" s="157"/>
    <row r="556" ht="15.75" customHeight="1" s="157"/>
    <row r="557" ht="15.75" customHeight="1" s="157"/>
    <row r="558" ht="15.75" customHeight="1" s="157"/>
    <row r="559" ht="15.75" customHeight="1" s="157"/>
    <row r="560" ht="15.75" customHeight="1" s="157"/>
    <row r="561" ht="15.75" customHeight="1" s="157"/>
    <row r="562" ht="15.75" customHeight="1" s="157"/>
    <row r="563" ht="15.75" customHeight="1" s="157"/>
    <row r="564" ht="15.75" customHeight="1" s="157"/>
    <row r="565" ht="15.75" customHeight="1" s="157"/>
    <row r="566" ht="15.75" customHeight="1" s="157"/>
    <row r="567" ht="15.75" customHeight="1" s="157"/>
    <row r="568" ht="15.75" customHeight="1" s="157"/>
    <row r="569" ht="15.75" customHeight="1" s="157"/>
    <row r="570" ht="15.75" customHeight="1" s="157"/>
    <row r="571" ht="15.75" customHeight="1" s="157"/>
    <row r="572" ht="15.75" customHeight="1" s="157"/>
    <row r="573" ht="15.75" customHeight="1" s="157"/>
    <row r="574" ht="15.75" customHeight="1" s="157"/>
    <row r="575" ht="15.75" customHeight="1" s="157"/>
    <row r="576" ht="15.75" customHeight="1" s="157"/>
    <row r="577" ht="15.75" customHeight="1" s="157"/>
    <row r="578" ht="15.75" customHeight="1" s="157"/>
    <row r="579" ht="15.75" customHeight="1" s="157"/>
    <row r="580" ht="15.75" customHeight="1" s="157"/>
    <row r="581" ht="15.75" customHeight="1" s="157"/>
    <row r="582" ht="15.75" customHeight="1" s="157"/>
    <row r="583" ht="15.75" customHeight="1" s="157"/>
    <row r="584" ht="15.75" customHeight="1" s="157"/>
    <row r="585" ht="15.75" customHeight="1" s="157"/>
    <row r="586" ht="15.75" customHeight="1" s="157"/>
    <row r="587" ht="15.75" customHeight="1" s="157"/>
    <row r="588" ht="15.75" customHeight="1" s="157"/>
    <row r="589" ht="15.75" customHeight="1" s="157"/>
    <row r="590" ht="15.75" customHeight="1" s="157"/>
    <row r="591" ht="15.75" customHeight="1" s="157"/>
    <row r="592" ht="15.75" customHeight="1" s="157"/>
    <row r="593" ht="15.75" customHeight="1" s="157"/>
    <row r="594" ht="15.75" customHeight="1" s="157"/>
    <row r="595" ht="15.75" customHeight="1" s="157"/>
    <row r="596" ht="15.75" customHeight="1" s="157"/>
    <row r="597" ht="15.75" customHeight="1" s="157"/>
    <row r="598" ht="15.75" customHeight="1" s="157"/>
    <row r="599" ht="15.75" customHeight="1" s="157"/>
    <row r="600" ht="15.75" customHeight="1" s="157"/>
    <row r="601" ht="15.75" customHeight="1" s="157"/>
    <row r="602" ht="15.75" customHeight="1" s="157"/>
    <row r="603" ht="15.75" customHeight="1" s="157"/>
    <row r="604" ht="15.75" customHeight="1" s="157"/>
    <row r="605" ht="15.75" customHeight="1" s="157"/>
    <row r="606" ht="15.75" customHeight="1" s="157"/>
    <row r="607" ht="15.75" customHeight="1" s="157"/>
    <row r="608" ht="15.75" customHeight="1" s="157"/>
    <row r="609" ht="15.75" customHeight="1" s="157"/>
    <row r="610" ht="15.75" customHeight="1" s="157"/>
    <row r="611" ht="15.75" customHeight="1" s="157"/>
    <row r="612" ht="15.75" customHeight="1" s="157"/>
    <row r="613" ht="15.75" customHeight="1" s="157"/>
    <row r="614" ht="15.75" customHeight="1" s="157"/>
    <row r="615" ht="15.75" customHeight="1" s="157"/>
    <row r="616" ht="15.75" customHeight="1" s="157"/>
    <row r="617" ht="15.75" customHeight="1" s="157"/>
    <row r="618" ht="15.75" customHeight="1" s="157"/>
    <row r="619" ht="15.75" customHeight="1" s="157"/>
    <row r="620" ht="15.75" customHeight="1" s="157"/>
    <row r="621" ht="15.75" customHeight="1" s="157"/>
    <row r="622" ht="15.75" customHeight="1" s="157"/>
    <row r="623" ht="15.75" customHeight="1" s="157"/>
    <row r="624" ht="15.75" customHeight="1" s="157"/>
    <row r="625" ht="15.75" customHeight="1" s="157"/>
    <row r="626" ht="15.75" customHeight="1" s="157"/>
    <row r="627" ht="15.75" customHeight="1" s="157"/>
    <row r="628" ht="15.75" customHeight="1" s="157"/>
    <row r="629" ht="15.75" customHeight="1" s="157"/>
    <row r="630" ht="15.75" customHeight="1" s="157"/>
    <row r="631" ht="15.75" customHeight="1" s="157"/>
    <row r="632" ht="15.75" customHeight="1" s="157"/>
    <row r="633" ht="15.75" customHeight="1" s="157"/>
    <row r="634" ht="15.75" customHeight="1" s="157"/>
    <row r="635" ht="15.75" customHeight="1" s="157"/>
    <row r="636" ht="15.75" customHeight="1" s="157"/>
    <row r="637" ht="15.75" customHeight="1" s="157"/>
    <row r="638" ht="15.75" customHeight="1" s="157"/>
    <row r="639" ht="15.75" customHeight="1" s="157"/>
    <row r="640" ht="15.75" customHeight="1" s="157"/>
    <row r="641" ht="15.75" customHeight="1" s="157"/>
    <row r="642" ht="15.75" customHeight="1" s="157"/>
    <row r="643" ht="15.75" customHeight="1" s="157"/>
    <row r="644" ht="15.75" customHeight="1" s="157"/>
    <row r="645" ht="15.75" customHeight="1" s="157"/>
    <row r="646" ht="15.75" customHeight="1" s="157"/>
    <row r="647" ht="15.75" customHeight="1" s="157"/>
    <row r="648" ht="15.75" customHeight="1" s="157"/>
    <row r="649" ht="15.75" customHeight="1" s="157"/>
    <row r="650" ht="15.75" customHeight="1" s="157"/>
    <row r="651" ht="15.75" customHeight="1" s="157"/>
    <row r="652" ht="15.75" customHeight="1" s="157"/>
    <row r="653" ht="15.75" customHeight="1" s="157"/>
    <row r="654" ht="15.75" customHeight="1" s="157"/>
    <row r="655" ht="15.75" customHeight="1" s="157"/>
    <row r="656" ht="15.75" customHeight="1" s="157"/>
    <row r="657" ht="15.75" customHeight="1" s="157"/>
    <row r="658" ht="15.75" customHeight="1" s="157"/>
    <row r="659" ht="15.75" customHeight="1" s="157"/>
    <row r="660" ht="15.75" customHeight="1" s="157"/>
    <row r="661" ht="15.75" customHeight="1" s="157"/>
    <row r="662" ht="15.75" customHeight="1" s="157"/>
    <row r="663" ht="15.75" customHeight="1" s="157"/>
    <row r="664" ht="15.75" customHeight="1" s="157"/>
    <row r="665" ht="15.75" customHeight="1" s="157"/>
    <row r="666" ht="15.75" customHeight="1" s="157"/>
    <row r="667" ht="15.75" customHeight="1" s="157"/>
    <row r="668" ht="15.75" customHeight="1" s="157"/>
    <row r="669" ht="15.75" customHeight="1" s="157"/>
    <row r="670" ht="15.75" customHeight="1" s="157"/>
    <row r="671" ht="15.75" customHeight="1" s="157"/>
    <row r="672" ht="15.75" customHeight="1" s="157"/>
    <row r="673" ht="15.75" customHeight="1" s="157"/>
    <row r="674" ht="15.75" customHeight="1" s="157"/>
    <row r="675" ht="15.75" customHeight="1" s="157"/>
    <row r="676" ht="15.75" customHeight="1" s="157"/>
    <row r="677" ht="15.75" customHeight="1" s="157"/>
    <row r="678" ht="15.75" customHeight="1" s="157"/>
    <row r="679" ht="15.75" customHeight="1" s="157"/>
    <row r="680" ht="15.75" customHeight="1" s="157"/>
    <row r="681" ht="15.75" customHeight="1" s="157"/>
    <row r="682" ht="15.75" customHeight="1" s="157"/>
    <row r="683" ht="15.75" customHeight="1" s="157"/>
    <row r="684" ht="15.75" customHeight="1" s="157"/>
    <row r="685" ht="15.75" customHeight="1" s="157"/>
    <row r="686" ht="15.75" customHeight="1" s="157"/>
    <row r="687" ht="15.75" customHeight="1" s="157"/>
    <row r="688" ht="15.75" customHeight="1" s="157"/>
    <row r="689" ht="15.75" customHeight="1" s="157"/>
    <row r="690" ht="15.75" customHeight="1" s="157"/>
    <row r="691" ht="15.75" customHeight="1" s="157"/>
    <row r="692" ht="15.75" customHeight="1" s="157"/>
    <row r="693" ht="15.75" customHeight="1" s="157"/>
    <row r="694" ht="15.75" customHeight="1" s="157"/>
    <row r="695" ht="15.75" customHeight="1" s="157"/>
    <row r="696" ht="15.75" customHeight="1" s="157"/>
    <row r="697" ht="15.75" customHeight="1" s="157"/>
    <row r="698" ht="15.75" customHeight="1" s="157"/>
    <row r="699" ht="15.75" customHeight="1" s="157"/>
    <row r="700" ht="15.75" customHeight="1" s="157"/>
    <row r="701" ht="15.75" customHeight="1" s="157"/>
    <row r="702" ht="15.75" customHeight="1" s="157"/>
    <row r="703" ht="15.75" customHeight="1" s="157"/>
    <row r="704" ht="15.75" customHeight="1" s="157"/>
    <row r="705" ht="15.75" customHeight="1" s="157"/>
    <row r="706" ht="15.75" customHeight="1" s="157"/>
    <row r="707" ht="15.75" customHeight="1" s="157"/>
    <row r="708" ht="15.75" customHeight="1" s="157"/>
    <row r="709" ht="15.75" customHeight="1" s="157"/>
    <row r="710" ht="15.75" customHeight="1" s="157"/>
    <row r="711" ht="15.75" customHeight="1" s="157"/>
    <row r="712" ht="15.75" customHeight="1" s="157"/>
    <row r="713" ht="15.75" customHeight="1" s="157"/>
    <row r="714" ht="15.75" customHeight="1" s="157"/>
    <row r="715" ht="15.75" customHeight="1" s="157"/>
    <row r="716" ht="15.75" customHeight="1" s="157"/>
    <row r="717" ht="15.75" customHeight="1" s="157"/>
    <row r="718" ht="15.75" customHeight="1" s="157"/>
    <row r="719" ht="15.75" customHeight="1" s="157"/>
    <row r="720" ht="15.75" customHeight="1" s="157"/>
    <row r="721" ht="15.75" customHeight="1" s="157"/>
    <row r="722" ht="15.75" customHeight="1" s="157"/>
    <row r="723" ht="15.75" customHeight="1" s="157"/>
    <row r="724" ht="15.75" customHeight="1" s="157"/>
    <row r="725" ht="15.75" customHeight="1" s="157"/>
    <row r="726" ht="15.75" customHeight="1" s="157"/>
    <row r="727" ht="15.75" customHeight="1" s="157"/>
    <row r="728" ht="15.75" customHeight="1" s="157"/>
    <row r="729" ht="15.75" customHeight="1" s="157"/>
    <row r="730" ht="15.75" customHeight="1" s="157"/>
    <row r="731" ht="15.75" customHeight="1" s="157"/>
    <row r="732" ht="15.75" customHeight="1" s="157"/>
    <row r="733" ht="15.75" customHeight="1" s="157"/>
    <row r="734" ht="15.75" customHeight="1" s="157"/>
    <row r="735" ht="15.75" customHeight="1" s="157"/>
    <row r="736" ht="15.75" customHeight="1" s="157"/>
    <row r="737" ht="15.75" customHeight="1" s="157"/>
    <row r="738" ht="15.75" customHeight="1" s="157"/>
    <row r="739" ht="15.75" customHeight="1" s="157"/>
    <row r="740" ht="15.75" customHeight="1" s="157"/>
    <row r="741" ht="15.75" customHeight="1" s="157"/>
    <row r="742" ht="15.75" customHeight="1" s="157"/>
    <row r="743" ht="15.75" customHeight="1" s="157"/>
    <row r="744" ht="15.75" customHeight="1" s="157"/>
    <row r="745" ht="15.75" customHeight="1" s="157"/>
    <row r="746" ht="15.75" customHeight="1" s="157"/>
    <row r="747" ht="15.75" customHeight="1" s="157"/>
    <row r="748" ht="15.75" customHeight="1" s="157"/>
    <row r="749" ht="15.75" customHeight="1" s="157"/>
    <row r="750" ht="15.75" customHeight="1" s="157"/>
    <row r="751" ht="15.75" customHeight="1" s="157"/>
    <row r="752" ht="15.75" customHeight="1" s="157"/>
    <row r="753" ht="15.75" customHeight="1" s="157"/>
    <row r="754" ht="15.75" customHeight="1" s="157"/>
    <row r="755" ht="15.75" customHeight="1" s="157"/>
    <row r="756" ht="15.75" customHeight="1" s="157"/>
    <row r="757" ht="15.75" customHeight="1" s="157"/>
    <row r="758" ht="15.75" customHeight="1" s="157"/>
    <row r="759" ht="15.75" customHeight="1" s="157"/>
    <row r="760" ht="15.75" customHeight="1" s="157"/>
    <row r="761" ht="15.75" customHeight="1" s="157"/>
    <row r="762" ht="15.75" customHeight="1" s="157"/>
    <row r="763" ht="15.75" customHeight="1" s="157"/>
    <row r="764" ht="15.75" customHeight="1" s="157"/>
    <row r="765" ht="15.75" customHeight="1" s="157"/>
    <row r="766" ht="15.75" customHeight="1" s="157"/>
    <row r="767" ht="15.75" customHeight="1" s="157"/>
    <row r="768" ht="15.75" customHeight="1" s="157"/>
    <row r="769" ht="15.75" customHeight="1" s="157"/>
    <row r="770" ht="15.75" customHeight="1" s="157"/>
    <row r="771" ht="15.75" customHeight="1" s="157"/>
    <row r="772" ht="15.75" customHeight="1" s="157"/>
    <row r="773" ht="15.75" customHeight="1" s="157"/>
    <row r="774" ht="15.75" customHeight="1" s="157"/>
    <row r="775" ht="15.75" customHeight="1" s="157"/>
    <row r="776" ht="15.75" customHeight="1" s="157"/>
    <row r="777" ht="15.75" customHeight="1" s="157"/>
    <row r="778" ht="15.75" customHeight="1" s="157"/>
    <row r="779" ht="15.75" customHeight="1" s="157"/>
    <row r="780" ht="15.75" customHeight="1" s="157"/>
    <row r="781" ht="15.75" customHeight="1" s="157"/>
    <row r="782" ht="15.75" customHeight="1" s="157"/>
    <row r="783" ht="15.75" customHeight="1" s="157"/>
    <row r="784" ht="15.75" customHeight="1" s="157"/>
    <row r="785" ht="15.75" customHeight="1" s="157"/>
    <row r="786" ht="15.75" customHeight="1" s="157"/>
    <row r="787" ht="15.75" customHeight="1" s="157"/>
    <row r="788" ht="15.75" customHeight="1" s="157"/>
    <row r="789" ht="15.75" customHeight="1" s="157"/>
    <row r="790" ht="15.75" customHeight="1" s="157"/>
    <row r="791" ht="15.75" customHeight="1" s="157"/>
    <row r="792" ht="15.75" customHeight="1" s="157"/>
    <row r="793" ht="15.75" customHeight="1" s="157"/>
    <row r="794" ht="15.75" customHeight="1" s="157"/>
    <row r="795" ht="15.75" customHeight="1" s="157"/>
    <row r="796" ht="15.75" customHeight="1" s="157"/>
    <row r="797" ht="15.75" customHeight="1" s="157"/>
    <row r="798" ht="15.75" customHeight="1" s="157"/>
    <row r="799" ht="15.75" customHeight="1" s="157"/>
    <row r="800" ht="15.75" customHeight="1" s="157"/>
    <row r="801" ht="15.75" customHeight="1" s="157"/>
    <row r="802" ht="15.75" customHeight="1" s="157"/>
    <row r="803" ht="15.75" customHeight="1" s="157"/>
    <row r="804" ht="15.75" customHeight="1" s="157"/>
    <row r="805" ht="15.75" customHeight="1" s="157"/>
    <row r="806" ht="15.75" customHeight="1" s="157"/>
    <row r="807" ht="15.75" customHeight="1" s="157"/>
    <row r="808" ht="15.75" customHeight="1" s="157"/>
    <row r="809" ht="15.75" customHeight="1" s="157"/>
    <row r="810" ht="15.75" customHeight="1" s="157"/>
    <row r="811" ht="15.75" customHeight="1" s="157"/>
    <row r="812" ht="15.75" customHeight="1" s="157"/>
    <row r="813" ht="15.75" customHeight="1" s="157"/>
    <row r="814" ht="15.75" customHeight="1" s="157"/>
    <row r="815" ht="15.75" customHeight="1" s="157"/>
    <row r="816" ht="15.75" customHeight="1" s="157"/>
    <row r="817" ht="15.75" customHeight="1" s="157"/>
    <row r="818" ht="15.75" customHeight="1" s="157"/>
    <row r="819" ht="15.75" customHeight="1" s="157"/>
    <row r="820" ht="15.75" customHeight="1" s="157"/>
    <row r="821" ht="15.75" customHeight="1" s="157"/>
    <row r="822" ht="15.75" customHeight="1" s="157"/>
    <row r="823" ht="15.75" customHeight="1" s="157"/>
    <row r="824" ht="15.75" customHeight="1" s="157"/>
    <row r="825" ht="15.75" customHeight="1" s="157"/>
    <row r="826" ht="15.75" customHeight="1" s="157"/>
    <row r="827" ht="15.75" customHeight="1" s="157"/>
    <row r="828" ht="15.75" customHeight="1" s="157"/>
    <row r="829" ht="15.75" customHeight="1" s="157"/>
    <row r="830" ht="15.75" customHeight="1" s="157"/>
    <row r="831" ht="15.75" customHeight="1" s="157"/>
    <row r="832" ht="15.75" customHeight="1" s="157"/>
    <row r="833" ht="15.75" customHeight="1" s="157"/>
    <row r="834" ht="15.75" customHeight="1" s="157"/>
    <row r="835" ht="15.75" customHeight="1" s="157"/>
    <row r="836" ht="15.75" customHeight="1" s="157"/>
    <row r="837" ht="15.75" customHeight="1" s="157"/>
    <row r="838" ht="15.75" customHeight="1" s="157"/>
    <row r="839" ht="15.75" customHeight="1" s="157"/>
    <row r="840" ht="15.75" customHeight="1" s="157"/>
    <row r="841" ht="15.75" customHeight="1" s="157"/>
    <row r="842" ht="15.75" customHeight="1" s="157"/>
    <row r="843" ht="15.75" customHeight="1" s="157"/>
    <row r="844" ht="15.75" customHeight="1" s="157"/>
    <row r="845" ht="15.75" customHeight="1" s="157"/>
    <row r="846" ht="15.75" customHeight="1" s="157"/>
    <row r="847" ht="15.75" customHeight="1" s="157"/>
    <row r="848" ht="15.75" customHeight="1" s="157"/>
    <row r="849" ht="15.75" customHeight="1" s="157"/>
    <row r="850" ht="15.75" customHeight="1" s="157"/>
    <row r="851" ht="15.75" customHeight="1" s="157"/>
    <row r="852" ht="15.75" customHeight="1" s="157"/>
    <row r="853" ht="15.75" customHeight="1" s="157"/>
    <row r="854" ht="15.75" customHeight="1" s="157"/>
    <row r="855" ht="15.75" customHeight="1" s="157"/>
    <row r="856" ht="15.75" customHeight="1" s="157"/>
    <row r="857" ht="15.75" customHeight="1" s="157"/>
    <row r="858" ht="15.75" customHeight="1" s="157"/>
    <row r="859" ht="15.75" customHeight="1" s="157"/>
    <row r="860" ht="15.75" customHeight="1" s="157"/>
    <row r="861" ht="15.75" customHeight="1" s="157"/>
    <row r="862" ht="15.75" customHeight="1" s="157"/>
    <row r="863" ht="15.75" customHeight="1" s="157"/>
    <row r="864" ht="15.75" customHeight="1" s="157"/>
    <row r="865" ht="15.75" customHeight="1" s="157"/>
    <row r="866" ht="15.75" customHeight="1" s="157"/>
    <row r="867" ht="15.75" customHeight="1" s="157"/>
    <row r="868" ht="15.75" customHeight="1" s="157"/>
    <row r="869" ht="15.75" customHeight="1" s="157"/>
    <row r="870" ht="15.75" customHeight="1" s="157"/>
    <row r="871" ht="15.75" customHeight="1" s="157"/>
    <row r="872" ht="15.75" customHeight="1" s="157"/>
    <row r="873" ht="15.75" customHeight="1" s="157"/>
    <row r="874" ht="15.75" customHeight="1" s="157"/>
    <row r="875" ht="15.75" customHeight="1" s="157"/>
    <row r="876" ht="15.75" customHeight="1" s="157"/>
    <row r="877" ht="15.75" customHeight="1" s="157"/>
    <row r="878" ht="15.75" customHeight="1" s="157"/>
    <row r="879" ht="15.75" customHeight="1" s="157"/>
    <row r="880" ht="15.75" customHeight="1" s="157"/>
    <row r="881" ht="15.75" customHeight="1" s="157"/>
    <row r="882" ht="15.75" customHeight="1" s="157"/>
    <row r="883" ht="15.75" customHeight="1" s="157"/>
    <row r="884" ht="15.75" customHeight="1" s="157"/>
    <row r="885" ht="15.75" customHeight="1" s="157"/>
    <row r="886" ht="15.75" customHeight="1" s="157"/>
    <row r="887" ht="15.75" customHeight="1" s="157"/>
    <row r="888" ht="15.75" customHeight="1" s="157"/>
    <row r="889" ht="15.75" customHeight="1" s="157"/>
    <row r="890" ht="15.75" customHeight="1" s="157"/>
    <row r="891" ht="15.75" customHeight="1" s="157"/>
    <row r="892" ht="15.75" customHeight="1" s="157"/>
    <row r="893" ht="15.75" customHeight="1" s="157"/>
    <row r="894" ht="15.75" customHeight="1" s="157"/>
    <row r="895" ht="15.75" customHeight="1" s="157"/>
    <row r="896" ht="15.75" customHeight="1" s="157"/>
    <row r="897" ht="15.75" customHeight="1" s="157"/>
    <row r="898" ht="15.75" customHeight="1" s="157"/>
    <row r="899" ht="15.75" customHeight="1" s="157"/>
    <row r="900" ht="15.75" customHeight="1" s="157"/>
    <row r="901" ht="15.75" customHeight="1" s="157"/>
    <row r="902" ht="15.75" customHeight="1" s="157"/>
    <row r="903" ht="15.75" customHeight="1" s="157"/>
    <row r="904" ht="15.75" customHeight="1" s="157"/>
    <row r="905" ht="15.75" customHeight="1" s="157"/>
    <row r="906" ht="15.75" customHeight="1" s="157"/>
    <row r="907" ht="15.75" customHeight="1" s="157"/>
    <row r="908" ht="15.75" customHeight="1" s="157"/>
    <row r="909" ht="15.75" customHeight="1" s="157"/>
    <row r="910" ht="15.75" customHeight="1" s="157"/>
    <row r="911" ht="15.75" customHeight="1" s="157"/>
    <row r="912" ht="15.75" customHeight="1" s="157"/>
    <row r="913" ht="15.75" customHeight="1" s="157"/>
    <row r="914" ht="15.75" customHeight="1" s="157"/>
    <row r="915" ht="15.75" customHeight="1" s="157"/>
    <row r="916" ht="15.75" customHeight="1" s="157"/>
    <row r="917" ht="15.75" customHeight="1" s="157"/>
    <row r="918" ht="15.75" customHeight="1" s="157"/>
    <row r="919" ht="15.75" customHeight="1" s="157"/>
    <row r="920" ht="15.75" customHeight="1" s="157"/>
    <row r="921" ht="15.75" customHeight="1" s="157"/>
    <row r="922" ht="15.75" customHeight="1" s="157"/>
    <row r="923" ht="15.75" customHeight="1" s="157"/>
    <row r="924" ht="15.75" customHeight="1" s="157"/>
    <row r="925" ht="15.75" customHeight="1" s="157"/>
    <row r="926" ht="15.75" customHeight="1" s="157"/>
    <row r="927" ht="15.75" customHeight="1" s="157"/>
    <row r="928" ht="15.75" customHeight="1" s="157"/>
    <row r="929" ht="15.75" customHeight="1" s="157"/>
    <row r="930" ht="15.75" customHeight="1" s="157"/>
    <row r="931" ht="15.75" customHeight="1" s="157"/>
    <row r="932" ht="15.75" customHeight="1" s="157"/>
    <row r="933" ht="15.75" customHeight="1" s="157"/>
    <row r="934" ht="15.75" customHeight="1" s="157"/>
    <row r="935" ht="15.75" customHeight="1" s="157"/>
    <row r="936" ht="15.75" customHeight="1" s="157"/>
    <row r="937" ht="15.75" customHeight="1" s="157"/>
    <row r="938" ht="15.75" customHeight="1" s="157"/>
    <row r="939" ht="15.75" customHeight="1" s="157"/>
    <row r="940" ht="15.75" customHeight="1" s="157"/>
    <row r="941" ht="15.75" customHeight="1" s="157"/>
    <row r="942" ht="15.75" customHeight="1" s="157"/>
    <row r="943" ht="15.75" customHeight="1" s="157"/>
    <row r="944" ht="15.75" customHeight="1" s="157"/>
    <row r="945" ht="15.75" customHeight="1" s="157"/>
    <row r="946" ht="15.75" customHeight="1" s="157"/>
    <row r="947" ht="15.75" customHeight="1" s="157"/>
    <row r="948" ht="15.75" customHeight="1" s="157"/>
    <row r="949" ht="15.75" customHeight="1" s="157"/>
    <row r="950" ht="15.75" customHeight="1" s="157"/>
    <row r="951" ht="15.75" customHeight="1" s="157"/>
    <row r="952" ht="15.75" customHeight="1" s="157"/>
    <row r="953" ht="15.75" customHeight="1" s="157"/>
    <row r="954" ht="15.75" customHeight="1" s="157"/>
    <row r="955" ht="15.75" customHeight="1" s="157"/>
    <row r="956" ht="15.75" customHeight="1" s="157"/>
    <row r="957" ht="15.75" customHeight="1" s="157"/>
    <row r="958" ht="15.75" customHeight="1" s="157"/>
    <row r="959" ht="15.75" customHeight="1" s="157"/>
    <row r="960" ht="15.75" customHeight="1" s="157"/>
    <row r="961" ht="15.75" customHeight="1" s="157"/>
    <row r="962" ht="15.75" customHeight="1" s="157"/>
    <row r="963" ht="15.75" customHeight="1" s="157"/>
    <row r="964" ht="15.75" customHeight="1" s="157"/>
    <row r="965" ht="15.75" customHeight="1" s="157"/>
    <row r="966" ht="15.75" customHeight="1" s="157"/>
    <row r="967" ht="15.75" customHeight="1" s="157"/>
    <row r="968" ht="15.75" customHeight="1" s="157"/>
    <row r="969" ht="15.75" customHeight="1" s="157"/>
    <row r="970" ht="15.75" customHeight="1" s="157"/>
    <row r="971" ht="15.75" customHeight="1" s="157"/>
    <row r="972" ht="15.75" customHeight="1" s="157"/>
    <row r="973" ht="15.75" customHeight="1" s="157"/>
    <row r="974" ht="15.75" customHeight="1" s="157"/>
    <row r="975" ht="15.75" customHeight="1" s="157"/>
    <row r="976" ht="15.75" customHeight="1" s="157"/>
    <row r="977" ht="15.75" customHeight="1" s="157"/>
    <row r="978" ht="15.75" customHeight="1" s="157"/>
    <row r="979" ht="15.75" customHeight="1" s="157"/>
    <row r="980" ht="15.75" customHeight="1" s="157"/>
    <row r="981" ht="15.75" customHeight="1" s="157"/>
    <row r="982" ht="15.75" customHeight="1" s="157"/>
    <row r="983" ht="15.75" customHeight="1" s="157"/>
    <row r="984" ht="15.75" customHeight="1" s="157"/>
    <row r="985" ht="15.75" customHeight="1" s="157"/>
    <row r="986" ht="15.75" customHeight="1" s="157"/>
    <row r="987" ht="15.75" customHeight="1" s="157"/>
    <row r="988" ht="15.75" customHeight="1" s="157"/>
    <row r="989" ht="15.75" customHeight="1" s="157"/>
    <row r="990" ht="15.75" customHeight="1" s="157"/>
    <row r="991" ht="15.75" customHeight="1" s="157"/>
    <row r="992" ht="15.75" customHeight="1" s="157"/>
    <row r="993" ht="15.75" customHeight="1" s="157"/>
    <row r="994" ht="15.75" customHeight="1" s="157"/>
    <row r="995" ht="15.75" customHeight="1" s="157"/>
    <row r="996" ht="15.75" customHeight="1" s="157"/>
    <row r="997" ht="15.75" customHeight="1" s="157"/>
    <row r="998" ht="15.75" customHeight="1" s="157"/>
    <row r="999" ht="15.75" customHeight="1" s="157"/>
    <row r="1000" ht="15.75" customHeight="1" s="157"/>
  </sheetData>
  <pageMargins left="0.7" right="0.7" top="0.75" bottom="0.75" header="0" footer="0"/>
  <pageSetup orientation="landscape"/>
</worksheet>
</file>

<file path=xl/worksheets/sheet9.xml><?xml version="1.0" encoding="utf-8"?>
<worksheet xmlns="http://schemas.openxmlformats.org/spreadsheetml/2006/main">
  <sheetPr>
    <outlinePr summaryBelow="1" summaryRight="1"/>
    <pageSetUpPr/>
  </sheetPr>
  <dimension ref="A1:Z18"/>
  <sheetViews>
    <sheetView workbookViewId="0">
      <selection activeCell="A1" sqref="A1"/>
    </sheetView>
  </sheetViews>
  <sheetFormatPr baseColWidth="8" defaultColWidth="14.453125" defaultRowHeight="15" customHeight="1"/>
  <cols>
    <col width="100.1796875" customWidth="1" style="157" min="1" max="1"/>
    <col width="75" customWidth="1" style="157" min="2" max="2"/>
    <col width="159.54296875" customWidth="1" style="157" min="3" max="3"/>
    <col width="75" customWidth="1" style="157" min="4" max="5"/>
    <col width="11.453125" customWidth="1" style="157" min="6" max="25"/>
  </cols>
  <sheetData>
    <row r="1" ht="14.5" customHeight="1" s="157">
      <c r="A1" s="99">
        <f>CONCATENATE("Servicios_",'FORMATO 2'!$F$20,"")</f>
        <v/>
      </c>
    </row>
    <row r="3" ht="14.5" customHeight="1" s="157">
      <c r="A3" s="108" t="inlineStr">
        <is>
          <t>Servicios_Biomasa</t>
        </is>
      </c>
      <c r="B3" s="108" t="inlineStr">
        <is>
          <t>Servicios_Eólica</t>
        </is>
      </c>
      <c r="C3" s="108" t="inlineStr">
        <is>
          <t>Servicios_Geotérmica</t>
        </is>
      </c>
      <c r="D3" s="108" t="inlineStr">
        <is>
          <t>Servicios_PCH</t>
        </is>
      </c>
      <c r="E3" s="108" t="inlineStr">
        <is>
          <t>Servicios_Solar</t>
        </is>
      </c>
      <c r="F3" s="108" t="n"/>
      <c r="G3" s="108" t="n"/>
      <c r="H3" s="108" t="n"/>
      <c r="I3" s="108" t="n"/>
      <c r="J3" s="108" t="n"/>
      <c r="K3" s="108" t="n"/>
      <c r="L3" s="108" t="n"/>
      <c r="M3" s="108" t="n"/>
      <c r="N3" s="108" t="n"/>
      <c r="O3" s="108" t="n"/>
      <c r="P3" s="108" t="n"/>
      <c r="Q3" s="108" t="n"/>
      <c r="R3" s="108" t="n"/>
      <c r="S3" s="108" t="n"/>
      <c r="T3" s="108" t="n"/>
      <c r="U3" s="108" t="n"/>
      <c r="V3" s="108" t="n"/>
      <c r="W3" s="108" t="n"/>
      <c r="X3" s="108" t="n"/>
      <c r="Y3" s="108" t="n"/>
      <c r="Z3" s="108" t="n"/>
    </row>
    <row r="4" ht="14.5" customHeight="1" s="157">
      <c r="A4" s="99" t="inlineStr">
        <is>
          <t>Estudios de valoración de potencial para uso energético de la biomasa</t>
        </is>
      </c>
      <c r="B4" s="99" t="inlineStr">
        <is>
          <t>Estudios de valoración de potencial del recurso eólico.</t>
        </is>
      </c>
      <c r="C4" s="99" t="inlineStr">
        <is>
          <t>Alquiler equipos y plataformas de perforación para exploración geotérmica y pruebas de producción de pozos geotérmicos</t>
        </is>
      </c>
      <c r="D4" s="99" t="inlineStr">
        <is>
          <t>Estudios de valoración de potencial hidráulico</t>
        </is>
      </c>
      <c r="E4" s="99" t="inlineStr">
        <is>
          <t>Estudios de valoración de potencial del recurso solar</t>
        </is>
      </c>
    </row>
    <row r="5" ht="14.5" customHeight="1" s="157">
      <c r="A5" s="99" t="inlineStr">
        <is>
          <t>Estudios ambientales</t>
        </is>
      </c>
      <c r="B5" s="99" t="inlineStr">
        <is>
          <t>Estudios ambientales</t>
        </is>
      </c>
      <c r="C5" s="99" t="inlineStr">
        <is>
          <t>Toma de fotografías aéreas; imágenes de satélite; etc para elaboración de cartografía</t>
        </is>
      </c>
      <c r="D5" s="99" t="inlineStr">
        <is>
          <t>Estudios ambientales</t>
        </is>
      </c>
      <c r="E5" s="99" t="inlineStr">
        <is>
          <t>Estudios ambientales</t>
        </is>
      </c>
    </row>
    <row r="6" ht="14.5" customHeight="1" s="157">
      <c r="A6" s="99" t="inlineStr">
        <is>
          <t>Estudios de conexión.</t>
        </is>
      </c>
      <c r="B6" s="99" t="inlineStr">
        <is>
          <t>Estudios de conexión</t>
        </is>
      </c>
      <c r="C6" s="99" t="inlineStr">
        <is>
          <t>Estudios de valoración de potencial del recurso geotérmico</t>
        </is>
      </c>
      <c r="D6" s="99" t="inlineStr">
        <is>
          <t>Estudios de conexión</t>
        </is>
      </c>
      <c r="E6" s="99" t="inlineStr">
        <is>
          <t>Estudios de conexión</t>
        </is>
      </c>
    </row>
    <row r="7" ht="14.5" customHeight="1" s="157">
      <c r="A7" s="99" t="inlineStr">
        <is>
          <t>Asesoría y consultoría técnica</t>
        </is>
      </c>
      <c r="B7" s="99" t="inlineStr">
        <is>
          <t>Asesoría y consultoría técnica</t>
        </is>
      </c>
      <c r="C7" s="99" t="inlineStr">
        <is>
          <t>Estudios ambientales</t>
        </is>
      </c>
      <c r="D7" s="99" t="inlineStr">
        <is>
          <t>Asesoría y consultoría técnica</t>
        </is>
      </c>
      <c r="E7" s="99" t="inlineStr">
        <is>
          <t>Estudios estructurales</t>
        </is>
      </c>
    </row>
    <row r="8" ht="14.5" customHeight="1" s="157">
      <c r="A8" s="99" t="inlineStr">
        <is>
          <t>Diseño e Ingeniería del sistema</t>
        </is>
      </c>
      <c r="B8" s="99" t="inlineStr">
        <is>
          <t>Diseño e Ingeniería del sistema</t>
        </is>
      </c>
      <c r="C8" s="99" t="inlineStr">
        <is>
          <t>Estudios de gradiente térmico</t>
        </is>
      </c>
      <c r="D8" s="99" t="inlineStr">
        <is>
          <t>Diseño e Ingeniería del sistema</t>
        </is>
      </c>
      <c r="E8" s="99" t="inlineStr">
        <is>
          <t>Asesoría y consultoría técnica</t>
        </is>
      </c>
    </row>
    <row r="9" ht="14.5" customHeight="1" s="157">
      <c r="A9" s="99" t="inlineStr">
        <is>
          <t>Transporte asociado al traslado de componentes al sitio de instalación</t>
        </is>
      </c>
      <c r="B9" s="99" t="inlineStr">
        <is>
          <t>Transporte asociado al traslado de componentes al sitio de instalación</t>
        </is>
      </c>
      <c r="C9" s="99" t="inlineStr">
        <is>
          <t>Estudios de conexión.</t>
        </is>
      </c>
      <c r="D9" s="99" t="inlineStr">
        <is>
          <t>Transporte asociado al traslado de componentes al sitio de instalación</t>
        </is>
      </c>
      <c r="E9" s="99" t="inlineStr">
        <is>
          <t>Diseño e ingeniería del sistema</t>
        </is>
      </c>
    </row>
    <row r="10" ht="14.5" customHeight="1" s="157">
      <c r="A10" s="99" t="inlineStr">
        <is>
          <t xml:space="preserve">Instalación, montaje y puesta en operación del sistema. </t>
        </is>
      </c>
      <c r="B10" s="99" t="inlineStr">
        <is>
          <t xml:space="preserve">Instalación, montaje y puesta en operación del sistema. </t>
        </is>
      </c>
      <c r="C10" s="99" t="inlineStr">
        <is>
          <t>Geología / exploración. Recolección de muestras de roca y ensayos de laboratorio</t>
        </is>
      </c>
      <c r="D10" s="99" t="inlineStr">
        <is>
          <t xml:space="preserve">Instalación, montaje y puesta en operación del sistema. </t>
        </is>
      </c>
      <c r="E10" s="99" t="inlineStr">
        <is>
          <t>Transporte asociado al traslado de componentes al sitio de instalación</t>
        </is>
      </c>
    </row>
    <row r="11" ht="14.5" customHeight="1" s="157">
      <c r="A11" s="99" t="inlineStr">
        <is>
          <t>Construcción de obras civiles y estructurales para el montaje del sistema.</t>
        </is>
      </c>
      <c r="B11" s="99" t="inlineStr">
        <is>
          <t>Construcción de obras civiles y estructurales para el montaje del sistema.</t>
        </is>
      </c>
      <c r="C11" s="99" t="inlineStr">
        <is>
          <t>Geoquímica / exploración. Recolección de muestras de líquidos y gases y ensayos de laboratorio para análisis de composición química; análisis de isótopos.</t>
        </is>
      </c>
      <c r="D11" s="99" t="inlineStr">
        <is>
          <t>Construcción de obras civiles y estructurales para el montaje del sistema.</t>
        </is>
      </c>
      <c r="E11" s="99" t="inlineStr">
        <is>
          <t xml:space="preserve">Instalación, montaje y puesta en operación del sistema. </t>
        </is>
      </c>
    </row>
    <row r="12" ht="14.5" customHeight="1" s="157">
      <c r="A12" s="99" t="inlineStr">
        <is>
          <t xml:space="preserve">Preparación / adaptación del terreno para instalación del sistema </t>
        </is>
      </c>
      <c r="B12" s="99" t="inlineStr">
        <is>
          <t>Obras civiles y estructurales para efectos de medición del recurso eólico</t>
        </is>
      </c>
      <c r="C12" s="99" t="inlineStr">
        <is>
          <t>Geofísica / exploración. Muestreo; procesamiento y análisis de gravimetría; magnetometría; magnetotelúrica y microsismos)</t>
        </is>
      </c>
      <c r="D12" s="99" t="inlineStr">
        <is>
          <t xml:space="preserve">Preparación / adaptación del terreno para instalación del sistema </t>
        </is>
      </c>
      <c r="E12" s="99" t="inlineStr">
        <is>
          <t>Construcción de obras civiles y estructurales para el montaje del sistema.</t>
        </is>
      </c>
    </row>
    <row r="13" ht="14.5" customHeight="1" s="157">
      <c r="A13" s="99" t="inlineStr">
        <is>
          <t>Construcción de digestores; post-digestores y tanques de almacenamiento para proyectos de uso energético de la biomasa</t>
        </is>
      </c>
      <c r="B13" s="99" t="inlineStr">
        <is>
          <t xml:space="preserve">Preparación / adaptación del terreno para instalación del sistema </t>
        </is>
      </c>
      <c r="C13" s="99" t="inlineStr">
        <is>
          <t>Asesoría y consultoría técnica</t>
        </is>
      </c>
      <c r="E13" s="99" t="inlineStr">
        <is>
          <t xml:space="preserve">Preparación / adaptación del terreno para instalación del sistema </t>
        </is>
      </c>
    </row>
    <row r="14" ht="14.5" customHeight="1" s="157">
      <c r="A14" s="99" t="inlineStr">
        <is>
          <t>Construcción de lagunas para proyectos de uso energético de la biomasa</t>
        </is>
      </c>
      <c r="C14" s="99" t="inlineStr">
        <is>
          <t>Diseño e Ingeniería del sistema (Incluyendo software especializado)</t>
        </is>
      </c>
      <c r="E14" s="99" t="inlineStr">
        <is>
          <t>Certificación RETIE</t>
        </is>
      </c>
    </row>
    <row r="15" ht="14.5" customHeight="1" s="157">
      <c r="A15" s="99" t="inlineStr">
        <is>
          <t>Construcción de instalaciones de recibo y acopio de biomasa para ser usada con fines energéticos</t>
        </is>
      </c>
      <c r="C15" s="99" t="inlineStr">
        <is>
          <t xml:space="preserve">Instalación, montaje y puesta en operación del sistema. </t>
        </is>
      </c>
    </row>
    <row r="16" ht="14.5" customHeight="1" s="157">
      <c r="C16" s="99" t="inlineStr">
        <is>
          <t>Construcción de obras civiles y estructurales para el montaje del sistema.</t>
        </is>
      </c>
    </row>
    <row r="17" ht="14.5" customHeight="1" s="157">
      <c r="C17" s="99" t="inlineStr">
        <is>
          <t xml:space="preserve">Preparación / adaptación del terreno para instalación del sistema </t>
        </is>
      </c>
    </row>
    <row r="18" ht="14.5" customHeight="1" s="157">
      <c r="C18" s="99" t="inlineStr">
        <is>
          <t>Transporte asociado al traslado de componentes al sitio de instalación</t>
        </is>
      </c>
    </row>
    <row r="21" ht="15.75" customHeight="1" s="157"/>
    <row r="22" ht="15.75" customHeight="1" s="157"/>
    <row r="23" ht="15.75" customHeight="1" s="157"/>
    <row r="24" ht="15.75" customHeight="1" s="157"/>
    <row r="25" ht="15.75" customHeight="1" s="157"/>
    <row r="26" ht="15.75" customHeight="1" s="157"/>
    <row r="27" ht="15.75" customHeight="1" s="157"/>
    <row r="28" ht="15.75" customHeight="1" s="157"/>
    <row r="29" ht="15.75" customHeight="1" s="157"/>
    <row r="30" ht="15.75" customHeight="1" s="157"/>
    <row r="31" ht="15.75" customHeight="1" s="157"/>
    <row r="32" ht="15.75" customHeight="1" s="157"/>
    <row r="33" ht="15.75" customHeight="1" s="157"/>
    <row r="34" ht="15.75" customHeight="1" s="157"/>
    <row r="35" ht="15.75" customHeight="1" s="157"/>
    <row r="36" ht="15.75" customHeight="1" s="157"/>
    <row r="37" ht="15.75" customHeight="1" s="157"/>
    <row r="38" ht="15.75" customHeight="1" s="157"/>
    <row r="39" ht="15.75" customHeight="1" s="157"/>
    <row r="40" ht="15.75" customHeight="1" s="157"/>
    <row r="41" ht="15.75" customHeight="1" s="157"/>
    <row r="42" ht="15.75" customHeight="1" s="157"/>
    <row r="43" ht="15.75" customHeight="1" s="157"/>
    <row r="44" ht="15.75" customHeight="1" s="157"/>
    <row r="45" ht="15.75" customHeight="1" s="157"/>
    <row r="46" ht="15.75" customHeight="1" s="157"/>
    <row r="47" ht="15.75" customHeight="1" s="157"/>
    <row r="48" ht="15.75" customHeight="1" s="157"/>
    <row r="49" ht="15.75" customHeight="1" s="157"/>
    <row r="50" ht="15.75" customHeight="1" s="157"/>
    <row r="51" ht="15.75" customHeight="1" s="157"/>
    <row r="52" ht="15.75" customHeight="1" s="157"/>
    <row r="53" ht="15.75" customHeight="1" s="157"/>
    <row r="54" ht="15.75" customHeight="1" s="157"/>
    <row r="55" ht="15.75" customHeight="1" s="157"/>
    <row r="56" ht="15.75" customHeight="1" s="157"/>
    <row r="57" ht="15.75" customHeight="1" s="157"/>
    <row r="58" ht="15.75" customHeight="1" s="157"/>
    <row r="59" ht="15.75" customHeight="1" s="157"/>
    <row r="60" ht="15.75" customHeight="1" s="157"/>
    <row r="61" ht="15.75" customHeight="1" s="157"/>
    <row r="62" ht="15.75" customHeight="1" s="157"/>
    <row r="63" ht="15.75" customHeight="1" s="157"/>
    <row r="64" ht="15.75" customHeight="1" s="157"/>
    <row r="65" ht="15.75" customHeight="1" s="157"/>
    <row r="66" ht="15.75" customHeight="1" s="157"/>
    <row r="67" ht="15.75" customHeight="1" s="157"/>
    <row r="68" ht="15.75" customHeight="1" s="157"/>
    <row r="69" ht="15.75" customHeight="1" s="157"/>
    <row r="70" ht="15.75" customHeight="1" s="157"/>
    <row r="71" ht="15.75" customHeight="1" s="157"/>
    <row r="72" ht="15.75" customHeight="1" s="157"/>
    <row r="73" ht="15.75" customHeight="1" s="157"/>
    <row r="74" ht="15.75" customHeight="1" s="157"/>
    <row r="75" ht="15.75" customHeight="1" s="157"/>
    <row r="76" ht="15.75" customHeight="1" s="157"/>
    <row r="77" ht="15.75" customHeight="1" s="157"/>
    <row r="78" ht="15.75" customHeight="1" s="157"/>
    <row r="79" ht="15.75" customHeight="1" s="157"/>
    <row r="80" ht="15.75" customHeight="1" s="157"/>
    <row r="81" ht="15.75" customHeight="1" s="157"/>
    <row r="82" ht="15.75" customHeight="1" s="157"/>
    <row r="83" ht="15.75" customHeight="1" s="157"/>
    <row r="84" ht="15.75" customHeight="1" s="157"/>
    <row r="85" ht="15.75" customHeight="1" s="157"/>
    <row r="86" ht="15.75" customHeight="1" s="157"/>
    <row r="87" ht="15.75" customHeight="1" s="157"/>
    <row r="88" ht="15.75" customHeight="1" s="157"/>
    <row r="89" ht="15.75" customHeight="1" s="157"/>
    <row r="90" ht="15.75" customHeight="1" s="157"/>
    <row r="91" ht="15.75" customHeight="1" s="157"/>
    <row r="92" ht="15.75" customHeight="1" s="157"/>
    <row r="93" ht="15.75" customHeight="1" s="157"/>
    <row r="94" ht="15.75" customHeight="1" s="157"/>
    <row r="95" ht="15.75" customHeight="1" s="157"/>
    <row r="96" ht="15.75" customHeight="1" s="157"/>
    <row r="97" ht="15.75" customHeight="1" s="157"/>
    <row r="98" ht="15.75" customHeight="1" s="157"/>
    <row r="99" ht="15.75" customHeight="1" s="157"/>
    <row r="100" ht="15.75" customHeight="1" s="157"/>
    <row r="101" ht="15.75" customHeight="1" s="157"/>
    <row r="102" ht="15.75" customHeight="1" s="157"/>
    <row r="103" ht="15.75" customHeight="1" s="157"/>
    <row r="104" ht="15.75" customHeight="1" s="157"/>
    <row r="105" ht="15.75" customHeight="1" s="157"/>
    <row r="106" ht="15.75" customHeight="1" s="157"/>
    <row r="107" ht="15.75" customHeight="1" s="157"/>
    <row r="108" ht="15.75" customHeight="1" s="157"/>
    <row r="109" ht="15.75" customHeight="1" s="157"/>
    <row r="110" ht="15.75" customHeight="1" s="157"/>
    <row r="111" ht="15.75" customHeight="1" s="157"/>
    <row r="112" ht="15.75" customHeight="1" s="157"/>
    <row r="113" ht="15.75" customHeight="1" s="157"/>
    <row r="114" ht="15.75" customHeight="1" s="157"/>
    <row r="115" ht="15.75" customHeight="1" s="157"/>
    <row r="116" ht="15.75" customHeight="1" s="157"/>
    <row r="117" ht="15.75" customHeight="1" s="157"/>
    <row r="118" ht="15.75" customHeight="1" s="157"/>
    <row r="119" ht="15.75" customHeight="1" s="157"/>
    <row r="120" ht="15.75" customHeight="1" s="157"/>
    <row r="121" ht="15.75" customHeight="1" s="157"/>
    <row r="122" ht="15.75" customHeight="1" s="157"/>
    <row r="123" ht="15.75" customHeight="1" s="157"/>
    <row r="124" ht="15.75" customHeight="1" s="157"/>
    <row r="125" ht="15.75" customHeight="1" s="157"/>
    <row r="126" ht="15.75" customHeight="1" s="157"/>
    <row r="127" ht="15.75" customHeight="1" s="157"/>
    <row r="128" ht="15.75" customHeight="1" s="157"/>
    <row r="129" ht="15.75" customHeight="1" s="157"/>
    <row r="130" ht="15.75" customHeight="1" s="157"/>
    <row r="131" ht="15.75" customHeight="1" s="157"/>
    <row r="132" ht="15.75" customHeight="1" s="157"/>
    <row r="133" ht="15.75" customHeight="1" s="157"/>
    <row r="134" ht="15.75" customHeight="1" s="157"/>
    <row r="135" ht="15.75" customHeight="1" s="157"/>
    <row r="136" ht="15.75" customHeight="1" s="157"/>
    <row r="137" ht="15.75" customHeight="1" s="157"/>
    <row r="138" ht="15.75" customHeight="1" s="157"/>
    <row r="139" ht="15.75" customHeight="1" s="157"/>
    <row r="140" ht="15.75" customHeight="1" s="157"/>
    <row r="141" ht="15.75" customHeight="1" s="157"/>
    <row r="142" ht="15.75" customHeight="1" s="157"/>
    <row r="143" ht="15.75" customHeight="1" s="157"/>
    <row r="144" ht="15.75" customHeight="1" s="157"/>
    <row r="145" ht="15.75" customHeight="1" s="157"/>
    <row r="146" ht="15.75" customHeight="1" s="157"/>
    <row r="147" ht="15.75" customHeight="1" s="157"/>
    <row r="148" ht="15.75" customHeight="1" s="157"/>
    <row r="149" ht="15.75" customHeight="1" s="157"/>
    <row r="150" ht="15.75" customHeight="1" s="157"/>
    <row r="151" ht="15.75" customHeight="1" s="157"/>
    <row r="152" ht="15.75" customHeight="1" s="157"/>
    <row r="153" ht="15.75" customHeight="1" s="157"/>
    <row r="154" ht="15.75" customHeight="1" s="157"/>
    <row r="155" ht="15.75" customHeight="1" s="157"/>
    <row r="156" ht="15.75" customHeight="1" s="157"/>
    <row r="157" ht="15.75" customHeight="1" s="157"/>
    <row r="158" ht="15.75" customHeight="1" s="157"/>
    <row r="159" ht="15.75" customHeight="1" s="157"/>
    <row r="160" ht="15.75" customHeight="1" s="157"/>
    <row r="161" ht="15.75" customHeight="1" s="157"/>
    <row r="162" ht="15.75" customHeight="1" s="157"/>
    <row r="163" ht="15.75" customHeight="1" s="157"/>
    <row r="164" ht="15.75" customHeight="1" s="157"/>
    <row r="165" ht="15.75" customHeight="1" s="157"/>
    <row r="166" ht="15.75" customHeight="1" s="157"/>
    <row r="167" ht="15.75" customHeight="1" s="157"/>
    <row r="168" ht="15.75" customHeight="1" s="157"/>
    <row r="169" ht="15.75" customHeight="1" s="157"/>
    <row r="170" ht="15.75" customHeight="1" s="157"/>
    <row r="171" ht="15.75" customHeight="1" s="157"/>
    <row r="172" ht="15.75" customHeight="1" s="157"/>
    <row r="173" ht="15.75" customHeight="1" s="157"/>
    <row r="174" ht="15.75" customHeight="1" s="157"/>
    <row r="175" ht="15.75" customHeight="1" s="157"/>
    <row r="176" ht="15.75" customHeight="1" s="157"/>
    <row r="177" ht="15.75" customHeight="1" s="157"/>
    <row r="178" ht="15.75" customHeight="1" s="157"/>
    <row r="179" ht="15.75" customHeight="1" s="157"/>
    <row r="180" ht="15.75" customHeight="1" s="157"/>
    <row r="181" ht="15.75" customHeight="1" s="157"/>
    <row r="182" ht="15.75" customHeight="1" s="157"/>
    <row r="183" ht="15.75" customHeight="1" s="157"/>
    <row r="184" ht="15.75" customHeight="1" s="157"/>
    <row r="185" ht="15.75" customHeight="1" s="157"/>
    <row r="186" ht="15.75" customHeight="1" s="157"/>
    <row r="187" ht="15.75" customHeight="1" s="157"/>
    <row r="188" ht="15.75" customHeight="1" s="157"/>
    <row r="189" ht="15.75" customHeight="1" s="157"/>
    <row r="190" ht="15.75" customHeight="1" s="157"/>
    <row r="191" ht="15.75" customHeight="1" s="157"/>
    <row r="192" ht="15.75" customHeight="1" s="157"/>
    <row r="193" ht="15.75" customHeight="1" s="157"/>
    <row r="194" ht="15.75" customHeight="1" s="157"/>
    <row r="195" ht="15.75" customHeight="1" s="157"/>
    <row r="196" ht="15.75" customHeight="1" s="157"/>
    <row r="197" ht="15.75" customHeight="1" s="157"/>
    <row r="198" ht="15.75" customHeight="1" s="157"/>
    <row r="199" ht="15.75" customHeight="1" s="157"/>
    <row r="200" ht="15.75" customHeight="1" s="157"/>
    <row r="201" ht="15.75" customHeight="1" s="157"/>
    <row r="202" ht="15.75" customHeight="1" s="157"/>
    <row r="203" ht="15.75" customHeight="1" s="157"/>
    <row r="204" ht="15.75" customHeight="1" s="157"/>
    <row r="205" ht="15.75" customHeight="1" s="157"/>
    <row r="206" ht="15.75" customHeight="1" s="157"/>
    <row r="207" ht="15.75" customHeight="1" s="157"/>
    <row r="208" ht="15.75" customHeight="1" s="157"/>
    <row r="209" ht="15.75" customHeight="1" s="157"/>
    <row r="210" ht="15.75" customHeight="1" s="157"/>
    <row r="211" ht="15.75" customHeight="1" s="157"/>
    <row r="212" ht="15.75" customHeight="1" s="157"/>
    <row r="213" ht="15.75" customHeight="1" s="157"/>
    <row r="214" ht="15.75" customHeight="1" s="157"/>
    <row r="215" ht="15.75" customHeight="1" s="157"/>
    <row r="216" ht="15.75" customHeight="1" s="157"/>
    <row r="217" ht="15.75" customHeight="1" s="157"/>
    <row r="218" ht="15.75" customHeight="1" s="157"/>
    <row r="219" ht="15.75" customHeight="1" s="157"/>
    <row r="220" ht="15.75" customHeight="1" s="157"/>
    <row r="221" ht="15.75" customHeight="1" s="157"/>
    <row r="222" ht="15.75" customHeight="1" s="157"/>
    <row r="223" ht="15.75" customHeight="1" s="157"/>
    <row r="224" ht="15.75" customHeight="1" s="157"/>
    <row r="225" ht="15.75" customHeight="1" s="157"/>
    <row r="226" ht="15.75" customHeight="1" s="157"/>
    <row r="227" ht="15.75" customHeight="1" s="157"/>
    <row r="228" ht="15.75" customHeight="1" s="157"/>
    <row r="229" ht="15.75" customHeight="1" s="157"/>
    <row r="230" ht="15.75" customHeight="1" s="157"/>
    <row r="231" ht="15.75" customHeight="1" s="157"/>
    <row r="232" ht="15.75" customHeight="1" s="157"/>
    <row r="233" ht="15.75" customHeight="1" s="157"/>
    <row r="234" ht="15.75" customHeight="1" s="157"/>
    <row r="235" ht="15.75" customHeight="1" s="157"/>
    <row r="236" ht="15.75" customHeight="1" s="157"/>
    <row r="237" ht="15.75" customHeight="1" s="157"/>
    <row r="238" ht="15.75" customHeight="1" s="157"/>
    <row r="239" ht="15.75" customHeight="1" s="157"/>
    <row r="240" ht="15.75" customHeight="1" s="157"/>
    <row r="241" ht="15.75" customHeight="1" s="157"/>
    <row r="242" ht="15.75" customHeight="1" s="157"/>
    <row r="243" ht="15.75" customHeight="1" s="157"/>
    <row r="244" ht="15.75" customHeight="1" s="157"/>
    <row r="245" ht="15.75" customHeight="1" s="157"/>
    <row r="246" ht="15.75" customHeight="1" s="157"/>
    <row r="247" ht="15.75" customHeight="1" s="157"/>
    <row r="248" ht="15.75" customHeight="1" s="157"/>
    <row r="249" ht="15.75" customHeight="1" s="157"/>
    <row r="250" ht="15.75" customHeight="1" s="157"/>
    <row r="251" ht="15.75" customHeight="1" s="157"/>
    <row r="252" ht="15.75" customHeight="1" s="157"/>
    <row r="253" ht="15.75" customHeight="1" s="157"/>
    <row r="254" ht="15.75" customHeight="1" s="157"/>
    <row r="255" ht="15.75" customHeight="1" s="157"/>
    <row r="256" ht="15.75" customHeight="1" s="157"/>
    <row r="257" ht="15.75" customHeight="1" s="157"/>
    <row r="258" ht="15.75" customHeight="1" s="157"/>
    <row r="259" ht="15.75" customHeight="1" s="157"/>
    <row r="260" ht="15.75" customHeight="1" s="157"/>
    <row r="261" ht="15.75" customHeight="1" s="157"/>
    <row r="262" ht="15.75" customHeight="1" s="157"/>
    <row r="263" ht="15.75" customHeight="1" s="157"/>
    <row r="264" ht="15.75" customHeight="1" s="157"/>
    <row r="265" ht="15.75" customHeight="1" s="157"/>
    <row r="266" ht="15.75" customHeight="1" s="157"/>
    <row r="267" ht="15.75" customHeight="1" s="157"/>
    <row r="268" ht="15.75" customHeight="1" s="157"/>
    <row r="269" ht="15.75" customHeight="1" s="157"/>
    <row r="270" ht="15.75" customHeight="1" s="157"/>
    <row r="271" ht="15.75" customHeight="1" s="157"/>
    <row r="272" ht="15.75" customHeight="1" s="157"/>
    <row r="273" ht="15.75" customHeight="1" s="157"/>
    <row r="274" ht="15.75" customHeight="1" s="157"/>
    <row r="275" ht="15.75" customHeight="1" s="157"/>
    <row r="276" ht="15.75" customHeight="1" s="157"/>
    <row r="277" ht="15.75" customHeight="1" s="157"/>
    <row r="278" ht="15.75" customHeight="1" s="157"/>
    <row r="279" ht="15.75" customHeight="1" s="157"/>
    <row r="280" ht="15.75" customHeight="1" s="157"/>
    <row r="281" ht="15.75" customHeight="1" s="157"/>
    <row r="282" ht="15.75" customHeight="1" s="157"/>
    <row r="283" ht="15.75" customHeight="1" s="157"/>
    <row r="284" ht="15.75" customHeight="1" s="157"/>
    <row r="285" ht="15.75" customHeight="1" s="157"/>
    <row r="286" ht="15.75" customHeight="1" s="157"/>
    <row r="287" ht="15.75" customHeight="1" s="157"/>
    <row r="288" ht="15.75" customHeight="1" s="157"/>
    <row r="289" ht="15.75" customHeight="1" s="157"/>
    <row r="290" ht="15.75" customHeight="1" s="157"/>
    <row r="291" ht="15.75" customHeight="1" s="157"/>
    <row r="292" ht="15.75" customHeight="1" s="157"/>
    <row r="293" ht="15.75" customHeight="1" s="157"/>
    <row r="294" ht="15.75" customHeight="1" s="157"/>
    <row r="295" ht="15.75" customHeight="1" s="157"/>
    <row r="296" ht="15.75" customHeight="1" s="157"/>
    <row r="297" ht="15.75" customHeight="1" s="157"/>
    <row r="298" ht="15.75" customHeight="1" s="157"/>
    <row r="299" ht="15.75" customHeight="1" s="157"/>
    <row r="300" ht="15.75" customHeight="1" s="157"/>
    <row r="301" ht="15.75" customHeight="1" s="157"/>
    <row r="302" ht="15.75" customHeight="1" s="157"/>
    <row r="303" ht="15.75" customHeight="1" s="157"/>
    <row r="304" ht="15.75" customHeight="1" s="157"/>
    <row r="305" ht="15.75" customHeight="1" s="157"/>
    <row r="306" ht="15.75" customHeight="1" s="157"/>
    <row r="307" ht="15.75" customHeight="1" s="157"/>
    <row r="308" ht="15.75" customHeight="1" s="157"/>
    <row r="309" ht="15.75" customHeight="1" s="157"/>
    <row r="310" ht="15.75" customHeight="1" s="157"/>
    <row r="311" ht="15.75" customHeight="1" s="157"/>
    <row r="312" ht="15.75" customHeight="1" s="157"/>
    <row r="313" ht="15.75" customHeight="1" s="157"/>
    <row r="314" ht="15.75" customHeight="1" s="157"/>
    <row r="315" ht="15.75" customHeight="1" s="157"/>
    <row r="316" ht="15.75" customHeight="1" s="157"/>
    <row r="317" ht="15.75" customHeight="1" s="157"/>
    <row r="318" ht="15.75" customHeight="1" s="157"/>
    <row r="319" ht="15.75" customHeight="1" s="157"/>
    <row r="320" ht="15.75" customHeight="1" s="157"/>
    <row r="321" ht="15.75" customHeight="1" s="157"/>
    <row r="322" ht="15.75" customHeight="1" s="157"/>
    <row r="323" ht="15.75" customHeight="1" s="157"/>
    <row r="324" ht="15.75" customHeight="1" s="157"/>
    <row r="325" ht="15.75" customHeight="1" s="157"/>
    <row r="326" ht="15.75" customHeight="1" s="157"/>
    <row r="327" ht="15.75" customHeight="1" s="157"/>
    <row r="328" ht="15.75" customHeight="1" s="157"/>
    <row r="329" ht="15.75" customHeight="1" s="157"/>
    <row r="330" ht="15.75" customHeight="1" s="157"/>
    <row r="331" ht="15.75" customHeight="1" s="157"/>
    <row r="332" ht="15.75" customHeight="1" s="157"/>
    <row r="333" ht="15.75" customHeight="1" s="157"/>
    <row r="334" ht="15.75" customHeight="1" s="157"/>
    <row r="335" ht="15.75" customHeight="1" s="157"/>
    <row r="336" ht="15.75" customHeight="1" s="157"/>
    <row r="337" ht="15.75" customHeight="1" s="157"/>
    <row r="338" ht="15.75" customHeight="1" s="157"/>
    <row r="339" ht="15.75" customHeight="1" s="157"/>
    <row r="340" ht="15.75" customHeight="1" s="157"/>
    <row r="341" ht="15.75" customHeight="1" s="157"/>
    <row r="342" ht="15.75" customHeight="1" s="157"/>
    <row r="343" ht="15.75" customHeight="1" s="157"/>
    <row r="344" ht="15.75" customHeight="1" s="157"/>
    <row r="345" ht="15.75" customHeight="1" s="157"/>
    <row r="346" ht="15.75" customHeight="1" s="157"/>
    <row r="347" ht="15.75" customHeight="1" s="157"/>
    <row r="348" ht="15.75" customHeight="1" s="157"/>
    <row r="349" ht="15.75" customHeight="1" s="157"/>
    <row r="350" ht="15.75" customHeight="1" s="157"/>
    <row r="351" ht="15.75" customHeight="1" s="157"/>
    <row r="352" ht="15.75" customHeight="1" s="157"/>
    <row r="353" ht="15.75" customHeight="1" s="157"/>
    <row r="354" ht="15.75" customHeight="1" s="157"/>
    <row r="355" ht="15.75" customHeight="1" s="157"/>
    <row r="356" ht="15.75" customHeight="1" s="157"/>
    <row r="357" ht="15.75" customHeight="1" s="157"/>
    <row r="358" ht="15.75" customHeight="1" s="157"/>
    <row r="359" ht="15.75" customHeight="1" s="157"/>
    <row r="360" ht="15.75" customHeight="1" s="157"/>
    <row r="361" ht="15.75" customHeight="1" s="157"/>
    <row r="362" ht="15.75" customHeight="1" s="157"/>
    <row r="363" ht="15.75" customHeight="1" s="157"/>
    <row r="364" ht="15.75" customHeight="1" s="157"/>
    <row r="365" ht="15.75" customHeight="1" s="157"/>
    <row r="366" ht="15.75" customHeight="1" s="157"/>
    <row r="367" ht="15.75" customHeight="1" s="157"/>
    <row r="368" ht="15.75" customHeight="1" s="157"/>
    <row r="369" ht="15.75" customHeight="1" s="157"/>
    <row r="370" ht="15.75" customHeight="1" s="157"/>
    <row r="371" ht="15.75" customHeight="1" s="157"/>
    <row r="372" ht="15.75" customHeight="1" s="157"/>
    <row r="373" ht="15.75" customHeight="1" s="157"/>
    <row r="374" ht="15.75" customHeight="1" s="157"/>
    <row r="375" ht="15.75" customHeight="1" s="157"/>
    <row r="376" ht="15.75" customHeight="1" s="157"/>
    <row r="377" ht="15.75" customHeight="1" s="157"/>
    <row r="378" ht="15.75" customHeight="1" s="157"/>
    <row r="379" ht="15.75" customHeight="1" s="157"/>
    <row r="380" ht="15.75" customHeight="1" s="157"/>
    <row r="381" ht="15.75" customHeight="1" s="157"/>
    <row r="382" ht="15.75" customHeight="1" s="157"/>
    <row r="383" ht="15.75" customHeight="1" s="157"/>
    <row r="384" ht="15.75" customHeight="1" s="157"/>
    <row r="385" ht="15.75" customHeight="1" s="157"/>
    <row r="386" ht="15.75" customHeight="1" s="157"/>
    <row r="387" ht="15.75" customHeight="1" s="157"/>
    <row r="388" ht="15.75" customHeight="1" s="157"/>
    <row r="389" ht="15.75" customHeight="1" s="157"/>
    <row r="390" ht="15.75" customHeight="1" s="157"/>
    <row r="391" ht="15.75" customHeight="1" s="157"/>
    <row r="392" ht="15.75" customHeight="1" s="157"/>
    <row r="393" ht="15.75" customHeight="1" s="157"/>
    <row r="394" ht="15.75" customHeight="1" s="157"/>
    <row r="395" ht="15.75" customHeight="1" s="157"/>
    <row r="396" ht="15.75" customHeight="1" s="157"/>
    <row r="397" ht="15.75" customHeight="1" s="157"/>
    <row r="398" ht="15.75" customHeight="1" s="157"/>
    <row r="399" ht="15.75" customHeight="1" s="157"/>
    <row r="400" ht="15.75" customHeight="1" s="157"/>
    <row r="401" ht="15.75" customHeight="1" s="157"/>
    <row r="402" ht="15.75" customHeight="1" s="157"/>
    <row r="403" ht="15.75" customHeight="1" s="157"/>
    <row r="404" ht="15.75" customHeight="1" s="157"/>
    <row r="405" ht="15.75" customHeight="1" s="157"/>
    <row r="406" ht="15.75" customHeight="1" s="157"/>
    <row r="407" ht="15.75" customHeight="1" s="157"/>
    <row r="408" ht="15.75" customHeight="1" s="157"/>
    <row r="409" ht="15.75" customHeight="1" s="157"/>
    <row r="410" ht="15.75" customHeight="1" s="157"/>
    <row r="411" ht="15.75" customHeight="1" s="157"/>
    <row r="412" ht="15.75" customHeight="1" s="157"/>
    <row r="413" ht="15.75" customHeight="1" s="157"/>
    <row r="414" ht="15.75" customHeight="1" s="157"/>
    <row r="415" ht="15.75" customHeight="1" s="157"/>
    <row r="416" ht="15.75" customHeight="1" s="157"/>
    <row r="417" ht="15.75" customHeight="1" s="157"/>
    <row r="418" ht="15.75" customHeight="1" s="157"/>
    <row r="419" ht="15.75" customHeight="1" s="157"/>
    <row r="420" ht="15.75" customHeight="1" s="157"/>
    <row r="421" ht="15.75" customHeight="1" s="157"/>
    <row r="422" ht="15.75" customHeight="1" s="157"/>
    <row r="423" ht="15.75" customHeight="1" s="157"/>
    <row r="424" ht="15.75" customHeight="1" s="157"/>
    <row r="425" ht="15.75" customHeight="1" s="157"/>
    <row r="426" ht="15.75" customHeight="1" s="157"/>
    <row r="427" ht="15.75" customHeight="1" s="157"/>
    <row r="428" ht="15.75" customHeight="1" s="157"/>
    <row r="429" ht="15.75" customHeight="1" s="157"/>
    <row r="430" ht="15.75" customHeight="1" s="157"/>
    <row r="431" ht="15.75" customHeight="1" s="157"/>
    <row r="432" ht="15.75" customHeight="1" s="157"/>
    <row r="433" ht="15.75" customHeight="1" s="157"/>
    <row r="434" ht="15.75" customHeight="1" s="157"/>
    <row r="435" ht="15.75" customHeight="1" s="157"/>
    <row r="436" ht="15.75" customHeight="1" s="157"/>
    <row r="437" ht="15.75" customHeight="1" s="157"/>
    <row r="438" ht="15.75" customHeight="1" s="157"/>
    <row r="439" ht="15.75" customHeight="1" s="157"/>
    <row r="440" ht="15.75" customHeight="1" s="157"/>
    <row r="441" ht="15.75" customHeight="1" s="157"/>
    <row r="442" ht="15.75" customHeight="1" s="157"/>
    <row r="443" ht="15.75" customHeight="1" s="157"/>
    <row r="444" ht="15.75" customHeight="1" s="157"/>
    <row r="445" ht="15.75" customHeight="1" s="157"/>
    <row r="446" ht="15.75" customHeight="1" s="157"/>
    <row r="447" ht="15.75" customHeight="1" s="157"/>
    <row r="448" ht="15.75" customHeight="1" s="157"/>
    <row r="449" ht="15.75" customHeight="1" s="157"/>
    <row r="450" ht="15.75" customHeight="1" s="157"/>
    <row r="451" ht="15.75" customHeight="1" s="157"/>
    <row r="452" ht="15.75" customHeight="1" s="157"/>
    <row r="453" ht="15.75" customHeight="1" s="157"/>
    <row r="454" ht="15.75" customHeight="1" s="157"/>
    <row r="455" ht="15.75" customHeight="1" s="157"/>
    <row r="456" ht="15.75" customHeight="1" s="157"/>
    <row r="457" ht="15.75" customHeight="1" s="157"/>
    <row r="458" ht="15.75" customHeight="1" s="157"/>
    <row r="459" ht="15.75" customHeight="1" s="157"/>
    <row r="460" ht="15.75" customHeight="1" s="157"/>
    <row r="461" ht="15.75" customHeight="1" s="157"/>
    <row r="462" ht="15.75" customHeight="1" s="157"/>
    <row r="463" ht="15.75" customHeight="1" s="157"/>
    <row r="464" ht="15.75" customHeight="1" s="157"/>
    <row r="465" ht="15.75" customHeight="1" s="157"/>
    <row r="466" ht="15.75" customHeight="1" s="157"/>
    <row r="467" ht="15.75" customHeight="1" s="157"/>
    <row r="468" ht="15.75" customHeight="1" s="157"/>
    <row r="469" ht="15.75" customHeight="1" s="157"/>
    <row r="470" ht="15.75" customHeight="1" s="157"/>
    <row r="471" ht="15.75" customHeight="1" s="157"/>
    <row r="472" ht="15.75" customHeight="1" s="157"/>
    <row r="473" ht="15.75" customHeight="1" s="157"/>
    <row r="474" ht="15.75" customHeight="1" s="157"/>
    <row r="475" ht="15.75" customHeight="1" s="157"/>
    <row r="476" ht="15.75" customHeight="1" s="157"/>
    <row r="477" ht="15.75" customHeight="1" s="157"/>
    <row r="478" ht="15.75" customHeight="1" s="157"/>
    <row r="479" ht="15.75" customHeight="1" s="157"/>
    <row r="480" ht="15.75" customHeight="1" s="157"/>
    <row r="481" ht="15.75" customHeight="1" s="157"/>
    <row r="482" ht="15.75" customHeight="1" s="157"/>
    <row r="483" ht="15.75" customHeight="1" s="157"/>
    <row r="484" ht="15.75" customHeight="1" s="157"/>
    <row r="485" ht="15.75" customHeight="1" s="157"/>
    <row r="486" ht="15.75" customHeight="1" s="157"/>
    <row r="487" ht="15.75" customHeight="1" s="157"/>
    <row r="488" ht="15.75" customHeight="1" s="157"/>
    <row r="489" ht="15.75" customHeight="1" s="157"/>
    <row r="490" ht="15.75" customHeight="1" s="157"/>
    <row r="491" ht="15.75" customHeight="1" s="157"/>
    <row r="492" ht="15.75" customHeight="1" s="157"/>
    <row r="493" ht="15.75" customHeight="1" s="157"/>
    <row r="494" ht="15.75" customHeight="1" s="157"/>
    <row r="495" ht="15.75" customHeight="1" s="157"/>
    <row r="496" ht="15.75" customHeight="1" s="157"/>
    <row r="497" ht="15.75" customHeight="1" s="157"/>
    <row r="498" ht="15.75" customHeight="1" s="157"/>
    <row r="499" ht="15.75" customHeight="1" s="157"/>
    <row r="500" ht="15.75" customHeight="1" s="157"/>
    <row r="501" ht="15.75" customHeight="1" s="157"/>
    <row r="502" ht="15.75" customHeight="1" s="157"/>
    <row r="503" ht="15.75" customHeight="1" s="157"/>
    <row r="504" ht="15.75" customHeight="1" s="157"/>
    <row r="505" ht="15.75" customHeight="1" s="157"/>
    <row r="506" ht="15.75" customHeight="1" s="157"/>
    <row r="507" ht="15.75" customHeight="1" s="157"/>
    <row r="508" ht="15.75" customHeight="1" s="157"/>
    <row r="509" ht="15.75" customHeight="1" s="157"/>
    <row r="510" ht="15.75" customHeight="1" s="157"/>
    <row r="511" ht="15.75" customHeight="1" s="157"/>
    <row r="512" ht="15.75" customHeight="1" s="157"/>
    <row r="513" ht="15.75" customHeight="1" s="157"/>
    <row r="514" ht="15.75" customHeight="1" s="157"/>
    <row r="515" ht="15.75" customHeight="1" s="157"/>
    <row r="516" ht="15.75" customHeight="1" s="157"/>
    <row r="517" ht="15.75" customHeight="1" s="157"/>
    <row r="518" ht="15.75" customHeight="1" s="157"/>
    <row r="519" ht="15.75" customHeight="1" s="157"/>
    <row r="520" ht="15.75" customHeight="1" s="157"/>
    <row r="521" ht="15.75" customHeight="1" s="157"/>
    <row r="522" ht="15.75" customHeight="1" s="157"/>
    <row r="523" ht="15.75" customHeight="1" s="157"/>
    <row r="524" ht="15.75" customHeight="1" s="157"/>
    <row r="525" ht="15.75" customHeight="1" s="157"/>
    <row r="526" ht="15.75" customHeight="1" s="157"/>
    <row r="527" ht="15.75" customHeight="1" s="157"/>
    <row r="528" ht="15.75" customHeight="1" s="157"/>
    <row r="529" ht="15.75" customHeight="1" s="157"/>
    <row r="530" ht="15.75" customHeight="1" s="157"/>
    <row r="531" ht="15.75" customHeight="1" s="157"/>
    <row r="532" ht="15.75" customHeight="1" s="157"/>
    <row r="533" ht="15.75" customHeight="1" s="157"/>
    <row r="534" ht="15.75" customHeight="1" s="157"/>
    <row r="535" ht="15.75" customHeight="1" s="157"/>
    <row r="536" ht="15.75" customHeight="1" s="157"/>
    <row r="537" ht="15.75" customHeight="1" s="157"/>
    <row r="538" ht="15.75" customHeight="1" s="157"/>
    <row r="539" ht="15.75" customHeight="1" s="157"/>
    <row r="540" ht="15.75" customHeight="1" s="157"/>
    <row r="541" ht="15.75" customHeight="1" s="157"/>
    <row r="542" ht="15.75" customHeight="1" s="157"/>
    <row r="543" ht="15.75" customHeight="1" s="157"/>
    <row r="544" ht="15.75" customHeight="1" s="157"/>
    <row r="545" ht="15.75" customHeight="1" s="157"/>
    <row r="546" ht="15.75" customHeight="1" s="157"/>
    <row r="547" ht="15.75" customHeight="1" s="157"/>
    <row r="548" ht="15.75" customHeight="1" s="157"/>
    <row r="549" ht="15.75" customHeight="1" s="157"/>
    <row r="550" ht="15.75" customHeight="1" s="157"/>
    <row r="551" ht="15.75" customHeight="1" s="157"/>
    <row r="552" ht="15.75" customHeight="1" s="157"/>
    <row r="553" ht="15.75" customHeight="1" s="157"/>
    <row r="554" ht="15.75" customHeight="1" s="157"/>
    <row r="555" ht="15.75" customHeight="1" s="157"/>
    <row r="556" ht="15.75" customHeight="1" s="157"/>
    <row r="557" ht="15.75" customHeight="1" s="157"/>
    <row r="558" ht="15.75" customHeight="1" s="157"/>
    <row r="559" ht="15.75" customHeight="1" s="157"/>
    <row r="560" ht="15.75" customHeight="1" s="157"/>
    <row r="561" ht="15.75" customHeight="1" s="157"/>
    <row r="562" ht="15.75" customHeight="1" s="157"/>
    <row r="563" ht="15.75" customHeight="1" s="157"/>
    <row r="564" ht="15.75" customHeight="1" s="157"/>
    <row r="565" ht="15.75" customHeight="1" s="157"/>
    <row r="566" ht="15.75" customHeight="1" s="157"/>
    <row r="567" ht="15.75" customHeight="1" s="157"/>
    <row r="568" ht="15.75" customHeight="1" s="157"/>
    <row r="569" ht="15.75" customHeight="1" s="157"/>
    <row r="570" ht="15.75" customHeight="1" s="157"/>
    <row r="571" ht="15.75" customHeight="1" s="157"/>
    <row r="572" ht="15.75" customHeight="1" s="157"/>
    <row r="573" ht="15.75" customHeight="1" s="157"/>
    <row r="574" ht="15.75" customHeight="1" s="157"/>
    <row r="575" ht="15.75" customHeight="1" s="157"/>
    <row r="576" ht="15.75" customHeight="1" s="157"/>
    <row r="577" ht="15.75" customHeight="1" s="157"/>
    <row r="578" ht="15.75" customHeight="1" s="157"/>
    <row r="579" ht="15.75" customHeight="1" s="157"/>
    <row r="580" ht="15.75" customHeight="1" s="157"/>
    <row r="581" ht="15.75" customHeight="1" s="157"/>
    <row r="582" ht="15.75" customHeight="1" s="157"/>
    <row r="583" ht="15.75" customHeight="1" s="157"/>
    <row r="584" ht="15.75" customHeight="1" s="157"/>
    <row r="585" ht="15.75" customHeight="1" s="157"/>
    <row r="586" ht="15.75" customHeight="1" s="157"/>
    <row r="587" ht="15.75" customHeight="1" s="157"/>
    <row r="588" ht="15.75" customHeight="1" s="157"/>
    <row r="589" ht="15.75" customHeight="1" s="157"/>
    <row r="590" ht="15.75" customHeight="1" s="157"/>
    <row r="591" ht="15.75" customHeight="1" s="157"/>
    <row r="592" ht="15.75" customHeight="1" s="157"/>
    <row r="593" ht="15.75" customHeight="1" s="157"/>
    <row r="594" ht="15.75" customHeight="1" s="157"/>
    <row r="595" ht="15.75" customHeight="1" s="157"/>
    <row r="596" ht="15.75" customHeight="1" s="157"/>
    <row r="597" ht="15.75" customHeight="1" s="157"/>
    <row r="598" ht="15.75" customHeight="1" s="157"/>
    <row r="599" ht="15.75" customHeight="1" s="157"/>
    <row r="600" ht="15.75" customHeight="1" s="157"/>
    <row r="601" ht="15.75" customHeight="1" s="157"/>
    <row r="602" ht="15.75" customHeight="1" s="157"/>
    <row r="603" ht="15.75" customHeight="1" s="157"/>
    <row r="604" ht="15.75" customHeight="1" s="157"/>
    <row r="605" ht="15.75" customHeight="1" s="157"/>
    <row r="606" ht="15.75" customHeight="1" s="157"/>
    <row r="607" ht="15.75" customHeight="1" s="157"/>
    <row r="608" ht="15.75" customHeight="1" s="157"/>
    <row r="609" ht="15.75" customHeight="1" s="157"/>
    <row r="610" ht="15.75" customHeight="1" s="157"/>
    <row r="611" ht="15.75" customHeight="1" s="157"/>
    <row r="612" ht="15.75" customHeight="1" s="157"/>
    <row r="613" ht="15.75" customHeight="1" s="157"/>
    <row r="614" ht="15.75" customHeight="1" s="157"/>
    <row r="615" ht="15.75" customHeight="1" s="157"/>
    <row r="616" ht="15.75" customHeight="1" s="157"/>
    <row r="617" ht="15.75" customHeight="1" s="157"/>
    <row r="618" ht="15.75" customHeight="1" s="157"/>
    <row r="619" ht="15.75" customHeight="1" s="157"/>
    <row r="620" ht="15.75" customHeight="1" s="157"/>
    <row r="621" ht="15.75" customHeight="1" s="157"/>
    <row r="622" ht="15.75" customHeight="1" s="157"/>
    <row r="623" ht="15.75" customHeight="1" s="157"/>
    <row r="624" ht="15.75" customHeight="1" s="157"/>
    <row r="625" ht="15.75" customHeight="1" s="157"/>
    <row r="626" ht="15.75" customHeight="1" s="157"/>
    <row r="627" ht="15.75" customHeight="1" s="157"/>
    <row r="628" ht="15.75" customHeight="1" s="157"/>
    <row r="629" ht="15.75" customHeight="1" s="157"/>
    <row r="630" ht="15.75" customHeight="1" s="157"/>
    <row r="631" ht="15.75" customHeight="1" s="157"/>
    <row r="632" ht="15.75" customHeight="1" s="157"/>
    <row r="633" ht="15.75" customHeight="1" s="157"/>
    <row r="634" ht="15.75" customHeight="1" s="157"/>
    <row r="635" ht="15.75" customHeight="1" s="157"/>
    <row r="636" ht="15.75" customHeight="1" s="157"/>
    <row r="637" ht="15.75" customHeight="1" s="157"/>
    <row r="638" ht="15.75" customHeight="1" s="157"/>
    <row r="639" ht="15.75" customHeight="1" s="157"/>
    <row r="640" ht="15.75" customHeight="1" s="157"/>
    <row r="641" ht="15.75" customHeight="1" s="157"/>
    <row r="642" ht="15.75" customHeight="1" s="157"/>
    <row r="643" ht="15.75" customHeight="1" s="157"/>
    <row r="644" ht="15.75" customHeight="1" s="157"/>
    <row r="645" ht="15.75" customHeight="1" s="157"/>
    <row r="646" ht="15.75" customHeight="1" s="157"/>
    <row r="647" ht="15.75" customHeight="1" s="157"/>
    <row r="648" ht="15.75" customHeight="1" s="157"/>
    <row r="649" ht="15.75" customHeight="1" s="157"/>
    <row r="650" ht="15.75" customHeight="1" s="157"/>
    <row r="651" ht="15.75" customHeight="1" s="157"/>
    <row r="652" ht="15.75" customHeight="1" s="157"/>
    <row r="653" ht="15.75" customHeight="1" s="157"/>
    <row r="654" ht="15.75" customHeight="1" s="157"/>
    <row r="655" ht="15.75" customHeight="1" s="157"/>
    <row r="656" ht="15.75" customHeight="1" s="157"/>
    <row r="657" ht="15.75" customHeight="1" s="157"/>
    <row r="658" ht="15.75" customHeight="1" s="157"/>
    <row r="659" ht="15.75" customHeight="1" s="157"/>
    <row r="660" ht="15.75" customHeight="1" s="157"/>
    <row r="661" ht="15.75" customHeight="1" s="157"/>
    <row r="662" ht="15.75" customHeight="1" s="157"/>
    <row r="663" ht="15.75" customHeight="1" s="157"/>
    <row r="664" ht="15.75" customHeight="1" s="157"/>
    <row r="665" ht="15.75" customHeight="1" s="157"/>
    <row r="666" ht="15.75" customHeight="1" s="157"/>
    <row r="667" ht="15.75" customHeight="1" s="157"/>
    <row r="668" ht="15.75" customHeight="1" s="157"/>
    <row r="669" ht="15.75" customHeight="1" s="157"/>
    <row r="670" ht="15.75" customHeight="1" s="157"/>
    <row r="671" ht="15.75" customHeight="1" s="157"/>
    <row r="672" ht="15.75" customHeight="1" s="157"/>
    <row r="673" ht="15.75" customHeight="1" s="157"/>
    <row r="674" ht="15.75" customHeight="1" s="157"/>
    <row r="675" ht="15.75" customHeight="1" s="157"/>
    <row r="676" ht="15.75" customHeight="1" s="157"/>
    <row r="677" ht="15.75" customHeight="1" s="157"/>
    <row r="678" ht="15.75" customHeight="1" s="157"/>
    <row r="679" ht="15.75" customHeight="1" s="157"/>
    <row r="680" ht="15.75" customHeight="1" s="157"/>
    <row r="681" ht="15.75" customHeight="1" s="157"/>
    <row r="682" ht="15.75" customHeight="1" s="157"/>
    <row r="683" ht="15.75" customHeight="1" s="157"/>
    <row r="684" ht="15.75" customHeight="1" s="157"/>
    <row r="685" ht="15.75" customHeight="1" s="157"/>
    <row r="686" ht="15.75" customHeight="1" s="157"/>
    <row r="687" ht="15.75" customHeight="1" s="157"/>
    <row r="688" ht="15.75" customHeight="1" s="157"/>
    <row r="689" ht="15.75" customHeight="1" s="157"/>
    <row r="690" ht="15.75" customHeight="1" s="157"/>
    <row r="691" ht="15.75" customHeight="1" s="157"/>
    <row r="692" ht="15.75" customHeight="1" s="157"/>
    <row r="693" ht="15.75" customHeight="1" s="157"/>
    <row r="694" ht="15.75" customHeight="1" s="157"/>
    <row r="695" ht="15.75" customHeight="1" s="157"/>
    <row r="696" ht="15.75" customHeight="1" s="157"/>
    <row r="697" ht="15.75" customHeight="1" s="157"/>
    <row r="698" ht="15.75" customHeight="1" s="157"/>
    <row r="699" ht="15.75" customHeight="1" s="157"/>
    <row r="700" ht="15.75" customHeight="1" s="157"/>
    <row r="701" ht="15.75" customHeight="1" s="157"/>
    <row r="702" ht="15.75" customHeight="1" s="157"/>
    <row r="703" ht="15.75" customHeight="1" s="157"/>
    <row r="704" ht="15.75" customHeight="1" s="157"/>
    <row r="705" ht="15.75" customHeight="1" s="157"/>
    <row r="706" ht="15.75" customHeight="1" s="157"/>
    <row r="707" ht="15.75" customHeight="1" s="157"/>
    <row r="708" ht="15.75" customHeight="1" s="157"/>
    <row r="709" ht="15.75" customHeight="1" s="157"/>
    <row r="710" ht="15.75" customHeight="1" s="157"/>
    <row r="711" ht="15.75" customHeight="1" s="157"/>
    <row r="712" ht="15.75" customHeight="1" s="157"/>
    <row r="713" ht="15.75" customHeight="1" s="157"/>
    <row r="714" ht="15.75" customHeight="1" s="157"/>
    <row r="715" ht="15.75" customHeight="1" s="157"/>
    <row r="716" ht="15.75" customHeight="1" s="157"/>
    <row r="717" ht="15.75" customHeight="1" s="157"/>
    <row r="718" ht="15.75" customHeight="1" s="157"/>
    <row r="719" ht="15.75" customHeight="1" s="157"/>
    <row r="720" ht="15.75" customHeight="1" s="157"/>
    <row r="721" ht="15.75" customHeight="1" s="157"/>
    <row r="722" ht="15.75" customHeight="1" s="157"/>
    <row r="723" ht="15.75" customHeight="1" s="157"/>
    <row r="724" ht="15.75" customHeight="1" s="157"/>
    <row r="725" ht="15.75" customHeight="1" s="157"/>
    <row r="726" ht="15.75" customHeight="1" s="157"/>
    <row r="727" ht="15.75" customHeight="1" s="157"/>
    <row r="728" ht="15.75" customHeight="1" s="157"/>
    <row r="729" ht="15.75" customHeight="1" s="157"/>
    <row r="730" ht="15.75" customHeight="1" s="157"/>
    <row r="731" ht="15.75" customHeight="1" s="157"/>
    <row r="732" ht="15.75" customHeight="1" s="157"/>
    <row r="733" ht="15.75" customHeight="1" s="157"/>
    <row r="734" ht="15.75" customHeight="1" s="157"/>
    <row r="735" ht="15.75" customHeight="1" s="157"/>
    <row r="736" ht="15.75" customHeight="1" s="157"/>
    <row r="737" ht="15.75" customHeight="1" s="157"/>
    <row r="738" ht="15.75" customHeight="1" s="157"/>
    <row r="739" ht="15.75" customHeight="1" s="157"/>
    <row r="740" ht="15.75" customHeight="1" s="157"/>
    <row r="741" ht="15.75" customHeight="1" s="157"/>
    <row r="742" ht="15.75" customHeight="1" s="157"/>
    <row r="743" ht="15.75" customHeight="1" s="157"/>
    <row r="744" ht="15.75" customHeight="1" s="157"/>
    <row r="745" ht="15.75" customHeight="1" s="157"/>
    <row r="746" ht="15.75" customHeight="1" s="157"/>
    <row r="747" ht="15.75" customHeight="1" s="157"/>
    <row r="748" ht="15.75" customHeight="1" s="157"/>
    <row r="749" ht="15.75" customHeight="1" s="157"/>
    <row r="750" ht="15.75" customHeight="1" s="157"/>
    <row r="751" ht="15.75" customHeight="1" s="157"/>
    <row r="752" ht="15.75" customHeight="1" s="157"/>
    <row r="753" ht="15.75" customHeight="1" s="157"/>
    <row r="754" ht="15.75" customHeight="1" s="157"/>
    <row r="755" ht="15.75" customHeight="1" s="157"/>
    <row r="756" ht="15.75" customHeight="1" s="157"/>
    <row r="757" ht="15.75" customHeight="1" s="157"/>
    <row r="758" ht="15.75" customHeight="1" s="157"/>
    <row r="759" ht="15.75" customHeight="1" s="157"/>
    <row r="760" ht="15.75" customHeight="1" s="157"/>
    <row r="761" ht="15.75" customHeight="1" s="157"/>
    <row r="762" ht="15.75" customHeight="1" s="157"/>
    <row r="763" ht="15.75" customHeight="1" s="157"/>
    <row r="764" ht="15.75" customHeight="1" s="157"/>
    <row r="765" ht="15.75" customHeight="1" s="157"/>
    <row r="766" ht="15.75" customHeight="1" s="157"/>
    <row r="767" ht="15.75" customHeight="1" s="157"/>
    <row r="768" ht="15.75" customHeight="1" s="157"/>
    <row r="769" ht="15.75" customHeight="1" s="157"/>
    <row r="770" ht="15.75" customHeight="1" s="157"/>
    <row r="771" ht="15.75" customHeight="1" s="157"/>
    <row r="772" ht="15.75" customHeight="1" s="157"/>
    <row r="773" ht="15.75" customHeight="1" s="157"/>
    <row r="774" ht="15.75" customHeight="1" s="157"/>
    <row r="775" ht="15.75" customHeight="1" s="157"/>
    <row r="776" ht="15.75" customHeight="1" s="157"/>
    <row r="777" ht="15.75" customHeight="1" s="157"/>
    <row r="778" ht="15.75" customHeight="1" s="157"/>
    <row r="779" ht="15.75" customHeight="1" s="157"/>
    <row r="780" ht="15.75" customHeight="1" s="157"/>
    <row r="781" ht="15.75" customHeight="1" s="157"/>
    <row r="782" ht="15.75" customHeight="1" s="157"/>
    <row r="783" ht="15.75" customHeight="1" s="157"/>
    <row r="784" ht="15.75" customHeight="1" s="157"/>
    <row r="785" ht="15.75" customHeight="1" s="157"/>
    <row r="786" ht="15.75" customHeight="1" s="157"/>
    <row r="787" ht="15.75" customHeight="1" s="157"/>
    <row r="788" ht="15.75" customHeight="1" s="157"/>
    <row r="789" ht="15.75" customHeight="1" s="157"/>
    <row r="790" ht="15.75" customHeight="1" s="157"/>
    <row r="791" ht="15.75" customHeight="1" s="157"/>
    <row r="792" ht="15.75" customHeight="1" s="157"/>
    <row r="793" ht="15.75" customHeight="1" s="157"/>
    <row r="794" ht="15.75" customHeight="1" s="157"/>
    <row r="795" ht="15.75" customHeight="1" s="157"/>
    <row r="796" ht="15.75" customHeight="1" s="157"/>
    <row r="797" ht="15.75" customHeight="1" s="157"/>
    <row r="798" ht="15.75" customHeight="1" s="157"/>
    <row r="799" ht="15.75" customHeight="1" s="157"/>
    <row r="800" ht="15.75" customHeight="1" s="157"/>
    <row r="801" ht="15.75" customHeight="1" s="157"/>
    <row r="802" ht="15.75" customHeight="1" s="157"/>
    <row r="803" ht="15.75" customHeight="1" s="157"/>
    <row r="804" ht="15.75" customHeight="1" s="157"/>
    <row r="805" ht="15.75" customHeight="1" s="157"/>
    <row r="806" ht="15.75" customHeight="1" s="157"/>
    <row r="807" ht="15.75" customHeight="1" s="157"/>
    <row r="808" ht="15.75" customHeight="1" s="157"/>
    <row r="809" ht="15.75" customHeight="1" s="157"/>
    <row r="810" ht="15.75" customHeight="1" s="157"/>
    <row r="811" ht="15.75" customHeight="1" s="157"/>
    <row r="812" ht="15.75" customHeight="1" s="157"/>
    <row r="813" ht="15.75" customHeight="1" s="157"/>
    <row r="814" ht="15.75" customHeight="1" s="157"/>
    <row r="815" ht="15.75" customHeight="1" s="157"/>
    <row r="816" ht="15.75" customHeight="1" s="157"/>
    <row r="817" ht="15.75" customHeight="1" s="157"/>
    <row r="818" ht="15.75" customHeight="1" s="157"/>
    <row r="819" ht="15.75" customHeight="1" s="157"/>
    <row r="820" ht="15.75" customHeight="1" s="157"/>
    <row r="821" ht="15.75" customHeight="1" s="157"/>
    <row r="822" ht="15.75" customHeight="1" s="157"/>
    <row r="823" ht="15.75" customHeight="1" s="157"/>
    <row r="824" ht="15.75" customHeight="1" s="157"/>
    <row r="825" ht="15.75" customHeight="1" s="157"/>
    <row r="826" ht="15.75" customHeight="1" s="157"/>
    <row r="827" ht="15.75" customHeight="1" s="157"/>
    <row r="828" ht="15.75" customHeight="1" s="157"/>
    <row r="829" ht="15.75" customHeight="1" s="157"/>
    <row r="830" ht="15.75" customHeight="1" s="157"/>
    <row r="831" ht="15.75" customHeight="1" s="157"/>
    <row r="832" ht="15.75" customHeight="1" s="157"/>
    <row r="833" ht="15.75" customHeight="1" s="157"/>
    <row r="834" ht="15.75" customHeight="1" s="157"/>
    <row r="835" ht="15.75" customHeight="1" s="157"/>
    <row r="836" ht="15.75" customHeight="1" s="157"/>
    <row r="837" ht="15.75" customHeight="1" s="157"/>
    <row r="838" ht="15.75" customHeight="1" s="157"/>
    <row r="839" ht="15.75" customHeight="1" s="157"/>
    <row r="840" ht="15.75" customHeight="1" s="157"/>
    <row r="841" ht="15.75" customHeight="1" s="157"/>
    <row r="842" ht="15.75" customHeight="1" s="157"/>
    <row r="843" ht="15.75" customHeight="1" s="157"/>
    <row r="844" ht="15.75" customHeight="1" s="157"/>
    <row r="845" ht="15.75" customHeight="1" s="157"/>
    <row r="846" ht="15.75" customHeight="1" s="157"/>
    <row r="847" ht="15.75" customHeight="1" s="157"/>
    <row r="848" ht="15.75" customHeight="1" s="157"/>
    <row r="849" ht="15.75" customHeight="1" s="157"/>
    <row r="850" ht="15.75" customHeight="1" s="157"/>
    <row r="851" ht="15.75" customHeight="1" s="157"/>
    <row r="852" ht="15.75" customHeight="1" s="157"/>
    <row r="853" ht="15.75" customHeight="1" s="157"/>
    <row r="854" ht="15.75" customHeight="1" s="157"/>
    <row r="855" ht="15.75" customHeight="1" s="157"/>
    <row r="856" ht="15.75" customHeight="1" s="157"/>
    <row r="857" ht="15.75" customHeight="1" s="157"/>
    <row r="858" ht="15.75" customHeight="1" s="157"/>
    <row r="859" ht="15.75" customHeight="1" s="157"/>
    <row r="860" ht="15.75" customHeight="1" s="157"/>
    <row r="861" ht="15.75" customHeight="1" s="157"/>
    <row r="862" ht="15.75" customHeight="1" s="157"/>
    <row r="863" ht="15.75" customHeight="1" s="157"/>
    <row r="864" ht="15.75" customHeight="1" s="157"/>
    <row r="865" ht="15.75" customHeight="1" s="157"/>
    <row r="866" ht="15.75" customHeight="1" s="157"/>
    <row r="867" ht="15.75" customHeight="1" s="157"/>
    <row r="868" ht="15.75" customHeight="1" s="157"/>
    <row r="869" ht="15.75" customHeight="1" s="157"/>
    <row r="870" ht="15.75" customHeight="1" s="157"/>
    <row r="871" ht="15.75" customHeight="1" s="157"/>
    <row r="872" ht="15.75" customHeight="1" s="157"/>
    <row r="873" ht="15.75" customHeight="1" s="157"/>
    <row r="874" ht="15.75" customHeight="1" s="157"/>
    <row r="875" ht="15.75" customHeight="1" s="157"/>
    <row r="876" ht="15.75" customHeight="1" s="157"/>
    <row r="877" ht="15.75" customHeight="1" s="157"/>
    <row r="878" ht="15.75" customHeight="1" s="157"/>
    <row r="879" ht="15.75" customHeight="1" s="157"/>
    <row r="880" ht="15.75" customHeight="1" s="157"/>
    <row r="881" ht="15.75" customHeight="1" s="157"/>
    <row r="882" ht="15.75" customHeight="1" s="157"/>
    <row r="883" ht="15.75" customHeight="1" s="157"/>
    <row r="884" ht="15.75" customHeight="1" s="157"/>
    <row r="885" ht="15.75" customHeight="1" s="157"/>
    <row r="886" ht="15.75" customHeight="1" s="157"/>
    <row r="887" ht="15.75" customHeight="1" s="157"/>
    <row r="888" ht="15.75" customHeight="1" s="157"/>
    <row r="889" ht="15.75" customHeight="1" s="157"/>
    <row r="890" ht="15.75" customHeight="1" s="157"/>
    <row r="891" ht="15.75" customHeight="1" s="157"/>
    <row r="892" ht="15.75" customHeight="1" s="157"/>
    <row r="893" ht="15.75" customHeight="1" s="157"/>
    <row r="894" ht="15.75" customHeight="1" s="157"/>
    <row r="895" ht="15.75" customHeight="1" s="157"/>
    <row r="896" ht="15.75" customHeight="1" s="157"/>
    <row r="897" ht="15.75" customHeight="1" s="157"/>
    <row r="898" ht="15.75" customHeight="1" s="157"/>
    <row r="899" ht="15.75" customHeight="1" s="157"/>
    <row r="900" ht="15.75" customHeight="1" s="157"/>
    <row r="901" ht="15.75" customHeight="1" s="157"/>
    <row r="902" ht="15.75" customHeight="1" s="157"/>
    <row r="903" ht="15.75" customHeight="1" s="157"/>
    <row r="904" ht="15.75" customHeight="1" s="157"/>
    <row r="905" ht="15.75" customHeight="1" s="157"/>
    <row r="906" ht="15.75" customHeight="1" s="157"/>
    <row r="907" ht="15.75" customHeight="1" s="157"/>
    <row r="908" ht="15.75" customHeight="1" s="157"/>
    <row r="909" ht="15.75" customHeight="1" s="157"/>
    <row r="910" ht="15.75" customHeight="1" s="157"/>
    <row r="911" ht="15.75" customHeight="1" s="157"/>
    <row r="912" ht="15.75" customHeight="1" s="157"/>
    <row r="913" ht="15.75" customHeight="1" s="157"/>
    <row r="914" ht="15.75" customHeight="1" s="157"/>
    <row r="915" ht="15.75" customHeight="1" s="157"/>
    <row r="916" ht="15.75" customHeight="1" s="157"/>
    <row r="917" ht="15.75" customHeight="1" s="157"/>
    <row r="918" ht="15.75" customHeight="1" s="157"/>
    <row r="919" ht="15.75" customHeight="1" s="157"/>
    <row r="920" ht="15.75" customHeight="1" s="157"/>
    <row r="921" ht="15.75" customHeight="1" s="157"/>
    <row r="922" ht="15.75" customHeight="1" s="157"/>
    <row r="923" ht="15.75" customHeight="1" s="157"/>
    <row r="924" ht="15.75" customHeight="1" s="157"/>
    <row r="925" ht="15.75" customHeight="1" s="157"/>
    <row r="926" ht="15.75" customHeight="1" s="157"/>
    <row r="927" ht="15.75" customHeight="1" s="157"/>
    <row r="928" ht="15.75" customHeight="1" s="157"/>
    <row r="929" ht="15.75" customHeight="1" s="157"/>
    <row r="930" ht="15.75" customHeight="1" s="157"/>
    <row r="931" ht="15.75" customHeight="1" s="157"/>
    <row r="932" ht="15.75" customHeight="1" s="157"/>
    <row r="933" ht="15.75" customHeight="1" s="157"/>
    <row r="934" ht="15.75" customHeight="1" s="157"/>
    <row r="935" ht="15.75" customHeight="1" s="157"/>
    <row r="936" ht="15.75" customHeight="1" s="157"/>
    <row r="937" ht="15.75" customHeight="1" s="157"/>
    <row r="938" ht="15.75" customHeight="1" s="157"/>
    <row r="939" ht="15.75" customHeight="1" s="157"/>
    <row r="940" ht="15.75" customHeight="1" s="157"/>
    <row r="941" ht="15.75" customHeight="1" s="157"/>
    <row r="942" ht="15.75" customHeight="1" s="157"/>
    <row r="943" ht="15.75" customHeight="1" s="157"/>
    <row r="944" ht="15.75" customHeight="1" s="157"/>
    <row r="945" ht="15.75" customHeight="1" s="157"/>
    <row r="946" ht="15.75" customHeight="1" s="157"/>
    <row r="947" ht="15.75" customHeight="1" s="157"/>
    <row r="948" ht="15.75" customHeight="1" s="157"/>
    <row r="949" ht="15.75" customHeight="1" s="157"/>
    <row r="950" ht="15.75" customHeight="1" s="157"/>
    <row r="951" ht="15.75" customHeight="1" s="157"/>
    <row r="952" ht="15.75" customHeight="1" s="157"/>
    <row r="953" ht="15.75" customHeight="1" s="157"/>
    <row r="954" ht="15.75" customHeight="1" s="157"/>
    <row r="955" ht="15.75" customHeight="1" s="157"/>
    <row r="956" ht="15.75" customHeight="1" s="157"/>
    <row r="957" ht="15.75" customHeight="1" s="157"/>
    <row r="958" ht="15.75" customHeight="1" s="157"/>
    <row r="959" ht="15.75" customHeight="1" s="157"/>
    <row r="960" ht="15.75" customHeight="1" s="157"/>
    <row r="961" ht="15.75" customHeight="1" s="157"/>
    <row r="962" ht="15.75" customHeight="1" s="157"/>
    <row r="963" ht="15.75" customHeight="1" s="157"/>
    <row r="964" ht="15.75" customHeight="1" s="157"/>
    <row r="965" ht="15.75" customHeight="1" s="157"/>
    <row r="966" ht="15.75" customHeight="1" s="157"/>
    <row r="967" ht="15.75" customHeight="1" s="157"/>
    <row r="968" ht="15.75" customHeight="1" s="157"/>
    <row r="969" ht="15.75" customHeight="1" s="157"/>
    <row r="970" ht="15.75" customHeight="1" s="157"/>
    <row r="971" ht="15.75" customHeight="1" s="157"/>
    <row r="972" ht="15.75" customHeight="1" s="157"/>
    <row r="973" ht="15.75" customHeight="1" s="157"/>
    <row r="974" ht="15.75" customHeight="1" s="157"/>
    <row r="975" ht="15.75" customHeight="1" s="157"/>
    <row r="976" ht="15.75" customHeight="1" s="157"/>
    <row r="977" ht="15.75" customHeight="1" s="157"/>
    <row r="978" ht="15.75" customHeight="1" s="157"/>
    <row r="979" ht="15.75" customHeight="1" s="157"/>
    <row r="980" ht="15.75" customHeight="1" s="157"/>
    <row r="981" ht="15.75" customHeight="1" s="157"/>
    <row r="982" ht="15.75" customHeight="1" s="157"/>
    <row r="983" ht="15.75" customHeight="1" s="157"/>
    <row r="984" ht="15.75" customHeight="1" s="157"/>
    <row r="985" ht="15.75" customHeight="1" s="157"/>
    <row r="986" ht="15.75" customHeight="1" s="157"/>
    <row r="987" ht="15.75" customHeight="1" s="157"/>
    <row r="988" ht="15.75" customHeight="1" s="157"/>
    <row r="989" ht="15.75" customHeight="1" s="157"/>
    <row r="990" ht="15.75" customHeight="1" s="157"/>
    <row r="991" ht="15.75" customHeight="1" s="157"/>
    <row r="992" ht="15.75" customHeight="1" s="157"/>
    <row r="993" ht="15.75" customHeight="1" s="157"/>
    <row r="994" ht="15.75" customHeight="1" s="157"/>
    <row r="995" ht="15.75" customHeight="1" s="157"/>
    <row r="996" ht="15.75" customHeight="1" s="157"/>
    <row r="997" ht="15.75" customHeight="1" s="157"/>
    <row r="998" ht="15.75" customHeight="1" s="157"/>
    <row r="999" ht="15.75" customHeight="1" s="157"/>
    <row r="1000" ht="15.75" customHeight="1" s="157"/>
  </sheetData>
  <pageMargins left="0.7" right="0.7" top="0.75" bottom="0.75" header="0" footer="0"/>
  <pageSetup orientation="landscape"/>
</worksheet>
</file>

<file path=xl/worksheets/sheet10.xml><?xml version="1.0" encoding="utf-8"?>
<worksheet xmlns="http://schemas.openxmlformats.org/spreadsheetml/2006/main">
  <sheetPr>
    <outlinePr summaryBelow="1" summaryRight="1"/>
    <pageSetUpPr/>
  </sheetPr>
  <dimension ref="A1:F18"/>
  <sheetViews>
    <sheetView workbookViewId="0">
      <pane ySplit="4" topLeftCell="A14" activePane="bottomLeft" state="frozen"/>
      <selection pane="bottomLeft" activeCell="A1" sqref="A1:E1"/>
    </sheetView>
  </sheetViews>
  <sheetFormatPr baseColWidth="8" defaultColWidth="9.1796875" defaultRowHeight="14.5"/>
  <cols>
    <col width="6" customWidth="1" style="157" min="1" max="1"/>
    <col width="16" customWidth="1" style="157" min="2" max="2"/>
    <col width="55" customWidth="1" style="157" min="3" max="3"/>
    <col width="12" customWidth="1" style="157" min="4" max="5"/>
    <col width="50" customWidth="1" style="157" min="6" max="6"/>
  </cols>
  <sheetData>
    <row r="1" ht="30" customHeight="1" s="157">
      <c r="A1" s="274" t="inlineStr">
        <is>
          <t>ITEMS MARCADOS COMO "BT" EN PEPC QUE FALTAN EN EL FORMATO 3 DEL "PAPÁ DE LOS FORMATOS"</t>
        </is>
      </c>
    </row>
    <row r="2" ht="40" customHeight="1" s="157">
      <c r="A2" s="275" t="inlineStr">
        <is>
          <t>Estos elementos aparecen marcados con "BT" en la columna BT de la hoja PEPC pero no están registrados en el FORMATO 3 (ni por código Odoo ni por descripción equivalente). Se excluyen servicios (transporte, nacionalización, instalación, pruebas, etc.).</t>
        </is>
      </c>
    </row>
    <row r="4" ht="32.15" customHeight="1" s="157">
      <c r="A4" s="111" t="inlineStr">
        <is>
          <t>#</t>
        </is>
      </c>
      <c r="B4" s="111" t="inlineStr">
        <is>
          <t>Código Odoo</t>
        </is>
      </c>
      <c r="C4" s="111" t="inlineStr">
        <is>
          <t>Descripción (de PEPC)</t>
        </is>
      </c>
      <c r="D4" s="111" t="inlineStr">
        <is>
          <t>Unidad</t>
        </is>
      </c>
      <c r="E4" s="111" t="inlineStr">
        <is>
          <t>Cantidad</t>
        </is>
      </c>
      <c r="F4" s="111" t="inlineStr">
        <is>
          <t>Nombre canónico Odoo (si código existe)</t>
        </is>
      </c>
    </row>
    <row r="5" ht="25" customHeight="1" s="157">
      <c r="A5" s="112" t="n">
        <v>1</v>
      </c>
      <c r="B5" s="112" t="inlineStr">
        <is>
          <t>P01036</t>
        </is>
      </c>
      <c r="C5" s="113" t="inlineStr">
        <is>
          <t>Transformador de potencia 17.5kV 13.2/120 500VA</t>
        </is>
      </c>
      <c r="D5" s="112" t="inlineStr">
        <is>
          <t>Und</t>
        </is>
      </c>
      <c r="E5" s="112" t="n">
        <v>1</v>
      </c>
      <c r="F5" s="113" t="inlineStr">
        <is>
          <t>Nombre Odoo: [P01036] Transformador Potencia 1500 kVA Dyn5 13200/800 V</t>
        </is>
      </c>
    </row>
    <row r="6">
      <c r="A6" s="114" t="n">
        <v>2</v>
      </c>
      <c r="B6" s="114" t="inlineStr">
        <is>
          <t>P00609</t>
        </is>
      </c>
      <c r="C6" s="115" t="inlineStr">
        <is>
          <t>Gabinete, 2 borneras, 2 modem telemedida</t>
        </is>
      </c>
      <c r="D6" s="114" t="inlineStr">
        <is>
          <t>Und</t>
        </is>
      </c>
      <c r="E6" s="114" t="n">
        <v>1</v>
      </c>
      <c r="F6" s="115" t="inlineStr">
        <is>
          <t>Nombre Odoo: [P00609] Gabinete</t>
        </is>
      </c>
    </row>
    <row r="7" ht="25" customHeight="1" s="157">
      <c r="A7" s="112" t="n">
        <v>3</v>
      </c>
      <c r="B7" s="112" t="inlineStr">
        <is>
          <t>P00364</t>
        </is>
      </c>
      <c r="C7" s="113" t="inlineStr">
        <is>
          <t>Suministro cable XLPE 1/0 Pantalla en hilo 100% Aluminio 15kV (x3 terna)</t>
        </is>
      </c>
      <c r="D7" s="112" t="inlineStr">
        <is>
          <t>m</t>
        </is>
      </c>
      <c r="E7" s="112" t="n">
        <v>15</v>
      </c>
      <c r="F7" s="113" t="inlineStr">
        <is>
          <t>Nombre Odoo: [P00364] Cable XLPE Pantalla en Cinta (35 KV, 1/0 AWG) - 35 KV / 1/0 AWG</t>
        </is>
      </c>
    </row>
    <row r="8" ht="25" customHeight="1" s="157">
      <c r="A8" s="114" t="n">
        <v>4</v>
      </c>
      <c r="B8" s="114" t="inlineStr">
        <is>
          <t>P00320</t>
        </is>
      </c>
      <c r="C8" s="115" t="inlineStr">
        <is>
          <t>Suministro cable ecológico ASCR</t>
        </is>
      </c>
      <c r="D8" s="114" t="inlineStr">
        <is>
          <t>m</t>
        </is>
      </c>
      <c r="E8" s="114" t="n">
        <v>445</v>
      </c>
      <c r="F8" s="115" t="inlineStr">
        <is>
          <t>Nombre Odoo: [P00320] Cable Ecológico ASCR (15 KV, 1/0 AWG) - 15 KV / 1/0 AWG</t>
        </is>
      </c>
    </row>
    <row r="9">
      <c r="A9" s="112" t="n">
        <v>5</v>
      </c>
      <c r="B9" s="112" t="inlineStr">
        <is>
          <t>P00572</t>
        </is>
      </c>
      <c r="C9" s="113" t="inlineStr">
        <is>
          <t>Estación meteorológica</t>
        </is>
      </c>
      <c r="D9" s="112" t="inlineStr">
        <is>
          <t>Und</t>
        </is>
      </c>
      <c r="E9" s="112" t="n">
        <v>1</v>
      </c>
      <c r="F9" s="113" t="inlineStr">
        <is>
          <t>Nombre Odoo: [P00572] Estación Metereológica</t>
        </is>
      </c>
    </row>
    <row r="10" ht="25" customHeight="1" s="157">
      <c r="A10" s="114" t="n">
        <v>6</v>
      </c>
      <c r="B10" s="114" t="inlineStr">
        <is>
          <t>Sin código</t>
        </is>
      </c>
      <c r="C10" s="115" t="inlineStr">
        <is>
          <t>CABLE 500 kcmil Al RHW 800V (Fases inversores 249 kW - Tablero FV)</t>
        </is>
      </c>
      <c r="D10" s="114" t="inlineStr">
        <is>
          <t>m</t>
        </is>
      </c>
      <c r="E10" s="114" t="n">
        <v>2000</v>
      </c>
      <c r="F10" s="115" t="n"/>
    </row>
    <row r="11">
      <c r="A11" s="112" t="n">
        <v>7</v>
      </c>
      <c r="B11" s="112" t="inlineStr">
        <is>
          <t>Sin código</t>
        </is>
      </c>
      <c r="C11" s="113" t="inlineStr">
        <is>
          <t>CABLE 12 AWG Cu 600V (SSAA)</t>
        </is>
      </c>
      <c r="D11" s="112" t="inlineStr">
        <is>
          <t>m</t>
        </is>
      </c>
      <c r="E11" s="112" t="n">
        <v>300</v>
      </c>
      <c r="F11" s="113" t="n"/>
    </row>
    <row r="12">
      <c r="A12" s="114" t="n">
        <v>8</v>
      </c>
      <c r="B12" s="114" t="inlineStr">
        <is>
          <t>Sin código</t>
        </is>
      </c>
      <c r="C12" s="115" t="inlineStr">
        <is>
          <t>Par hembra y macho de MC4</t>
        </is>
      </c>
      <c r="D12" s="114" t="inlineStr">
        <is>
          <t>Und</t>
        </is>
      </c>
      <c r="E12" s="114" t="n">
        <v>200</v>
      </c>
      <c r="F12" s="115" t="n"/>
    </row>
    <row r="13">
      <c r="A13" s="112" t="n">
        <v>9</v>
      </c>
      <c r="B13" s="112" t="inlineStr">
        <is>
          <t>Sin código</t>
        </is>
      </c>
      <c r="C13" s="113" t="inlineStr">
        <is>
          <t>Tubo PVC DB Liso 4" x 6M</t>
        </is>
      </c>
      <c r="D13" s="112" t="inlineStr">
        <is>
          <t>Und</t>
        </is>
      </c>
      <c r="E13" s="112" t="n">
        <v>400</v>
      </c>
      <c r="F13" s="113" t="n"/>
    </row>
    <row r="14">
      <c r="A14" s="114" t="n">
        <v>10</v>
      </c>
      <c r="B14" s="114" t="inlineStr">
        <is>
          <t>Sin código</t>
        </is>
      </c>
      <c r="C14" s="115" t="inlineStr">
        <is>
          <t>Tubo EMT 3/4" x 6m</t>
        </is>
      </c>
      <c r="D14" s="114" t="inlineStr">
        <is>
          <t>Und</t>
        </is>
      </c>
      <c r="E14" s="114" t="n">
        <v>6</v>
      </c>
      <c r="F14" s="115" t="n"/>
    </row>
    <row r="15">
      <c r="A15" s="112" t="n">
        <v>11</v>
      </c>
      <c r="B15" s="112" t="inlineStr">
        <is>
          <t>Sin código</t>
        </is>
      </c>
      <c r="C15" s="113" t="inlineStr">
        <is>
          <t>Tubo anillado de poliamida Interflex Nylofix AGT-12N (paq x 30m)</t>
        </is>
      </c>
      <c r="D15" s="112" t="inlineStr">
        <is>
          <t>Und</t>
        </is>
      </c>
      <c r="E15" s="112" t="n">
        <v>8</v>
      </c>
      <c r="F15" s="113" t="n"/>
    </row>
    <row r="16">
      <c r="A16" s="114" t="n">
        <v>12</v>
      </c>
      <c r="B16" s="114" t="inlineStr">
        <is>
          <t>Sin código</t>
        </is>
      </c>
      <c r="C16" s="115" t="inlineStr">
        <is>
          <t>Tubo PVC BD Liso 1/2" x 3m</t>
        </is>
      </c>
      <c r="D16" s="114" t="inlineStr">
        <is>
          <t>Und</t>
        </is>
      </c>
      <c r="E16" s="114" t="n">
        <v>100</v>
      </c>
      <c r="F16" s="115" t="n"/>
    </row>
    <row r="17">
      <c r="A17" s="112" t="n">
        <v>13</v>
      </c>
      <c r="B17" s="112" t="inlineStr">
        <is>
          <t>Sin código</t>
        </is>
      </c>
      <c r="C17" s="113" t="inlineStr">
        <is>
          <t>Coraza Americana 1"</t>
        </is>
      </c>
      <c r="D17" s="112" t="inlineStr">
        <is>
          <t>m</t>
        </is>
      </c>
      <c r="E17" s="112" t="n">
        <v>10</v>
      </c>
      <c r="F17" s="113" t="n"/>
    </row>
    <row r="18">
      <c r="A18" s="114" t="n">
        <v>14</v>
      </c>
      <c r="B18" s="114" t="inlineStr">
        <is>
          <t>Sin código</t>
        </is>
      </c>
      <c r="C18" s="115" t="inlineStr">
        <is>
          <t>Puntas captadoras de apantallamiento</t>
        </is>
      </c>
      <c r="D18" s="114" t="inlineStr">
        <is>
          <t>Und</t>
        </is>
      </c>
      <c r="E18" s="114" t="n">
        <v>4</v>
      </c>
      <c r="F18" s="115" t="n"/>
    </row>
  </sheetData>
  <mergeCells count="2">
    <mergeCell ref="A2:E2"/>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EQUIPO</dc:creator>
  <dcterms:created xmlns:dcterms="http://purl.org/dc/terms/" xmlns:xsi="http://www.w3.org/2001/XMLSchema-instance" xsi:type="dcterms:W3CDTF">2024-12-05T13:19:00Z</dcterms:created>
  <dcterms:modified xmlns:dcterms="http://purl.org/dc/terms/" xmlns:xsi="http://www.w3.org/2001/XMLSchema-instance" xsi:type="dcterms:W3CDTF">2026-05-27T23:02:14Z</dcterms:modified>
  <cp:lastModifiedBy>Emmanuel Florez</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0x01010013EC9A511C179E43810EA5950AE55063</vt:lpwstr>
  </property>
  <property name="ICV" fmtid="{D5CDD505-2E9C-101B-9397-08002B2CF9AE}" pid="3">
    <vt:lpwstr xmlns:vt="http://schemas.openxmlformats.org/officeDocument/2006/docPropsVTypes">38FA577507424E38BFA724464902CAFD_13</vt:lpwstr>
  </property>
  <property name="KSOProductBuildVer" fmtid="{D5CDD505-2E9C-101B-9397-08002B2CF9AE}" pid="4">
    <vt:lpwstr xmlns:vt="http://schemas.openxmlformats.org/officeDocument/2006/docPropsVTypes">2058-12.2.0.22549</vt:lpwstr>
  </property>
</Properties>
</file>